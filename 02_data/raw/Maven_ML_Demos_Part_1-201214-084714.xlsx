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10.xml" ContentType="application/vnd.ms-excel.controlproperti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Maven Analytics\Courses\ML for BI\Part 1 - QA &amp; Profiling\Final Course Resources\"/>
    </mc:Choice>
  </mc:AlternateContent>
  <xr:revisionPtr revIDLastSave="0" documentId="13_ncr:1_{142A009C-4C5E-4D8E-B3B8-B9EF43DD17A6}" xr6:coauthVersionLast="45" xr6:coauthVersionMax="45" xr10:uidLastSave="{00000000-0000-0000-0000-000000000000}"/>
  <bookViews>
    <workbookView xWindow="-108" yWindow="-108" windowWidth="23256" windowHeight="13176" tabRatio="799" xr2:uid="{8EE8CC8D-980D-4B35-91E0-CA33973A0009}"/>
  </bookViews>
  <sheets>
    <sheet name="Preliminary QA" sheetId="50" r:id="rId1"/>
    <sheet name="Histograms" sheetId="28" r:id="rId2"/>
    <sheet name="Normal Distribution" sheetId="4" r:id="rId3"/>
    <sheet name="Sample Data" sheetId="44" state="hidden" r:id="rId4"/>
    <sheet name="Frequency Table" sheetId="52" r:id="rId5"/>
    <sheet name="Correlation" sheetId="53" r:id="rId6"/>
  </sheets>
  <definedNames>
    <definedName name="_xlnm._FilterDatabase" localSheetId="0" hidden="1">'Preliminary QA'!$C$3:$H$3</definedName>
    <definedName name="Athlete_Heights">'Normal Distribution'!$F$4:$F$4970</definedName>
    <definedName name="Bin_Labels">OFFSET('Normal Distribution'!$W$4,0,0,COUNTA('Normal Distribution'!$V$4:$V$77),1)</definedName>
    <definedName name="Bins">OFFSET('Normal Distribution'!$V$4,0,0,COUNTIF('Normal Distribution'!$V$4:$V$77,"&gt;0")-1,1)</definedName>
    <definedName name="Digital_Media_Spend">Correlation!$C$4:$C$1003</definedName>
    <definedName name="Freq_Line">OFFSET('Normal Distribution'!$AB$4,0,0,COUNTA('Normal Distribution'!$X$4:$X$77,1))</definedName>
    <definedName name="Frequency">OFFSET('Normal Distribution'!$X$4,0,0,COUNTA('Normal Distribution'!$X$4:$X$200,1))</definedName>
    <definedName name="Frequency_Gen">OFFSET('Normal Distribution'!$Y$4,0,0,COUNTA('Normal Distribution'!$Y$4:$Y$200,1))</definedName>
    <definedName name="Offline_Media_Spend">Correlation!$E$4:$E$1003</definedName>
    <definedName name="Sales">Correlation!$F$4:$F$1003</definedName>
    <definedName name="Scatter_X" localSheetId="5">INDIRECT(Correlation!$J$4)</definedName>
    <definedName name="Scatter_Y" localSheetId="5">INDIRECT(Correlation!$O$4)</definedName>
    <definedName name="Site_Load_Time">Correlation!$G$4:$G$1003</definedName>
    <definedName name="Site_Traffic">Correlation!$D$4:$D$1003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" i="52" l="1"/>
  <c r="E14" i="52"/>
  <c r="F14" i="52"/>
  <c r="G14" i="52"/>
  <c r="H14" i="52"/>
  <c r="I14" i="52"/>
  <c r="J14" i="52"/>
  <c r="K14" i="52"/>
  <c r="L14" i="52"/>
  <c r="M14" i="52"/>
  <c r="N14" i="52"/>
  <c r="O14" i="52"/>
  <c r="P14" i="52"/>
  <c r="Q14" i="52"/>
  <c r="R14" i="52"/>
  <c r="S14" i="52"/>
  <c r="T14" i="52"/>
  <c r="U14" i="52"/>
  <c r="V14" i="52"/>
  <c r="W14" i="52"/>
  <c r="X14" i="52"/>
  <c r="Y14" i="52"/>
  <c r="Z14" i="52"/>
  <c r="AA14" i="52"/>
  <c r="AC28" i="52" l="1"/>
  <c r="AC8" i="52" s="1"/>
  <c r="T34" i="52"/>
  <c r="Q26" i="52"/>
  <c r="Q6" i="52" s="1"/>
  <c r="O27" i="52"/>
  <c r="O7" i="52" s="1"/>
  <c r="M28" i="52"/>
  <c r="M8" i="52" s="1"/>
  <c r="L29" i="52"/>
  <c r="L9" i="52" s="1"/>
  <c r="J30" i="52"/>
  <c r="J10" i="52" s="1"/>
  <c r="X30" i="52"/>
  <c r="X10" i="52" s="1"/>
  <c r="I31" i="52"/>
  <c r="I11" i="52" s="1"/>
  <c r="Q31" i="52"/>
  <c r="Q11" i="52" s="1"/>
  <c r="Y31" i="52"/>
  <c r="Y11" i="52" s="1"/>
  <c r="J32" i="52"/>
  <c r="J12" i="52" s="1"/>
  <c r="R32" i="52"/>
  <c r="R12" i="52" s="1"/>
  <c r="Z32" i="52"/>
  <c r="Z12" i="52" s="1"/>
  <c r="D26" i="52"/>
  <c r="D6" i="52" s="1"/>
  <c r="AA24" i="52"/>
  <c r="Z24" i="52"/>
  <c r="Y24" i="52"/>
  <c r="X24" i="52"/>
  <c r="X34" i="52" s="1"/>
  <c r="W24" i="52"/>
  <c r="V24" i="52"/>
  <c r="U24" i="52"/>
  <c r="T24" i="52"/>
  <c r="S24" i="52"/>
  <c r="R24" i="52"/>
  <c r="Q24" i="52"/>
  <c r="P24" i="52"/>
  <c r="P34" i="52" s="1"/>
  <c r="O24" i="52"/>
  <c r="O34" i="52" s="1"/>
  <c r="N24" i="52"/>
  <c r="M24" i="52"/>
  <c r="L24" i="52"/>
  <c r="K24" i="52"/>
  <c r="J24" i="52"/>
  <c r="I24" i="52"/>
  <c r="H24" i="52"/>
  <c r="H34" i="52" s="1"/>
  <c r="G24" i="52"/>
  <c r="F24" i="52"/>
  <c r="E24" i="52"/>
  <c r="D24" i="52"/>
  <c r="AC22" i="52"/>
  <c r="AC21" i="52"/>
  <c r="AC20" i="52"/>
  <c r="AC19" i="52"/>
  <c r="AC29" i="52" s="1"/>
  <c r="AC9" i="52" s="1"/>
  <c r="AC18" i="52"/>
  <c r="AC17" i="52"/>
  <c r="AC16" i="52"/>
  <c r="AC24" i="52" s="1"/>
  <c r="H28" i="52" s="1"/>
  <c r="H8" i="52" s="1"/>
  <c r="U34" i="52" l="1"/>
  <c r="D31" i="52"/>
  <c r="D11" i="52" s="1"/>
  <c r="O31" i="52"/>
  <c r="O11" i="52" s="1"/>
  <c r="AC34" i="52"/>
  <c r="AC14" i="52" s="1"/>
  <c r="H26" i="52"/>
  <c r="H6" i="52" s="1"/>
  <c r="L26" i="52"/>
  <c r="L6" i="52" s="1"/>
  <c r="P26" i="52"/>
  <c r="P6" i="52" s="1"/>
  <c r="T26" i="52"/>
  <c r="T6" i="52" s="1"/>
  <c r="X26" i="52"/>
  <c r="X6" i="52" s="1"/>
  <c r="E27" i="52"/>
  <c r="E7" i="52" s="1"/>
  <c r="I27" i="52"/>
  <c r="I7" i="52" s="1"/>
  <c r="M27" i="52"/>
  <c r="M7" i="52" s="1"/>
  <c r="Q27" i="52"/>
  <c r="Q7" i="52" s="1"/>
  <c r="U27" i="52"/>
  <c r="U7" i="52" s="1"/>
  <c r="Y27" i="52"/>
  <c r="Y7" i="52" s="1"/>
  <c r="F28" i="52"/>
  <c r="F8" i="52" s="1"/>
  <c r="J28" i="52"/>
  <c r="J8" i="52" s="1"/>
  <c r="N28" i="52"/>
  <c r="N8" i="52" s="1"/>
  <c r="R28" i="52"/>
  <c r="R8" i="52" s="1"/>
  <c r="V28" i="52"/>
  <c r="V8" i="52" s="1"/>
  <c r="Z28" i="52"/>
  <c r="Z8" i="52" s="1"/>
  <c r="G29" i="52"/>
  <c r="G9" i="52" s="1"/>
  <c r="K29" i="52"/>
  <c r="K9" i="52" s="1"/>
  <c r="O29" i="52"/>
  <c r="O9" i="52" s="1"/>
  <c r="S29" i="52"/>
  <c r="S9" i="52" s="1"/>
  <c r="W29" i="52"/>
  <c r="W9" i="52" s="1"/>
  <c r="AA29" i="52"/>
  <c r="AA9" i="52" s="1"/>
  <c r="H30" i="52"/>
  <c r="H10" i="52" s="1"/>
  <c r="L30" i="52"/>
  <c r="L10" i="52" s="1"/>
  <c r="P30" i="52"/>
  <c r="P10" i="52" s="1"/>
  <c r="G26" i="52"/>
  <c r="G6" i="52" s="1"/>
  <c r="M26" i="52"/>
  <c r="M6" i="52" s="1"/>
  <c r="R26" i="52"/>
  <c r="R6" i="52" s="1"/>
  <c r="W26" i="52"/>
  <c r="W6" i="52" s="1"/>
  <c r="F27" i="52"/>
  <c r="F7" i="52" s="1"/>
  <c r="K27" i="52"/>
  <c r="K7" i="52" s="1"/>
  <c r="P27" i="52"/>
  <c r="P7" i="52" s="1"/>
  <c r="V27" i="52"/>
  <c r="V7" i="52" s="1"/>
  <c r="AA27" i="52"/>
  <c r="AA7" i="52" s="1"/>
  <c r="I28" i="52"/>
  <c r="I8" i="52" s="1"/>
  <c r="O28" i="52"/>
  <c r="O8" i="52" s="1"/>
  <c r="T28" i="52"/>
  <c r="T8" i="52" s="1"/>
  <c r="Y28" i="52"/>
  <c r="Y8" i="52" s="1"/>
  <c r="H29" i="52"/>
  <c r="H9" i="52" s="1"/>
  <c r="M29" i="52"/>
  <c r="M9" i="52" s="1"/>
  <c r="R29" i="52"/>
  <c r="R9" i="52" s="1"/>
  <c r="X29" i="52"/>
  <c r="X9" i="52" s="1"/>
  <c r="F30" i="52"/>
  <c r="F10" i="52" s="1"/>
  <c r="K30" i="52"/>
  <c r="K10" i="52" s="1"/>
  <c r="Q30" i="52"/>
  <c r="Q10" i="52" s="1"/>
  <c r="U30" i="52"/>
  <c r="U10" i="52" s="1"/>
  <c r="Y30" i="52"/>
  <c r="Y10" i="52" s="1"/>
  <c r="F31" i="52"/>
  <c r="F11" i="52" s="1"/>
  <c r="J31" i="52"/>
  <c r="J11" i="52" s="1"/>
  <c r="N31" i="52"/>
  <c r="N11" i="52" s="1"/>
  <c r="R31" i="52"/>
  <c r="R11" i="52" s="1"/>
  <c r="V31" i="52"/>
  <c r="V11" i="52" s="1"/>
  <c r="Z31" i="52"/>
  <c r="Z11" i="52" s="1"/>
  <c r="G32" i="52"/>
  <c r="G12" i="52" s="1"/>
  <c r="K32" i="52"/>
  <c r="K12" i="52" s="1"/>
  <c r="O32" i="52"/>
  <c r="O12" i="52" s="1"/>
  <c r="S32" i="52"/>
  <c r="S12" i="52" s="1"/>
  <c r="W32" i="52"/>
  <c r="W12" i="52" s="1"/>
  <c r="AA32" i="52"/>
  <c r="AA12" i="52" s="1"/>
  <c r="D30" i="52"/>
  <c r="D10" i="52" s="1"/>
  <c r="L34" i="52"/>
  <c r="AB34" i="52"/>
  <c r="N26" i="52"/>
  <c r="N6" i="52" s="1"/>
  <c r="S26" i="52"/>
  <c r="S6" i="52" s="1"/>
  <c r="G27" i="52"/>
  <c r="G7" i="52" s="1"/>
  <c r="R27" i="52"/>
  <c r="R7" i="52" s="1"/>
  <c r="W27" i="52"/>
  <c r="W7" i="52" s="1"/>
  <c r="K28" i="52"/>
  <c r="K8" i="52" s="1"/>
  <c r="P28" i="52"/>
  <c r="P8" i="52" s="1"/>
  <c r="AA28" i="52"/>
  <c r="AA8" i="52" s="1"/>
  <c r="I29" i="52"/>
  <c r="I9" i="52" s="1"/>
  <c r="T29" i="52"/>
  <c r="T9" i="52" s="1"/>
  <c r="G30" i="52"/>
  <c r="G10" i="52" s="1"/>
  <c r="M30" i="52"/>
  <c r="M10" i="52" s="1"/>
  <c r="R34" i="52"/>
  <c r="I26" i="52"/>
  <c r="I6" i="52" s="1"/>
  <c r="Y26" i="52"/>
  <c r="Y6" i="52" s="1"/>
  <c r="L27" i="52"/>
  <c r="L7" i="52" s="1"/>
  <c r="E28" i="52"/>
  <c r="E8" i="52" s="1"/>
  <c r="U28" i="52"/>
  <c r="U8" i="52" s="1"/>
  <c r="N29" i="52"/>
  <c r="N9" i="52" s="1"/>
  <c r="Y29" i="52"/>
  <c r="Y9" i="52" s="1"/>
  <c r="R30" i="52"/>
  <c r="R10" i="52" s="1"/>
  <c r="E26" i="52"/>
  <c r="E6" i="52" s="1"/>
  <c r="J26" i="52"/>
  <c r="J6" i="52" s="1"/>
  <c r="O26" i="52"/>
  <c r="O6" i="52" s="1"/>
  <c r="U26" i="52"/>
  <c r="U6" i="52" s="1"/>
  <c r="Z26" i="52"/>
  <c r="Z6" i="52" s="1"/>
  <c r="H27" i="52"/>
  <c r="H7" i="52" s="1"/>
  <c r="N27" i="52"/>
  <c r="N7" i="52" s="1"/>
  <c r="S27" i="52"/>
  <c r="S7" i="52" s="1"/>
  <c r="X27" i="52"/>
  <c r="X7" i="52" s="1"/>
  <c r="G28" i="52"/>
  <c r="G8" i="52" s="1"/>
  <c r="L28" i="52"/>
  <c r="L8" i="52" s="1"/>
  <c r="Q28" i="52"/>
  <c r="Q8" i="52" s="1"/>
  <c r="W28" i="52"/>
  <c r="W8" i="52" s="1"/>
  <c r="E29" i="52"/>
  <c r="E9" i="52" s="1"/>
  <c r="J29" i="52"/>
  <c r="J9" i="52" s="1"/>
  <c r="P29" i="52"/>
  <c r="P9" i="52" s="1"/>
  <c r="U29" i="52"/>
  <c r="U9" i="52" s="1"/>
  <c r="Z29" i="52"/>
  <c r="Z9" i="52" s="1"/>
  <c r="I30" i="52"/>
  <c r="I10" i="52" s="1"/>
  <c r="N30" i="52"/>
  <c r="N10" i="52" s="1"/>
  <c r="S30" i="52"/>
  <c r="S10" i="52" s="1"/>
  <c r="W30" i="52"/>
  <c r="W10" i="52" s="1"/>
  <c r="AA30" i="52"/>
  <c r="AA10" i="52" s="1"/>
  <c r="H31" i="52"/>
  <c r="H11" i="52" s="1"/>
  <c r="L31" i="52"/>
  <c r="L11" i="52" s="1"/>
  <c r="P31" i="52"/>
  <c r="P11" i="52" s="1"/>
  <c r="T31" i="52"/>
  <c r="T11" i="52" s="1"/>
  <c r="X31" i="52"/>
  <c r="X11" i="52" s="1"/>
  <c r="E32" i="52"/>
  <c r="E12" i="52" s="1"/>
  <c r="I32" i="52"/>
  <c r="I12" i="52" s="1"/>
  <c r="M32" i="52"/>
  <c r="M12" i="52" s="1"/>
  <c r="Q32" i="52"/>
  <c r="Q12" i="52" s="1"/>
  <c r="U32" i="52"/>
  <c r="U12" i="52" s="1"/>
  <c r="Y32" i="52"/>
  <c r="Y12" i="52" s="1"/>
  <c r="D28" i="52"/>
  <c r="D8" i="52" s="1"/>
  <c r="D32" i="52"/>
  <c r="D12" i="52" s="1"/>
  <c r="E34" i="52"/>
  <c r="Q34" i="52"/>
  <c r="Y34" i="52"/>
  <c r="X32" i="52"/>
  <c r="X12" i="52" s="1"/>
  <c r="P32" i="52"/>
  <c r="P12" i="52" s="1"/>
  <c r="H32" i="52"/>
  <c r="H12" i="52" s="1"/>
  <c r="W31" i="52"/>
  <c r="W11" i="52" s="1"/>
  <c r="G31" i="52"/>
  <c r="G11" i="52" s="1"/>
  <c r="V30" i="52"/>
  <c r="V10" i="52" s="1"/>
  <c r="E30" i="52"/>
  <c r="E10" i="52" s="1"/>
  <c r="F29" i="52"/>
  <c r="F9" i="52" s="1"/>
  <c r="J27" i="52"/>
  <c r="J7" i="52" s="1"/>
  <c r="K26" i="52"/>
  <c r="K6" i="52" s="1"/>
  <c r="AC27" i="52"/>
  <c r="AC7" i="52" s="1"/>
  <c r="AC31" i="52"/>
  <c r="AC11" i="52" s="1"/>
  <c r="F34" i="52"/>
  <c r="N34" i="52"/>
  <c r="V34" i="52"/>
  <c r="D29" i="52"/>
  <c r="D9" i="52" s="1"/>
  <c r="V32" i="52"/>
  <c r="V12" i="52" s="1"/>
  <c r="N32" i="52"/>
  <c r="N12" i="52" s="1"/>
  <c r="F32" i="52"/>
  <c r="F12" i="52" s="1"/>
  <c r="U31" i="52"/>
  <c r="U11" i="52" s="1"/>
  <c r="M31" i="52"/>
  <c r="M11" i="52" s="1"/>
  <c r="E31" i="52"/>
  <c r="E11" i="52" s="1"/>
  <c r="T30" i="52"/>
  <c r="T10" i="52" s="1"/>
  <c r="V29" i="52"/>
  <c r="V9" i="52" s="1"/>
  <c r="X28" i="52"/>
  <c r="X8" i="52" s="1"/>
  <c r="Z27" i="52"/>
  <c r="Z7" i="52" s="1"/>
  <c r="AA26" i="52"/>
  <c r="AA6" i="52" s="1"/>
  <c r="F26" i="52"/>
  <c r="F6" i="52" s="1"/>
  <c r="J34" i="52"/>
  <c r="AC30" i="52"/>
  <c r="AC10" i="52" s="1"/>
  <c r="I34" i="52"/>
  <c r="M34" i="52"/>
  <c r="AC32" i="52"/>
  <c r="AC12" i="52" s="1"/>
  <c r="G34" i="52"/>
  <c r="K34" i="52"/>
  <c r="S34" i="52"/>
  <c r="W34" i="52"/>
  <c r="AA34" i="52"/>
  <c r="D27" i="52"/>
  <c r="D7" i="52" s="1"/>
  <c r="T32" i="52"/>
  <c r="T12" i="52" s="1"/>
  <c r="L32" i="52"/>
  <c r="L12" i="52" s="1"/>
  <c r="AA31" i="52"/>
  <c r="AA11" i="52" s="1"/>
  <c r="S31" i="52"/>
  <c r="S11" i="52" s="1"/>
  <c r="K31" i="52"/>
  <c r="K11" i="52" s="1"/>
  <c r="Z30" i="52"/>
  <c r="Z10" i="52" s="1"/>
  <c r="O30" i="52"/>
  <c r="O10" i="52" s="1"/>
  <c r="Q29" i="52"/>
  <c r="Q9" i="52" s="1"/>
  <c r="S28" i="52"/>
  <c r="S8" i="52" s="1"/>
  <c r="T27" i="52"/>
  <c r="T7" i="52" s="1"/>
  <c r="V26" i="52"/>
  <c r="V6" i="52" s="1"/>
  <c r="Z34" i="52"/>
  <c r="AC26" i="52"/>
  <c r="AC6" i="52" s="1"/>
  <c r="D34" i="52"/>
  <c r="K16" i="50" l="1"/>
  <c r="K15" i="50"/>
  <c r="K6" i="50"/>
  <c r="D71" i="50"/>
  <c r="D42" i="50"/>
  <c r="D29" i="50"/>
  <c r="D24" i="50"/>
  <c r="F34" i="50"/>
  <c r="B103" i="50"/>
  <c r="B102" i="50"/>
  <c r="B101" i="50"/>
  <c r="B100" i="50"/>
  <c r="B99" i="50"/>
  <c r="B98" i="50"/>
  <c r="B97" i="50"/>
  <c r="B96" i="50"/>
  <c r="B95" i="50"/>
  <c r="B94" i="50"/>
  <c r="B93" i="50"/>
  <c r="B92" i="50"/>
  <c r="B91" i="50"/>
  <c r="B90" i="50"/>
  <c r="B89" i="50"/>
  <c r="F98" i="50"/>
  <c r="F85" i="50"/>
  <c r="F53" i="50"/>
  <c r="F36" i="50"/>
  <c r="F25" i="50"/>
  <c r="F24" i="50"/>
  <c r="F19" i="50"/>
  <c r="F11" i="50"/>
  <c r="K12" i="50" l="1"/>
  <c r="K9" i="50"/>
  <c r="K13" i="50"/>
  <c r="K10" i="50"/>
  <c r="K8" i="50"/>
  <c r="K23" i="50"/>
  <c r="K26" i="50"/>
  <c r="K22" i="50"/>
  <c r="K19" i="50"/>
  <c r="K25" i="50"/>
  <c r="K21" i="50"/>
  <c r="K28" i="50"/>
  <c r="K24" i="50"/>
  <c r="K20" i="50"/>
  <c r="K27" i="50"/>
  <c r="K29" i="50" l="1"/>
  <c r="AB6" i="28" l="1"/>
  <c r="AC6" i="28"/>
  <c r="AD6" i="28"/>
  <c r="AE6" i="28"/>
  <c r="AF6" i="28"/>
  <c r="AG6" i="28"/>
  <c r="AH6" i="28"/>
  <c r="AI6" i="28"/>
  <c r="AJ6" i="28"/>
  <c r="AK6" i="28"/>
  <c r="AA6" i="28"/>
  <c r="P4" i="28" l="1"/>
  <c r="R7" i="28"/>
  <c r="Q10" i="28"/>
  <c r="R11" i="28"/>
  <c r="P12" i="28"/>
  <c r="P15" i="28"/>
  <c r="P16" i="28"/>
  <c r="P19" i="28"/>
  <c r="P20" i="28"/>
  <c r="R23" i="28"/>
  <c r="P24" i="28"/>
  <c r="Q27" i="28"/>
  <c r="P28" i="28"/>
  <c r="P31" i="28"/>
  <c r="P32" i="28"/>
  <c r="P35" i="28"/>
  <c r="R36" i="28"/>
  <c r="P5" i="28"/>
  <c r="R9" i="28"/>
  <c r="P13" i="28"/>
  <c r="P14" i="28"/>
  <c r="P17" i="28"/>
  <c r="P18" i="28"/>
  <c r="P21" i="28"/>
  <c r="P22" i="28"/>
  <c r="P25" i="28"/>
  <c r="R26" i="28"/>
  <c r="Q29" i="28"/>
  <c r="P30" i="28"/>
  <c r="R33" i="28"/>
  <c r="P34" i="28"/>
  <c r="R37" i="28"/>
  <c r="P38" i="28"/>
  <c r="Q6" i="28"/>
  <c r="R8" i="28"/>
  <c r="P3" i="28"/>
  <c r="B4" i="28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Z32" i="28" l="1"/>
  <c r="Y32" i="28"/>
  <c r="V32" i="28"/>
  <c r="Z29" i="28"/>
  <c r="W32" i="28"/>
  <c r="S29" i="28"/>
  <c r="W29" i="28"/>
  <c r="V29" i="28"/>
  <c r="W34" i="28"/>
  <c r="U32" i="28"/>
  <c r="X33" i="28"/>
  <c r="S36" i="28"/>
  <c r="S35" i="28"/>
  <c r="Y33" i="28"/>
  <c r="Q33" i="28"/>
  <c r="Z28" i="28"/>
  <c r="W35" i="28"/>
  <c r="W33" i="28"/>
  <c r="W36" i="28"/>
  <c r="V35" i="28"/>
  <c r="T33" i="28"/>
  <c r="R32" i="28"/>
  <c r="R29" i="28"/>
  <c r="S34" i="28"/>
  <c r="Q32" i="28"/>
  <c r="U28" i="28"/>
  <c r="Y37" i="28"/>
  <c r="T37" i="28"/>
  <c r="S33" i="28"/>
  <c r="S32" i="28"/>
  <c r="W31" i="28"/>
  <c r="S38" i="28"/>
  <c r="W37" i="28"/>
  <c r="Q37" i="28"/>
  <c r="Y36" i="28"/>
  <c r="U36" i="28"/>
  <c r="Q36" i="28"/>
  <c r="S31" i="28"/>
  <c r="S30" i="28"/>
  <c r="X29" i="28"/>
  <c r="T29" i="28"/>
  <c r="P29" i="28"/>
  <c r="W28" i="28"/>
  <c r="R28" i="28"/>
  <c r="U37" i="28"/>
  <c r="P37" i="28"/>
  <c r="X36" i="28"/>
  <c r="T36" i="28"/>
  <c r="P36" i="28"/>
  <c r="Z31" i="28"/>
  <c r="R31" i="28"/>
  <c r="V28" i="28"/>
  <c r="Q28" i="28"/>
  <c r="W38" i="28"/>
  <c r="X37" i="28"/>
  <c r="S37" i="28"/>
  <c r="Z36" i="28"/>
  <c r="V36" i="28"/>
  <c r="Z35" i="28"/>
  <c r="R35" i="28"/>
  <c r="U33" i="28"/>
  <c r="P33" i="28"/>
  <c r="X32" i="28"/>
  <c r="T32" i="28"/>
  <c r="V31" i="28"/>
  <c r="W30" i="28"/>
  <c r="Y29" i="28"/>
  <c r="U29" i="28"/>
  <c r="Y28" i="28"/>
  <c r="S28" i="28"/>
  <c r="Z38" i="28"/>
  <c r="V38" i="28"/>
  <c r="R38" i="28"/>
  <c r="Y35" i="28"/>
  <c r="U35" i="28"/>
  <c r="Q35" i="28"/>
  <c r="Z34" i="28"/>
  <c r="V34" i="28"/>
  <c r="R34" i="28"/>
  <c r="Y31" i="28"/>
  <c r="U31" i="28"/>
  <c r="Q31" i="28"/>
  <c r="Z30" i="28"/>
  <c r="V30" i="28"/>
  <c r="R30" i="28"/>
  <c r="X28" i="28"/>
  <c r="T28" i="28"/>
  <c r="Y38" i="28"/>
  <c r="U38" i="28"/>
  <c r="Q38" i="28"/>
  <c r="Z37" i="28"/>
  <c r="V37" i="28"/>
  <c r="X35" i="28"/>
  <c r="T35" i="28"/>
  <c r="Y34" i="28"/>
  <c r="U34" i="28"/>
  <c r="Q34" i="28"/>
  <c r="Z33" i="28"/>
  <c r="V33" i="28"/>
  <c r="X31" i="28"/>
  <c r="T31" i="28"/>
  <c r="Y30" i="28"/>
  <c r="U30" i="28"/>
  <c r="Q30" i="28"/>
  <c r="X38" i="28"/>
  <c r="T38" i="28"/>
  <c r="X34" i="28"/>
  <c r="T34" i="28"/>
  <c r="X30" i="28"/>
  <c r="T30" i="28"/>
  <c r="Q5" i="28"/>
  <c r="V27" i="28"/>
  <c r="W26" i="28"/>
  <c r="Z27" i="28"/>
  <c r="S27" i="28"/>
  <c r="X27" i="28"/>
  <c r="P27" i="28"/>
  <c r="S26" i="28"/>
  <c r="T27" i="28"/>
  <c r="W27" i="28"/>
  <c r="R27" i="28"/>
  <c r="Y26" i="28"/>
  <c r="Q26" i="28"/>
  <c r="U26" i="28"/>
  <c r="X26" i="28"/>
  <c r="T26" i="28"/>
  <c r="P26" i="28"/>
  <c r="Y27" i="28"/>
  <c r="U27" i="28"/>
  <c r="Z26" i="28"/>
  <c r="V26" i="28"/>
  <c r="W17" i="28"/>
  <c r="R17" i="28"/>
  <c r="Z14" i="28"/>
  <c r="Z17" i="28"/>
  <c r="Y22" i="28"/>
  <c r="U22" i="28"/>
  <c r="S19" i="28"/>
  <c r="Q22" i="28"/>
  <c r="V22" i="28"/>
  <c r="Z21" i="28"/>
  <c r="V17" i="28"/>
  <c r="W25" i="28"/>
  <c r="Z22" i="28"/>
  <c r="S22" i="28"/>
  <c r="W21" i="28"/>
  <c r="W14" i="28"/>
  <c r="V13" i="28"/>
  <c r="V21" i="28"/>
  <c r="U14" i="28"/>
  <c r="R21" i="28"/>
  <c r="R14" i="28"/>
  <c r="W23" i="28"/>
  <c r="V5" i="28"/>
  <c r="S23" i="28"/>
  <c r="S21" i="28"/>
  <c r="W19" i="28"/>
  <c r="Y14" i="28"/>
  <c r="S14" i="28"/>
  <c r="Z13" i="28"/>
  <c r="U9" i="28"/>
  <c r="Y23" i="28"/>
  <c r="V14" i="28"/>
  <c r="Q14" i="28"/>
  <c r="P9" i="28"/>
  <c r="Y9" i="28"/>
  <c r="T9" i="28"/>
  <c r="Z5" i="28"/>
  <c r="U5" i="28"/>
  <c r="Q23" i="28"/>
  <c r="Y18" i="28"/>
  <c r="S18" i="28"/>
  <c r="U15" i="28"/>
  <c r="R13" i="28"/>
  <c r="Z18" i="28"/>
  <c r="X9" i="28"/>
  <c r="S9" i="28"/>
  <c r="Y5" i="28"/>
  <c r="S5" i="28"/>
  <c r="W18" i="28"/>
  <c r="R18" i="28"/>
  <c r="S15" i="28"/>
  <c r="U18" i="28"/>
  <c r="W15" i="28"/>
  <c r="W9" i="28"/>
  <c r="Q9" i="28"/>
  <c r="W5" i="28"/>
  <c r="R5" i="28"/>
  <c r="U23" i="28"/>
  <c r="V18" i="28"/>
  <c r="Q18" i="28"/>
  <c r="Y15" i="28"/>
  <c r="Q15" i="28"/>
  <c r="W13" i="28"/>
  <c r="V25" i="28"/>
  <c r="W24" i="28"/>
  <c r="X23" i="28"/>
  <c r="T23" i="28"/>
  <c r="P23" i="28"/>
  <c r="W22" i="28"/>
  <c r="R22" i="28"/>
  <c r="Z19" i="28"/>
  <c r="V19" i="28"/>
  <c r="R19" i="28"/>
  <c r="S17" i="28"/>
  <c r="Z15" i="28"/>
  <c r="V15" i="28"/>
  <c r="R15" i="28"/>
  <c r="S13" i="28"/>
  <c r="S25" i="28"/>
  <c r="W20" i="28"/>
  <c r="Y19" i="28"/>
  <c r="U19" i="28"/>
  <c r="Q19" i="28"/>
  <c r="Z25" i="28"/>
  <c r="R25" i="28"/>
  <c r="Z23" i="28"/>
  <c r="V23" i="28"/>
  <c r="S20" i="28"/>
  <c r="X19" i="28"/>
  <c r="T19" i="28"/>
  <c r="X15" i="28"/>
  <c r="T15" i="28"/>
  <c r="S24" i="28"/>
  <c r="W16" i="28"/>
  <c r="Y25" i="28"/>
  <c r="U25" i="28"/>
  <c r="Q25" i="28"/>
  <c r="Z24" i="28"/>
  <c r="V24" i="28"/>
  <c r="R24" i="28"/>
  <c r="X22" i="28"/>
  <c r="T22" i="28"/>
  <c r="Y21" i="28"/>
  <c r="U21" i="28"/>
  <c r="Q21" i="28"/>
  <c r="Z20" i="28"/>
  <c r="V20" i="28"/>
  <c r="R20" i="28"/>
  <c r="X18" i="28"/>
  <c r="T18" i="28"/>
  <c r="Y17" i="28"/>
  <c r="U17" i="28"/>
  <c r="Q17" i="28"/>
  <c r="Z16" i="28"/>
  <c r="V16" i="28"/>
  <c r="R16" i="28"/>
  <c r="X14" i="28"/>
  <c r="T14" i="28"/>
  <c r="Y13" i="28"/>
  <c r="U13" i="28"/>
  <c r="Q13" i="28"/>
  <c r="S16" i="28"/>
  <c r="X25" i="28"/>
  <c r="T25" i="28"/>
  <c r="Y24" i="28"/>
  <c r="U24" i="28"/>
  <c r="Q24" i="28"/>
  <c r="X21" i="28"/>
  <c r="T21" i="28"/>
  <c r="Y20" i="28"/>
  <c r="U20" i="28"/>
  <c r="Q20" i="28"/>
  <c r="X17" i="28"/>
  <c r="T17" i="28"/>
  <c r="Y16" i="28"/>
  <c r="U16" i="28"/>
  <c r="Q16" i="28"/>
  <c r="X13" i="28"/>
  <c r="T13" i="28"/>
  <c r="X24" i="28"/>
  <c r="T24" i="28"/>
  <c r="X20" i="28"/>
  <c r="T20" i="28"/>
  <c r="X16" i="28"/>
  <c r="T16" i="28"/>
  <c r="S10" i="28"/>
  <c r="W12" i="28"/>
  <c r="S6" i="28"/>
  <c r="Q7" i="28"/>
  <c r="W10" i="28"/>
  <c r="W6" i="28"/>
  <c r="S8" i="28"/>
  <c r="W4" i="28"/>
  <c r="U12" i="28"/>
  <c r="Y8" i="28"/>
  <c r="U4" i="28"/>
  <c r="S12" i="28"/>
  <c r="Z9" i="28"/>
  <c r="V9" i="28"/>
  <c r="W8" i="28"/>
  <c r="X5" i="28"/>
  <c r="T5" i="28"/>
  <c r="S4" i="28"/>
  <c r="Y12" i="28"/>
  <c r="Q12" i="28"/>
  <c r="U8" i="28"/>
  <c r="Y4" i="28"/>
  <c r="Q4" i="28"/>
  <c r="Y11" i="28"/>
  <c r="Q8" i="28"/>
  <c r="U11" i="28"/>
  <c r="Y7" i="28"/>
  <c r="Q11" i="28"/>
  <c r="U7" i="28"/>
  <c r="Z12" i="28"/>
  <c r="V12" i="28"/>
  <c r="R12" i="28"/>
  <c r="T10" i="28"/>
  <c r="X8" i="28"/>
  <c r="T8" i="28"/>
  <c r="P8" i="28"/>
  <c r="X6" i="28"/>
  <c r="P6" i="28"/>
  <c r="Z4" i="28"/>
  <c r="V4" i="28"/>
  <c r="R4" i="28"/>
  <c r="X12" i="28"/>
  <c r="T12" i="28"/>
  <c r="X10" i="28"/>
  <c r="P10" i="28"/>
  <c r="Z8" i="28"/>
  <c r="V8" i="28"/>
  <c r="T6" i="28"/>
  <c r="X4" i="28"/>
  <c r="T4" i="28"/>
  <c r="X11" i="28"/>
  <c r="T11" i="28"/>
  <c r="P11" i="28"/>
  <c r="X7" i="28"/>
  <c r="T7" i="28"/>
  <c r="P7" i="28"/>
  <c r="W11" i="28"/>
  <c r="S11" i="28"/>
  <c r="Z10" i="28"/>
  <c r="V10" i="28"/>
  <c r="R10" i="28"/>
  <c r="W7" i="28"/>
  <c r="S7" i="28"/>
  <c r="Z6" i="28"/>
  <c r="V6" i="28"/>
  <c r="R6" i="28"/>
  <c r="Z11" i="28"/>
  <c r="V11" i="28"/>
  <c r="Y10" i="28"/>
  <c r="U10" i="28"/>
  <c r="Z7" i="28"/>
  <c r="V7" i="28"/>
  <c r="Y6" i="28"/>
  <c r="U6" i="28"/>
  <c r="X3" i="28"/>
  <c r="T3" i="28"/>
  <c r="W3" i="28"/>
  <c r="S3" i="28"/>
  <c r="Z3" i="28"/>
  <c r="V3" i="28"/>
  <c r="R3" i="28"/>
  <c r="Y3" i="28"/>
  <c r="U3" i="28"/>
  <c r="Q3" i="28"/>
  <c r="W4" i="4" l="1"/>
  <c r="V5" i="4"/>
  <c r="V6" i="4" l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W77" i="4" s="1"/>
  <c r="W5" i="4"/>
  <c r="Y4" i="4" l="1" a="1"/>
  <c r="Y4" i="4" s="1"/>
  <c r="W6" i="4"/>
  <c r="W38" i="4"/>
  <c r="W11" i="4"/>
  <c r="W43" i="4"/>
  <c r="W75" i="4"/>
  <c r="W45" i="4"/>
  <c r="W65" i="4"/>
  <c r="W32" i="4"/>
  <c r="W48" i="4"/>
  <c r="W26" i="4"/>
  <c r="W42" i="4"/>
  <c r="W74" i="4"/>
  <c r="W47" i="4"/>
  <c r="W9" i="4"/>
  <c r="W53" i="4"/>
  <c r="W73" i="4"/>
  <c r="W36" i="4"/>
  <c r="W52" i="4"/>
  <c r="W14" i="4"/>
  <c r="W30" i="4"/>
  <c r="W46" i="4"/>
  <c r="W62" i="4"/>
  <c r="W19" i="4"/>
  <c r="W35" i="4"/>
  <c r="W51" i="4"/>
  <c r="W67" i="4"/>
  <c r="W13" i="4"/>
  <c r="W33" i="4"/>
  <c r="W61" i="4"/>
  <c r="W49" i="4"/>
  <c r="W8" i="4"/>
  <c r="W24" i="4"/>
  <c r="W40" i="4"/>
  <c r="W56" i="4"/>
  <c r="W72" i="4"/>
  <c r="W22" i="4"/>
  <c r="W54" i="4"/>
  <c r="W70" i="4"/>
  <c r="W27" i="4"/>
  <c r="W59" i="4"/>
  <c r="W25" i="4"/>
  <c r="W21" i="4"/>
  <c r="W16" i="4"/>
  <c r="W64" i="4"/>
  <c r="W10" i="4"/>
  <c r="W58" i="4"/>
  <c r="W15" i="4"/>
  <c r="W31" i="4"/>
  <c r="W63" i="4"/>
  <c r="W29" i="4"/>
  <c r="W41" i="4"/>
  <c r="W20" i="4"/>
  <c r="W68" i="4"/>
  <c r="W18" i="4"/>
  <c r="W34" i="4"/>
  <c r="W50" i="4"/>
  <c r="W66" i="4"/>
  <c r="W7" i="4"/>
  <c r="W23" i="4"/>
  <c r="W39" i="4"/>
  <c r="W55" i="4"/>
  <c r="W71" i="4"/>
  <c r="W17" i="4"/>
  <c r="W37" i="4"/>
  <c r="W69" i="4"/>
  <c r="W57" i="4"/>
  <c r="W12" i="4"/>
  <c r="W28" i="4"/>
  <c r="W44" i="4"/>
  <c r="W60" i="4"/>
  <c r="W76" i="4"/>
  <c r="X4" i="4" a="1"/>
  <c r="AB42" i="4" l="1"/>
  <c r="AB46" i="4"/>
  <c r="AB50" i="4"/>
  <c r="AB54" i="4"/>
  <c r="AB58" i="4"/>
  <c r="AB62" i="4"/>
  <c r="AB66" i="4"/>
  <c r="AB70" i="4"/>
  <c r="AB74" i="4"/>
  <c r="AB49" i="4"/>
  <c r="AB43" i="4"/>
  <c r="AB47" i="4"/>
  <c r="AB51" i="4"/>
  <c r="AB55" i="4"/>
  <c r="AB59" i="4"/>
  <c r="AB63" i="4"/>
  <c r="AB67" i="4"/>
  <c r="AB71" i="4"/>
  <c r="AB75" i="4"/>
  <c r="AB45" i="4"/>
  <c r="AB61" i="4"/>
  <c r="AB69" i="4"/>
  <c r="AB73" i="4"/>
  <c r="AB44" i="4"/>
  <c r="AB48" i="4"/>
  <c r="AB52" i="4"/>
  <c r="AB56" i="4"/>
  <c r="AB60" i="4"/>
  <c r="AB64" i="4"/>
  <c r="AB68" i="4"/>
  <c r="AB72" i="4"/>
  <c r="AB76" i="4"/>
  <c r="AB53" i="4"/>
  <c r="AB57" i="4"/>
  <c r="AB65" i="4"/>
  <c r="AB77" i="4"/>
  <c r="AB8" i="4"/>
  <c r="AB12" i="4"/>
  <c r="AB16" i="4"/>
  <c r="AB20" i="4"/>
  <c r="AB24" i="4"/>
  <c r="AB28" i="4"/>
  <c r="AB32" i="4"/>
  <c r="AB36" i="4"/>
  <c r="AB40" i="4"/>
  <c r="AB15" i="4"/>
  <c r="AB39" i="4"/>
  <c r="AB5" i="4"/>
  <c r="AB9" i="4"/>
  <c r="AB13" i="4"/>
  <c r="AB17" i="4"/>
  <c r="AB21" i="4"/>
  <c r="AB25" i="4"/>
  <c r="AB29" i="4"/>
  <c r="AB33" i="4"/>
  <c r="AB37" i="4"/>
  <c r="AB41" i="4"/>
  <c r="AB11" i="4"/>
  <c r="AB19" i="4"/>
  <c r="AB23" i="4"/>
  <c r="AB27" i="4"/>
  <c r="AB31" i="4"/>
  <c r="AB35" i="4"/>
  <c r="AB6" i="4"/>
  <c r="AB10" i="4"/>
  <c r="AB14" i="4"/>
  <c r="AB18" i="4"/>
  <c r="AB22" i="4"/>
  <c r="AB26" i="4"/>
  <c r="AB30" i="4"/>
  <c r="AB34" i="4"/>
  <c r="AB38" i="4"/>
  <c r="AB7" i="4"/>
  <c r="Z19" i="4"/>
  <c r="Z23" i="4"/>
  <c r="Z27" i="4"/>
  <c r="Z31" i="4"/>
  <c r="Z35" i="4"/>
  <c r="Z39" i="4"/>
  <c r="Z43" i="4"/>
  <c r="Z47" i="4"/>
  <c r="Z51" i="4"/>
  <c r="Z55" i="4"/>
  <c r="Z59" i="4"/>
  <c r="Z63" i="4"/>
  <c r="Z67" i="4"/>
  <c r="Z71" i="4"/>
  <c r="Z75" i="4"/>
  <c r="Z25" i="4"/>
  <c r="Z33" i="4"/>
  <c r="Z41" i="4"/>
  <c r="Z49" i="4"/>
  <c r="Z57" i="4"/>
  <c r="Z61" i="4"/>
  <c r="Z69" i="4"/>
  <c r="Z77" i="4"/>
  <c r="Z26" i="4"/>
  <c r="Z30" i="4"/>
  <c r="Z38" i="4"/>
  <c r="Z50" i="4"/>
  <c r="Z62" i="4"/>
  <c r="Z74" i="4"/>
  <c r="Z20" i="4"/>
  <c r="Z24" i="4"/>
  <c r="Z28" i="4"/>
  <c r="Z32" i="4"/>
  <c r="Z36" i="4"/>
  <c r="Z40" i="4"/>
  <c r="Z44" i="4"/>
  <c r="Z48" i="4"/>
  <c r="Z52" i="4"/>
  <c r="Z56" i="4"/>
  <c r="Z60" i="4"/>
  <c r="Z64" i="4"/>
  <c r="Z68" i="4"/>
  <c r="Z72" i="4"/>
  <c r="Z76" i="4"/>
  <c r="Z21" i="4"/>
  <c r="Z29" i="4"/>
  <c r="Z37" i="4"/>
  <c r="Z45" i="4"/>
  <c r="Z53" i="4"/>
  <c r="Z65" i="4"/>
  <c r="Z73" i="4"/>
  <c r="Z22" i="4"/>
  <c r="Z34" i="4"/>
  <c r="Z42" i="4"/>
  <c r="Z46" i="4"/>
  <c r="Z54" i="4"/>
  <c r="Z58" i="4"/>
  <c r="Z66" i="4"/>
  <c r="Z70" i="4"/>
  <c r="Z6" i="4"/>
  <c r="Z10" i="4"/>
  <c r="Z14" i="4"/>
  <c r="Z18" i="4"/>
  <c r="Z8" i="4"/>
  <c r="Z12" i="4"/>
  <c r="Z16" i="4"/>
  <c r="Z13" i="4"/>
  <c r="Z7" i="4"/>
  <c r="Z11" i="4"/>
  <c r="Z15" i="4"/>
  <c r="Z9" i="4"/>
  <c r="Z17" i="4"/>
  <c r="X4" i="4"/>
  <c r="AB4" i="4" s="1"/>
  <c r="Z5" i="4"/>
  <c r="Z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<sst xmlns="http://schemas.openxmlformats.org/spreadsheetml/2006/main" count="5263" uniqueCount="5162">
  <si>
    <t>Andreea Aanei</t>
  </si>
  <si>
    <t>Patimat Abakarova</t>
  </si>
  <si>
    <t>Lois Abbingh</t>
  </si>
  <si>
    <t>Clare Abbott</t>
  </si>
  <si>
    <t>Mara Katherine Abbott</t>
  </si>
  <si>
    <t>Maha Abdalsalam Gouda</t>
  </si>
  <si>
    <t>Shaimaa Abdel-Latif-Hashad</t>
  </si>
  <si>
    <t>Leila Abdelmoez</t>
  </si>
  <si>
    <t>Fawziya Abdoulkarim</t>
  </si>
  <si>
    <t>Maizurah Abdul Rahim</t>
  </si>
  <si>
    <t>Jennifer Abel</t>
  </si>
  <si>
    <t>Catherine "Kate" Abilla Awino</t>
  </si>
  <si>
    <t>Camille Anne Franoise Abily</t>
  </si>
  <si>
    <t>Diana Monteiro Abla</t>
  </si>
  <si>
    <t>Thorine Christelle Aboa Mbeza</t>
  </si>
  <si>
    <t>Melita Isidora Abraham Schssler</t>
  </si>
  <si>
    <t>Yelena Vasilyevna Abramchuk (Kopets-)</t>
  </si>
  <si>
    <t>Aliyah Abrams</t>
  </si>
  <si>
    <t>rika Abril Surez</t>
  </si>
  <si>
    <t>Anastasiya Aleksandrovna Abrosimova</t>
  </si>
  <si>
    <t>Kariman Abuljadayel</t>
  </si>
  <si>
    <t>Nicole Jocelin Acevedo Tangarife</t>
  </si>
  <si>
    <t>Sharon Evelin Acevedo Tangarife</t>
  </si>
  <si>
    <t>Karem Faride Achach Ramrez</t>
  </si>
  <si>
    <t>Gemma Acheampong</t>
  </si>
  <si>
    <t>Natalie Chioma Achonwa</t>
  </si>
  <si>
    <t>Chantal Achterberg</t>
  </si>
  <si>
    <t>Mara Jos Acosta Acosta</t>
  </si>
  <si>
    <t>Tanya Acosta</t>
  </si>
  <si>
    <t>Leonie Adam</t>
  </si>
  <si>
    <t>Natalie Cammile Adams (-Brannan)</t>
  </si>
  <si>
    <t>Mareike Adams</t>
  </si>
  <si>
    <t>Nicola Virginia Adams</t>
  </si>
  <si>
    <t>Rachael Alexis Adams</t>
  </si>
  <si>
    <t>Valerie Kasanita Adams-Vili (-Price)</t>
  </si>
  <si>
    <t>Yasemin Adar</t>
  </si>
  <si>
    <t>Oluwakemi 'Kemi' Adekoya</t>
  </si>
  <si>
    <t>Odunayo Folasade Adekuoroye</t>
  </si>
  <si>
    <t>Aminat Oluwafunmilayo Adeniyi</t>
  </si>
  <si>
    <t>Adenzia Aparecida Ferreira da Silva</t>
  </si>
  <si>
    <t>Haydy Morsy Adil</t>
  </si>
  <si>
    <t>Adiyasambuu Tsolmon</t>
  </si>
  <si>
    <t>Vera Adrian</t>
  </si>
  <si>
    <t>Adriana "Adrianinha" Moiss Pinto</t>
  </si>
  <si>
    <t>Evelina Afoa</t>
  </si>
  <si>
    <t>Marina Anatolyevna Aframeyeva</t>
  </si>
  <si>
    <t>Clarisse Agbegnenou</t>
  </si>
  <si>
    <t>Maia Kristiane Agerup</t>
  </si>
  <si>
    <t>Ragna Agerup</t>
  </si>
  <si>
    <t>Norisbeth Isais Agudo Gonzlez</t>
  </si>
  <si>
    <t>Alessandra Aguilar Morn</t>
  </si>
  <si>
    <t>Evelis Jazmin Aguilar Torres</t>
  </si>
  <si>
    <t>Macarena Aguilar Daz</t>
  </si>
  <si>
    <t>Sandra Aguilar Navarro</t>
  </si>
  <si>
    <t>Yulenmis Aguilar Martnez</t>
  </si>
  <si>
    <t>Carolina Aguirre Giraldo</t>
  </si>
  <si>
    <t>Gabriela Aguirre</t>
  </si>
  <si>
    <t>Sri Wahyuni Agustiani</t>
  </si>
  <si>
    <t>Kelsie Ahbe</t>
  </si>
  <si>
    <t>Elaheh Ahmadi</t>
  </si>
  <si>
    <t>Esraa Ahmed El-Sayed</t>
  </si>
  <si>
    <t>Samia Mohamed Hagrass Ahmed</t>
  </si>
  <si>
    <t>Murielle Ahour</t>
  </si>
  <si>
    <t>Gaby Diana Ahrens</t>
  </si>
  <si>
    <t>Nicole Ahsinger</t>
  </si>
  <si>
    <t>Michelle-Lee Raquel Ahye</t>
  </si>
  <si>
    <t>Ai Yanhan</t>
  </si>
  <si>
    <t>Neringa Aidietyt</t>
  </si>
  <si>
    <t>Rosaria Aiello</t>
  </si>
  <si>
    <t>Sophie Claire Ainsworth</t>
  </si>
  <si>
    <t>Saiyidah Aisyah Mohamed Rafa'ee</t>
  </si>
  <si>
    <t>Souad At Salem (-Mahour-Bacha)</t>
  </si>
  <si>
    <t>Stella Akakpo</t>
  </si>
  <si>
    <t>Meryem (Mirriam Jepchirchir-) Akda (Mayo-)</t>
  </si>
  <si>
    <t>Svitlana Viktorivna Akhadova</t>
  </si>
  <si>
    <t>Morolake Akinosun</t>
  </si>
  <si>
    <t>Foluke Antinuke Akinradewo</t>
  </si>
  <si>
    <t>Malika Al-Akkaoui</t>
  </si>
  <si>
    <t>Monica Aksamit</t>
  </si>
  <si>
    <t>Shirin Akter</t>
  </si>
  <si>
    <t>Mazoon Khalfan Saleh Al-Alawi</t>
  </si>
  <si>
    <t>Mary Al-Atrash</t>
  </si>
  <si>
    <t>Ayesha Shahriyar Mohammed Al-Balooshi</t>
  </si>
  <si>
    <t>Wadha Bint Nasir Al-Balushi</t>
  </si>
  <si>
    <t>Nada Mohamed Abdulzaher Mohamed Al-Bedwawi</t>
  </si>
  <si>
    <t>Dalal Masfir Al-Harith</t>
  </si>
  <si>
    <t>Hajar Saeed Saad Sowaid Al-Khaldi</t>
  </si>
  <si>
    <t>Fatema Abdul Muhsin Al-Mahmeed</t>
  </si>
  <si>
    <t>Lubna Al-Omair</t>
  </si>
  <si>
    <t>Marina Alabau Neira</t>
  </si>
  <si>
    <t>Salima El Ouali Al-Alami</t>
  </si>
  <si>
    <t>Il Alben</t>
  </si>
  <si>
    <t>Fiona Albert</t>
  </si>
  <si>
    <t>Agustina Albertario</t>
  </si>
  <si>
    <t>Nely Carla Alberto Francisca</t>
  </si>
  <si>
    <t>Aurelie Alcindor</t>
  </si>
  <si>
    <t>Olympia Aldersey</t>
  </si>
  <si>
    <t>Jo Qesem Ayela Aleh</t>
  </si>
  <si>
    <t>Yana Ivanovna Alekseevna</t>
  </si>
  <si>
    <t>Habitam Alemu</t>
  </si>
  <si>
    <t>Kineke Alicia Alexander</t>
  </si>
  <si>
    <t>Alexandra Priscila do Nascimento</t>
  </si>
  <si>
    <t>Anna-Maria Alexandri</t>
  </si>
  <si>
    <t>Eirini-Marina Alexandri</t>
  </si>
  <si>
    <t>Khaido Alexouli</t>
  </si>
  <si>
    <t>Natalia Alfaro Paniagua</t>
  </si>
  <si>
    <t>Linda Camilla Algotsson</t>
  </si>
  <si>
    <t>Sara Anneli Algotsson Ostholt</t>
  </si>
  <si>
    <t>Annabel Laure Ali</t>
  </si>
  <si>
    <t>Nia Sifaatihii Ali</t>
  </si>
  <si>
    <t>Bibiro Ali Taher</t>
  </si>
  <si>
    <t>Aline Villares Reis</t>
  </si>
  <si>
    <t>Kimia Alizadeh Zenoorin</t>
  </si>
  <si>
    <t>Jasmine Alkhaldi</t>
  </si>
  <si>
    <t>Fatim Alkrmova</t>
  </si>
  <si>
    <t>Claire Allan</t>
  </si>
  <si>
    <t>Florence Allan</t>
  </si>
  <si>
    <t>Laura Colleen Gloria Alleway</t>
  </si>
  <si>
    <t>Olivia Elizabeth N. Allison-Federici</t>
  </si>
  <si>
    <t>Jenny Alm</t>
  </si>
  <si>
    <t>Rose Mary Almanza Blanco</t>
  </si>
  <si>
    <t>Luiza Tavares de Almeida</t>
  </si>
  <si>
    <t>Teresa Patrcia Almeida</t>
  </si>
  <si>
    <t>Kirstie Elaine Alora</t>
  </si>
  <si>
    <t>Malin Therse Alshammar</t>
  </si>
  <si>
    <t>Ida Alstad</t>
  </si>
  <si>
    <t>Tabea Lara Alt</t>
  </si>
  <si>
    <t>Maria Suelen Altheman</t>
  </si>
  <si>
    <t>Anita Alvarez</t>
  </si>
  <si>
    <t>Estefana lvarez Piedrahita</t>
  </si>
  <si>
    <t>Yuri Alvear Orjuela</t>
  </si>
  <si>
    <t>Nariman Aly</t>
  </si>
  <si>
    <t>Isabella del Carmen Amado Medrano</t>
  </si>
  <si>
    <t>Marielle Amant</t>
  </si>
  <si>
    <t>Yadinis Amars Rocha</t>
  </si>
  <si>
    <t>Eyawomano Doreen Amata</t>
  </si>
  <si>
    <t>Sabrina Ameghino</t>
  </si>
  <si>
    <t>Maha Amer</t>
  </si>
  <si>
    <t>Christine Amertil (-Ling)</t>
  </si>
  <si>
    <t>Audrey Amiel</t>
  </si>
  <si>
    <t>Nina Amir</t>
  </si>
  <si>
    <t>Samira Amirova</t>
  </si>
  <si>
    <t>Savitree Amitrapai</t>
  </si>
  <si>
    <t>Eduarda Idalina "Duda" Amorim-Taleska</t>
  </si>
  <si>
    <t>Janet Amponsah</t>
  </si>
  <si>
    <t>Marwa Al-Amri</t>
  </si>
  <si>
    <t>An Hyo-Ju</t>
  </si>
  <si>
    <t>An Se-Hyeon</t>
  </si>
  <si>
    <t>An Seul-Ki</t>
  </si>
  <si>
    <t>Ana Paula Rodrigues-Belo</t>
  </si>
  <si>
    <t>Phara Anacharsis</t>
  </si>
  <si>
    <t>Ioanna Anagnostopoulou</t>
  </si>
  <si>
    <t>Khrysoula Anagnostopoulou</t>
  </si>
  <si>
    <t>Yasemin Ecem Anagz</t>
  </si>
  <si>
    <t>Lolita Volodymyrivna Ananasova</t>
  </si>
  <si>
    <t>Zoya Sergeyevna Ananchenko</t>
  </si>
  <si>
    <t>milie Andol</t>
  </si>
  <si>
    <t>Anne Dsane Andersen</t>
  </si>
  <si>
    <t>Frida Andersn</t>
  </si>
  <si>
    <t>Haley Danita Anderson</t>
  </si>
  <si>
    <t>Jonna Andersson</t>
  </si>
  <si>
    <t>Mikiko Ando</t>
  </si>
  <si>
    <t>Lady Patricia Andrade Rodrguez</t>
  </si>
  <si>
    <t>Maria Andrade Teixeira</t>
  </si>
  <si>
    <t>Rebeca Rodrigues de Andrade</t>
  </si>
  <si>
    <t>Mathilde Andraud</t>
  </si>
  <si>
    <t>Maria Andrejczyk</t>
  </si>
  <si>
    <t>Andressa Cavalari Machry</t>
  </si>
  <si>
    <t>Andressa Alves da Silva</t>
  </si>
  <si>
    <t>Jessica "Jess" Andrews (-Martin)</t>
  </si>
  <si>
    <t>Sofya Denisovna Andreyeva</t>
  </si>
  <si>
    <t>Viktoriya Olegovna Andreyeva</t>
  </si>
  <si>
    <t>Tonje Angelsen</t>
  </si>
  <si>
    <t>Emilia Ankiewicz</t>
  </si>
  <si>
    <t>Ashlee Ankudinoff</t>
  </si>
  <si>
    <t>Jolanda Annen</t>
  </si>
  <si>
    <t>Giselle Anne Ansley</t>
  </si>
  <si>
    <t>Dra Antal</t>
  </si>
  <si>
    <t>Lissette Alexandra Antes Castillo</t>
  </si>
  <si>
    <t>Seema Antil</t>
  </si>
  <si>
    <t>Lenka Antoov</t>
  </si>
  <si>
    <t>Shehzana Anwar</t>
  </si>
  <si>
    <t>Chika Aoki</t>
  </si>
  <si>
    <t>Tomomi Aoki</t>
  </si>
  <si>
    <t>Emilia Elisabeth Appelqvist</t>
  </si>
  <si>
    <t>Alice Aprot Nawowuna</t>
  </si>
  <si>
    <t>Rababe Arafi</t>
  </si>
  <si>
    <t>Erika Araki</t>
  </si>
  <si>
    <t>Nada Mohammed Wafa S Arakji</t>
  </si>
  <si>
    <t>Zoe Arancini</t>
  </si>
  <si>
    <t>Mnica Sarai Arango Estrada</t>
  </si>
  <si>
    <t>Kalliopi "Kelly" Araouzou</t>
  </si>
  <si>
    <t>Linet Arasa Moraa</t>
  </si>
  <si>
    <t>Adriana dos Santos Arajo</t>
  </si>
  <si>
    <t>Amanda Carolina Gomes de Arajo</t>
  </si>
  <si>
    <t>Geisa Rafaela Arcanjo</t>
  </si>
  <si>
    <t>Katie Louise Archibald</t>
  </si>
  <si>
    <t>Isabella Arcila Hurtado</t>
  </si>
  <si>
    <t>Sandra Lorena Arenas Campuzano</t>
  </si>
  <si>
    <t>Brbara Elisabeth Arenhart</t>
  </si>
  <si>
    <t>Samantha Michelle Arvalo Salinas</t>
  </si>
  <si>
    <t>Betzabeth Anglica Argello Villegas</t>
  </si>
  <si>
    <t>Carolina Arias Vidal</t>
  </si>
  <si>
    <t>Kellys Yesenia Arias Figueroa</t>
  </si>
  <si>
    <t>Katherine Nataly Arias Pea</t>
  </si>
  <si>
    <t>Tatiana Ariza Daz</t>
  </si>
  <si>
    <t>Yuliya Vladimirovna Arkhipova-Andreyeva</t>
  </si>
  <si>
    <t>Alina Armas</t>
  </si>
  <si>
    <t>Elizabeth Mary "Lizzie" Armitstead (-Deignan)</t>
  </si>
  <si>
    <t>Kristin Ann Armstrong (-Savola)</t>
  </si>
  <si>
    <t>Mackenzie Elizabeth Arnold</t>
  </si>
  <si>
    <t>Marie-Cathrine Arnold</t>
  </si>
  <si>
    <t>Emilie Hegh Arntzen</t>
  </si>
  <si>
    <t>Tania Karina Arrayales Macas</t>
  </si>
  <si>
    <t>Heather Ann Arseth</t>
  </si>
  <si>
    <t>Andreea Arsine</t>
  </si>
  <si>
    <t>Andrea Arsovi</t>
  </si>
  <si>
    <t>Mariafe Artacho del Solar</t>
  </si>
  <si>
    <t>Jenny Lyvette Arthur</t>
  </si>
  <si>
    <t>Natalia Artic-Stratulat</t>
  </si>
  <si>
    <t>Eleni Artymata</t>
  </si>
  <si>
    <t>Zorana Arunovi</t>
  </si>
  <si>
    <t>Gremlis Andrena Arvelo Garca</t>
  </si>
  <si>
    <t>Marina Aleksandrovna Arzamasova (Katovich-)</t>
  </si>
  <si>
    <t>Laura Asadauskait-Zadneprovskien</t>
  </si>
  <si>
    <t>Sakiyo Asano</t>
  </si>
  <si>
    <t>Nataliya Asanova</t>
  </si>
  <si>
    <t>Raheleh Asemani</t>
  </si>
  <si>
    <t>Sabina Asenjo lvarez</t>
  </si>
  <si>
    <t>Geraldina Rachel "Dina" Asher-Smith</t>
  </si>
  <si>
    <t>Sabina Ashirbayeva</t>
  </si>
  <si>
    <t>Whitney Jordan Ashley</t>
  </si>
  <si>
    <t>Aditi Ashok</t>
  </si>
  <si>
    <t>Jessica Ashwood</t>
  </si>
  <si>
    <t>Kosovare "Kosse" Asllani</t>
  </si>
  <si>
    <t>Sofia Asoumanaki</t>
  </si>
  <si>
    <t>Jeanine Assani Issouf</t>
  </si>
  <si>
    <t>Sofia Assefa Abebe</t>
  </si>
  <si>
    <t>Tigist Assefa</t>
  </si>
  <si>
    <t>Sonia Asselah</t>
  </si>
  <si>
    <t>Gloria Asumnu</t>
  </si>
  <si>
    <t>Sarah Atcho</t>
  </si>
  <si>
    <t>Alia Shanee Atkinson</t>
  </si>
  <si>
    <t>Sarah Amer Attar</t>
  </si>
  <si>
    <t>Hoi Shun "Stephanie" Au</t>
  </si>
  <si>
    <t>Sandra Auffarth</t>
  </si>
  <si>
    <t>Laura Marie Aug</t>
  </si>
  <si>
    <t>Haley Ruth Augello</t>
  </si>
  <si>
    <t>Jssica de Barros Augusto</t>
  </si>
  <si>
    <t>Seimone Delicia Augustus</t>
  </si>
  <si>
    <t>Nazeli "Nazik" Avdalyan</t>
  </si>
  <si>
    <t>Ekaterina Ivanova Avramova</t>
  </si>
  <si>
    <t>Hiwot Ayalew Yeder</t>
  </si>
  <si>
    <t>Almaz Ayana Eba</t>
  </si>
  <si>
    <t>Valriane Ayayi</t>
  </si>
  <si>
    <t>Esma Aydemir</t>
  </si>
  <si>
    <t>Diana Aydosova</t>
  </si>
  <si>
    <t>Camille Anas Ayglon-Saurina</t>
  </si>
  <si>
    <t>Miranda Joy Ayim</t>
  </si>
  <si>
    <t>Duygu Aynac</t>
  </si>
  <si>
    <t>Ctia Isabel da Silva Azevedo</t>
  </si>
  <si>
    <t>Yasmina Aziez</t>
  </si>
  <si>
    <t>Houleye Ba</t>
  </si>
  <si>
    <t>Nooran Ahmed Ali Ba Matraf</t>
  </si>
  <si>
    <t>Glbadam Babamyradowa</t>
  </si>
  <si>
    <t>Lalita Shivaji Babar</t>
  </si>
  <si>
    <t>Kumari Babita</t>
  </si>
  <si>
    <t>Tmea Babos</t>
  </si>
  <si>
    <t>Marta Bach Pascual</t>
  </si>
  <si>
    <t>Diana Bacosi</t>
  </si>
  <si>
    <t>Timea Bacsinszky</t>
  </si>
  <si>
    <t>Bae Yeon-Ju</t>
  </si>
  <si>
    <t>Bae Yoo-Na</t>
  </si>
  <si>
    <t>Baek Ee-Seul</t>
  </si>
  <si>
    <t>Baek Su-Yeon</t>
  </si>
  <si>
    <t>Marta Baenza Centurion</t>
  </si>
  <si>
    <t>Viviane Kretzmann Bahia</t>
  </si>
  <si>
    <t>Meraf Bahta Ogbagaber</t>
  </si>
  <si>
    <t>Bak Ji-Yun</t>
  </si>
  <si>
    <t>Georgia Baker</t>
  </si>
  <si>
    <t>Kathleen Baker</t>
  </si>
  <si>
    <t>Shakira Baker</t>
  </si>
  <si>
    <t>Amina Barsham Bakhit</t>
  </si>
  <si>
    <t>Naima Bakkal</t>
  </si>
  <si>
    <t>Nina Balaban</t>
  </si>
  <si>
    <t>Barbora Balov</t>
  </si>
  <si>
    <t>Egl Balinait</t>
  </si>
  <si>
    <t>Tais Balconi</t>
  </si>
  <si>
    <t>Elisabeth Baldauf</t>
  </si>
  <si>
    <t>Laurence Baldauff</t>
  </si>
  <si>
    <t>Maret Balkestein-Grothues</t>
  </si>
  <si>
    <t>Coralie Balmy</t>
  </si>
  <si>
    <t>Ksenija Balta</t>
  </si>
  <si>
    <t>Margaret Bamgbose</t>
  </si>
  <si>
    <t>Andreia Bandeira</t>
  </si>
  <si>
    <t>Mamadama Bangoura</t>
  </si>
  <si>
    <t>Heather Bansley</t>
  </si>
  <si>
    <t>Sarah Banting</t>
  </si>
  <si>
    <t>Kayla Banwarth</t>
  </si>
  <si>
    <t>Bao Yuqing</t>
  </si>
  <si>
    <t>Kelly-Ann Kaylene Baptiste</t>
  </si>
  <si>
    <t>Talita Baqlah</t>
  </si>
  <si>
    <t>Elsa Mara Baquerizo McMillan</t>
  </si>
  <si>
    <t>Carina Br</t>
  </si>
  <si>
    <t>Katarzyna "Kasia" Baranowska</t>
  </si>
  <si>
    <t>Akalaini "Bui" Baravilala</t>
  </si>
  <si>
    <t>Ana Luiza Busato Barbachan</t>
  </si>
  <si>
    <t>Brbara Seixas de Freitas</t>
  </si>
  <si>
    <t>Brbara Micheline do Monte Barbosa</t>
  </si>
  <si>
    <t>Alana Barber</t>
  </si>
  <si>
    <t>Jade Fernandes Barbosa</t>
  </si>
  <si>
    <t>Neyde Marisa Pina Barbosa</t>
  </si>
  <si>
    <t>Vera Lcia Mendes Barbosa</t>
  </si>
  <si>
    <t>Virginia Bardach Martn</t>
  </si>
  <si>
    <t>Sonja Barjaktarovi</t>
  </si>
  <si>
    <t>Elinor Jane Barker</t>
  </si>
  <si>
    <t>Roxanne Kimberly Barker</t>
  </si>
  <si>
    <t>Tarasue Barnett</t>
  </si>
  <si>
    <t>Bronte Amelia Arnold Barratt</t>
  </si>
  <si>
    <t>Jennifer Mae "Jenny" Barringer-Simpson</t>
  </si>
  <si>
    <t>Mara Noel Barrionuevo</t>
  </si>
  <si>
    <t>Sarah Ellen Barrow</t>
  </si>
  <si>
    <t>Esther Barrugus Alvina</t>
  </si>
  <si>
    <t>Florina Maria Brsan-Chintoan</t>
  </si>
  <si>
    <t>Tatyana Valeryevna Barsuk</t>
  </si>
  <si>
    <t>Danka Bartekov</t>
  </si>
  <si>
    <t>Beatrice Bartelloni</t>
  </si>
  <si>
    <t>Saskia Bartusiak</t>
  </si>
  <si>
    <t>Malin Birgitta Baryard-Johnsson</t>
  </si>
  <si>
    <t>Anastasiya Vladimirovna Baryshnikova</t>
  </si>
  <si>
    <t>Kudakwashe Basopo</t>
  </si>
  <si>
    <t>Ray Bassil</t>
  </si>
  <si>
    <t>Polona Batagelj</t>
  </si>
  <si>
    <t>Noemi Batki</t>
  </si>
  <si>
    <t>Manika Batra</t>
  </si>
  <si>
    <t>Vitalina Igorevna Batsarashkina</t>
  </si>
  <si>
    <t>Emily Batty</t>
  </si>
  <si>
    <t>Jackie Baumann</t>
  </si>
  <si>
    <t>Anne Sofie Holm Baumeister (Jrgensen-)</t>
  </si>
  <si>
    <t>Iga Baumgart</t>
  </si>
  <si>
    <t>Simona Baumrtov</t>
  </si>
  <si>
    <t>Louise Bawden</t>
  </si>
  <si>
    <t>Ana Gabriela Bayardo Chan</t>
  </si>
  <si>
    <t>Bayartsogtyn Mnkhzayaa</t>
  </si>
  <si>
    <t>Bayaryn Yosi</t>
  </si>
  <si>
    <t>Martha Bayona Pineda</t>
  </si>
  <si>
    <t>zge Bayrak</t>
  </si>
  <si>
    <t>Nadezhda Valeryevna Bazhina</t>
  </si>
  <si>
    <t>Lorne Dorcas Bazolo</t>
  </si>
  <si>
    <t>Gemma Beadsworth</t>
  </si>
  <si>
    <t>Beatriz Zaneratto Joo</t>
  </si>
  <si>
    <t>Marie-ve Beauchemin-Nadeau</t>
  </si>
  <si>
    <t>Catherine Beauchemin-Pinard</t>
  </si>
  <si>
    <t>Cassandre Beaugrand</t>
  </si>
  <si>
    <t>Annika Beck</t>
  </si>
  <si>
    <t>Laetitia Beck</t>
  </si>
  <si>
    <t>Leonie Antonia Beck</t>
  </si>
  <si>
    <t>Nicole Elise Beck</t>
  </si>
  <si>
    <t>Charlotte Becker</t>
  </si>
  <si>
    <t>Janine Elizabeth Beckie</t>
  </si>
  <si>
    <t>Kierre Beckles</t>
  </si>
  <si>
    <t>Jana Beckmann</t>
  </si>
  <si>
    <t>gatha Bednarczuk Rippel</t>
  </si>
  <si>
    <t>Irina Camelia Begu</t>
  </si>
  <si>
    <t>Genevieve "Gen" Behrent</t>
  </si>
  <si>
    <t>Melanie Behringer</t>
  </si>
  <si>
    <t>Elizabeth Lyon Beisel</t>
  </si>
  <si>
    <t>Ruth Beita Vila</t>
  </si>
  <si>
    <t>Sofia Bekatorou (-Kosmatopoulos)</t>
  </si>
  <si>
    <t>Maryna Oleksandrivna Bekh</t>
  </si>
  <si>
    <t>Annemiek Bekkering</t>
  </si>
  <si>
    <t>Katia Belabbas</t>
  </si>
  <si>
    <t>Teja Belak</t>
  </si>
  <si>
    <t>Jose Blanger</t>
  </si>
  <si>
    <t>Yekaterina Vladimirovna Belanovich (Artyukh-)</t>
  </si>
  <si>
    <t>Lani Belcher</t>
  </si>
  <si>
    <t>Claudia Renate Belderbos</t>
  </si>
  <si>
    <t>Gianina Elena Beleag</t>
  </si>
  <si>
    <t>Mimi Belete Gebregeiorges</t>
  </si>
  <si>
    <t>Yehualeye Beletew</t>
  </si>
  <si>
    <t>Yvon Belin</t>
  </si>
  <si>
    <t>Maria Belimpasaki</t>
  </si>
  <si>
    <t>Julia Beljajeva</t>
  </si>
  <si>
    <t>Tia-Adana Belle</t>
  </si>
  <si>
    <t>Janeil Bellille</t>
  </si>
  <si>
    <t>Dailn Belmonte Torres</t>
  </si>
  <si>
    <t>Mireia Belmonte Garca</t>
  </si>
  <si>
    <t>Yana Borysivna Belomoina</t>
  </si>
  <si>
    <t>Mara Amelia Belotti</t>
  </si>
  <si>
    <t>Olga Konstantinovna Belova-Gorbunova</t>
  </si>
  <si>
    <t>Anastasiya Yevgenyevna Belyakova</t>
  </si>
  <si>
    <t>Rahma Ben Ali</t>
  </si>
  <si>
    <t>Afef Ben Ismail</t>
  </si>
  <si>
    <t>Meaghan Benfeito</t>
  </si>
  <si>
    <t>Angelica Therese Bengtsson</t>
  </si>
  <si>
    <t>Alejandra Jhonay de Jess Bentez Romero</t>
  </si>
  <si>
    <t>Brittany "Britt" Benn</t>
  </si>
  <si>
    <t>Karen Bennett</t>
  </si>
  <si>
    <t>Ccilia Berder</t>
  </si>
  <si>
    <t>Mdlina Bere</t>
  </si>
  <si>
    <t>Katarna Bereov</t>
  </si>
  <si>
    <t>Jana Berezko-Marggrander</t>
  </si>
  <si>
    <t>Emma Sofia Berglund</t>
  </si>
  <si>
    <t>Patricia Alejandra Bermdez</t>
  </si>
  <si>
    <t>Mara Bernabu Avomo</t>
  </si>
  <si>
    <t>Maria Bernard</t>
  </si>
  <si>
    <t>Natlia Maria Bernardo</t>
  </si>
  <si>
    <t>Soa Bernardov</t>
  </si>
  <si>
    <t>Gwen Berry</t>
  </si>
  <si>
    <t>Elena Berta</t>
  </si>
  <si>
    <t>Kiki Bertens</t>
  </si>
  <si>
    <t>Laurie Berthon</t>
  </si>
  <si>
    <t>Kathleen "Kate" Bertko</t>
  </si>
  <si>
    <t>Sara Bertolasi</t>
  </si>
  <si>
    <t>Veronica Bertolini</t>
  </si>
  <si>
    <t>Catherine Bertone</t>
  </si>
  <si>
    <t>Azza Besbes</t>
  </si>
  <si>
    <t>Sarra Besbes</t>
  </si>
  <si>
    <t>Claudia Alejandra Betancur Suescun</t>
  </si>
  <si>
    <t>Berta Betanzos Moro</t>
  </si>
  <si>
    <t>Amina Bettiche</t>
  </si>
  <si>
    <t>Nicole Beukers</t>
  </si>
  <si>
    <t>Kelsey Bevan</t>
  </si>
  <si>
    <t>Allison Beveridge</t>
  </si>
  <si>
    <t>Eleanor Bezzina</t>
  </si>
  <si>
    <t>Saraswati Bhattarai</t>
  </si>
  <si>
    <t>Bian Ka</t>
  </si>
  <si>
    <t>Ilaria Bianchi</t>
  </si>
  <si>
    <t>Valeria Bianchi</t>
  </si>
  <si>
    <t>Ilaria Bianco</t>
  </si>
  <si>
    <t>Roberta Bianconi</t>
  </si>
  <si>
    <t>Magorzata Biaecka</t>
  </si>
  <si>
    <t>Olha Anatolivna Bibik</t>
  </si>
  <si>
    <t>Yuliya Valentinovna Bichik</t>
  </si>
  <si>
    <t>Fiona Clare Bigwood</t>
  </si>
  <si>
    <t>Simone Arianne Biles</t>
  </si>
  <si>
    <t>Cindy Billaud</t>
  </si>
  <si>
    <t>Lauren Billys</t>
  </si>
  <si>
    <t>Khamica Bingham</t>
  </si>
  <si>
    <t>Suzanne Brigit "Sue" Bird</t>
  </si>
  <si>
    <t>Vera Leonidovna Biryukova</t>
  </si>
  <si>
    <t>Ketija Birzule</t>
  </si>
  <si>
    <t>Pauline Biscarat</t>
  </si>
  <si>
    <t>Isobel Bishop</t>
  </si>
  <si>
    <t>Melissa Corrine Bishop</t>
  </si>
  <si>
    <t>Christine Louise Bjerendal</t>
  </si>
  <si>
    <t>Susann Jakobsen Bjrnsen</t>
  </si>
  <si>
    <t>Elsabeth "Ellie" Black</t>
  </si>
  <si>
    <t>Emma Stina Blackstenius</t>
  </si>
  <si>
    <t>Alicia Jane Blagg</t>
  </si>
  <si>
    <t>Jessica Blaszka</t>
  </si>
  <si>
    <t>Holly Bethan Bleasdale-Bradshaw</t>
  </si>
  <si>
    <t>Irina Valeryevna Bliznova</t>
  </si>
  <si>
    <t>Anastasiya Ilyinichna Bliznyuk</t>
  </si>
  <si>
    <t>Shani Bloch (-Davidov)</t>
  </si>
  <si>
    <t>Linn Blohm</t>
  </si>
  <si>
    <t>Merel Blom</t>
  </si>
  <si>
    <t>Hanna Blomstrand</t>
  </si>
  <si>
    <t>Olga Yevgenyevna Bludova-Safronova</t>
  </si>
  <si>
    <t>Pernille Blume</t>
  </si>
  <si>
    <t>Jennifer "Jenny" Blundell</t>
  </si>
  <si>
    <t>Madonna Blyth</t>
  </si>
  <si>
    <t>Anna Boada Peir</t>
  </si>
  <si>
    <t>Elyane Eullia Alfama Duarte Freire de Andrade Boal</t>
  </si>
  <si>
    <t>Lucilla Boari</t>
  </si>
  <si>
    <t>Claudia Mihaela Bobocea</t>
  </si>
  <si>
    <t>Ancua Bobocel</t>
  </si>
  <si>
    <t>Vladlena Eduardovna Bobrovnikova</t>
  </si>
  <si>
    <t>Annika Bochmann</t>
  </si>
  <si>
    <t>Lauren Boden-Wells</t>
  </si>
  <si>
    <t>Madeleine Samantha Bodo Essissima</t>
  </si>
  <si>
    <t>Melissa Boekelman</t>
  </si>
  <si>
    <t>Sylwia Katarzyna Bogacka</t>
  </si>
  <si>
    <t>Tijana Bogdanovi</t>
  </si>
  <si>
    <t>Anastasia Katerina Bogdanovski</t>
  </si>
  <si>
    <t>Andreea Boghian</t>
  </si>
  <si>
    <t>Georgia Bohl</t>
  </si>
  <si>
    <t>Aauri Lorena Bokesa Abia</t>
  </si>
  <si>
    <t>Linda Bolder</t>
  </si>
  <si>
    <t>Cynthia Maduengele Bolingo Mbongo</t>
  </si>
  <si>
    <t>Berta Bonastre Peremateu</t>
  </si>
  <si>
    <t>Yaroslava Aleksandrovna Bondarenko</t>
  </si>
  <si>
    <t>Edwina Claire Bone</t>
  </si>
  <si>
    <t>Antoaneta Nikolaeva Boneva</t>
  </si>
  <si>
    <t>Celma da Graa Soares Bonfim</t>
  </si>
  <si>
    <t>Magaly Bonilla Sols</t>
  </si>
  <si>
    <t>Charlotte Bonin</t>
  </si>
  <si>
    <t>Daisurami Bonne Rousseau</t>
  </si>
  <si>
    <t>Charlotte Bonnet</t>
  </si>
  <si>
    <t>Giorgia Bordignon</t>
  </si>
  <si>
    <t>Cleopatra Ayesha Borel-Brown</t>
  </si>
  <si>
    <t>Karla Borger</t>
  </si>
  <si>
    <t>Luisa Nunes Porto Borges</t>
  </si>
  <si>
    <t>Mariya Olegovna Borisova</t>
  </si>
  <si>
    <t>Olivia Borle</t>
  </si>
  <si>
    <t>Brittany Borman</t>
  </si>
  <si>
    <t>Willemijn Bos</t>
  </si>
  <si>
    <t>Leticia Boscacci</t>
  </si>
  <si>
    <t>Tijana Bokovi</t>
  </si>
  <si>
    <t>Vanessa Boslak</t>
  </si>
  <si>
    <t>Teona Bostashvili</t>
  </si>
  <si>
    <t>Christine Botlogetswe</t>
  </si>
  <si>
    <t>Ins Boubakri</t>
  </si>
  <si>
    <t>Dominique Bouchard</t>
  </si>
  <si>
    <t>Eugenie Bouchard</t>
  </si>
  <si>
    <t>Amel Bouderra</t>
  </si>
  <si>
    <t>Saoussen Boudiaf</t>
  </si>
  <si>
    <t>Marcelle Cecilia Bouele Bondo</t>
  </si>
  <si>
    <t>Farah Boufadene</t>
  </si>
  <si>
    <t>Sarah Bouhaddi</t>
  </si>
  <si>
    <t>Kawtar Boulaid</t>
  </si>
  <si>
    <t>Carline Bouw</t>
  </si>
  <si>
    <t>Marit Bouwmeester</t>
  </si>
  <si>
    <t>Kate Elizabeth "Katie" Bowen-Duncan</t>
  </si>
  <si>
    <t>Frentorish "Tori" Bowie</t>
  </si>
  <si>
    <t>Brenda Bowskill</t>
  </si>
  <si>
    <t>Alana Boyd</t>
  </si>
  <si>
    <t>Danielle "Dannie" Boyd</t>
  </si>
  <si>
    <t>Marine Clmence Boyer</t>
  </si>
  <si>
    <t>Lauren Marie Boyle</t>
  </si>
  <si>
    <t>Elisa Bozzo</t>
  </si>
  <si>
    <t>Jovana Brakoevi-Kancian</t>
  </si>
  <si>
    <t>Cristina Direito Branco</t>
  </si>
  <si>
    <t>Isabel Brand Leu</t>
  </si>
  <si>
    <t>Dorothea Brandt</t>
  </si>
  <si>
    <t>Mara Branz</t>
  </si>
  <si>
    <t>Ana Maria Florentina Brnz-Popescu</t>
  </si>
  <si>
    <t>Sarah-Anne Brault</t>
  </si>
  <si>
    <t>Elizabeth Mara Bravo iguez</t>
  </si>
  <si>
    <t>Marina Bravo Bragado</t>
  </si>
  <si>
    <t>Sophie Charlotte Bray</t>
  </si>
  <si>
    <t>Kelly Brazier</t>
  </si>
  <si>
    <t>Melissa Breen</t>
  </si>
  <si>
    <t>Lisa Brennauer</t>
  </si>
  <si>
    <t>Klaudia Bre</t>
  </si>
  <si>
    <t>Marine Grace Brevet</t>
  </si>
  <si>
    <t>Andrea Brewster</t>
  </si>
  <si>
    <t>Morgan Paige Brian</t>
  </si>
  <si>
    <t>Stphanie Brieussel</t>
  </si>
  <si>
    <t>Christine Brinker-Wenzel</t>
  </si>
  <si>
    <t>Leidys Milagros Brito</t>
  </si>
  <si>
    <t>Fionnuala Britton-McCormack</t>
  </si>
  <si>
    <t>Laurence Brize</t>
  </si>
  <si>
    <t>Sarah Bro</t>
  </si>
  <si>
    <t>Yvette Broch</t>
  </si>
  <si>
    <t>Allison M. Brock</t>
  </si>
  <si>
    <t>Jamie Lynn Broder</t>
  </si>
  <si>
    <t>Nadine Martina Broersen</t>
  </si>
  <si>
    <t>Giorgia Bronzini</t>
  </si>
  <si>
    <t>Kristina Brring-Sprehe</t>
  </si>
  <si>
    <t>Julie Brougham</t>
  </si>
  <si>
    <t>Gayle Broughton</t>
  </si>
  <si>
    <t>Abigail "Abbie" Brown</t>
  </si>
  <si>
    <t>Alicia Brown</t>
  </si>
  <si>
    <t>Laura Brown</t>
  </si>
  <si>
    <t>Mackenzie Brown</t>
  </si>
  <si>
    <t>Nathalie Brugger</t>
  </si>
  <si>
    <t>Annika Bruhn</t>
  </si>
  <si>
    <t>Ese Brume</t>
  </si>
  <si>
    <t>Bruna Beatriz Benites Soares</t>
  </si>
  <si>
    <t>Manon Brunet</t>
  </si>
  <si>
    <t>Rachele Bruni</t>
  </si>
  <si>
    <t>Maria Bruno</t>
  </si>
  <si>
    <t>Yelyzaveta Viktorivna Bryzhina</t>
  </si>
  <si>
    <t>Monika Brzostek</t>
  </si>
  <si>
    <t>Matelita Buadromo</t>
  </si>
  <si>
    <t>Eliza-Iulia Buceschi</t>
  </si>
  <si>
    <t>Caroline Buchanan</t>
  </si>
  <si>
    <t>Kadeisha Buchanan</t>
  </si>
  <si>
    <t>Rushlee Buchanan</t>
  </si>
  <si>
    <t>Selina Christina Bchel</t>
  </si>
  <si>
    <t>Nicole Bchler</t>
  </si>
  <si>
    <t>Hannah Buckling</t>
  </si>
  <si>
    <t>Zoe Buckman</t>
  </si>
  <si>
    <t>Rosane Sibele Budag Ewald</t>
  </si>
  <si>
    <t>Siri Arun Budcharern</t>
  </si>
  <si>
    <t>Tiril Merete Hartvedt Bue</t>
  </si>
  <si>
    <t>Lrke Buhl-Hansen</t>
  </si>
  <si>
    <t>Kim Bui</t>
  </si>
  <si>
    <t>Anne Buijs</t>
  </si>
  <si>
    <t>Cristina Ioana Bujin</t>
  </si>
  <si>
    <t>Barbara Bujka</t>
  </si>
  <si>
    <t>Mandy Marie Brigitte Bujold</t>
  </si>
  <si>
    <t>Mabika Yolande Bukasa</t>
  </si>
  <si>
    <t>Yekaterina Borisovna Bukina</t>
  </si>
  <si>
    <t>Anela Bulatovi</t>
  </si>
  <si>
    <t>Katarina Bulatovi</t>
  </si>
  <si>
    <t>Ana Beatriz "Bia" di Rienzo Bulco</t>
  </si>
  <si>
    <t>Alyssa Bull</t>
  </si>
  <si>
    <t>Chlo Bulleux</t>
  </si>
  <si>
    <t>Johanna Bundsen</t>
  </si>
  <si>
    <t>Seren Bundy-Davies</t>
  </si>
  <si>
    <t>Porntip Buranaprasertsuk</t>
  </si>
  <si>
    <t>Lely Berlitt Burgos Ortz</t>
  </si>
  <si>
    <t>Olena Sviatoslavivna Buriak</t>
  </si>
  <si>
    <t>Gelete Burka Bati</t>
  </si>
  <si>
    <t>Alyce Burnett</t>
  </si>
  <si>
    <t>Natalie Burton</t>
  </si>
  <si>
    <t>Bianka Bua</t>
  </si>
  <si>
    <t>Florencia Natasha Busquets Reyes</t>
  </si>
  <si>
    <t>lise Bussaglia</t>
  </si>
  <si>
    <t>Britta Kristin Bthe</t>
  </si>
  <si>
    <t>Lara Butler</t>
  </si>
  <si>
    <t>Dajana Butulija</t>
  </si>
  <si>
    <t>Kimberly Buys</t>
  </si>
  <si>
    <t>ala Bykakay</t>
  </si>
  <si>
    <t>Paulina Buziak</t>
  </si>
  <si>
    <t>Atheyna Bylon</t>
  </si>
  <si>
    <t>Denia Caballero Ponce</t>
  </si>
  <si>
    <t>Ana Isabel Vermelhudo Cabecinha</t>
  </si>
  <si>
    <t>Alexandrina Cabral Barbosa</t>
  </si>
  <si>
    <t>Francelina Cabral</t>
  </si>
  <si>
    <t>Lani Rose Cabrera</t>
  </si>
  <si>
    <t>Kateina Cachov</t>
  </si>
  <si>
    <t>Bahar alar</t>
  </si>
  <si>
    <t>Tania Cagnotto (-Parolin)</t>
  </si>
  <si>
    <t>Chiara Cainero</t>
  </si>
  <si>
    <t>Olcay akr</t>
  </si>
  <si>
    <t>Hilary Caldwell</t>
  </si>
  <si>
    <t>Mara Elena Calle Galarza</t>
  </si>
  <si>
    <t>Beatrice Callegari</t>
  </si>
  <si>
    <t>Mlina Clugreanu</t>
  </si>
  <si>
    <t>Eva Calvo Gmez</t>
  </si>
  <si>
    <t>Tania Calvo Barbero</t>
  </si>
  <si>
    <t>Elizabeth Folake "Liz" Cambage</t>
  </si>
  <si>
    <t>Yssica Camilo Gonzlez</t>
  </si>
  <si>
    <t>Amber Campbell</t>
  </si>
  <si>
    <t>Bronte Campbell</t>
  </si>
  <si>
    <t>Cate Natalie Campbell</t>
  </si>
  <si>
    <t>Simoya Kadine Campbell</t>
  </si>
  <si>
    <t>Veronica Angella Campbell-Brown</t>
  </si>
  <si>
    <t>Roco Campigli</t>
  </si>
  <si>
    <t>Luiza Gonzalez da Costa Campos</t>
  </si>
  <si>
    <t>Mara Pilar Campoy</t>
  </si>
  <si>
    <t>Daniela Campuzano Chvez Pen</t>
  </si>
  <si>
    <t>Yasemin Can</t>
  </si>
  <si>
    <t>Marie-Florence Candassamy</t>
  </si>
  <si>
    <t>Marina Canetta Gobbi</t>
  </si>
  <si>
    <t>Marina Canetti</t>
  </si>
  <si>
    <t>Tue Cantez</t>
  </si>
  <si>
    <t>Karol-Ann Canuel</t>
  </si>
  <si>
    <t>Cao Hui</t>
  </si>
  <si>
    <t>Cao Yue</t>
  </si>
  <si>
    <t>Corina Oana Cprioriu</t>
  </si>
  <si>
    <t>Marzia Caravelli</t>
  </si>
  <si>
    <t>Ona Carbonell Ballestero</t>
  </si>
  <si>
    <t>Kelsey Card</t>
  </si>
  <si>
    <t>Daniela Bruno Stoffel Cardoso</t>
  </si>
  <si>
    <t>Diletta Carli</t>
  </si>
  <si>
    <t>Jazmin Roxy "Jazz" Carlin</t>
  </si>
  <si>
    <t>Azenaide Danila Jos Carlos</t>
  </si>
  <si>
    <t>Ryan Carlyle</t>
  </si>
  <si>
    <t>Sara Lopez Mota Carmo</t>
  </si>
  <si>
    <t>Priscilla Andreia Stevaux Carnaval</t>
  </si>
  <si>
    <t>Olivia Frances Carnegie-Brown</t>
  </si>
  <si>
    <t>Ellie Madison Carpenter</t>
  </si>
  <si>
    <t>Amanda Mildred Carr</t>
  </si>
  <si>
    <t>Cecilia Carranza Saroli</t>
  </si>
  <si>
    <t>Daniela Matarazzo Carraro</t>
  </si>
  <si>
    <t>Martina Carraro</t>
  </si>
  <si>
    <t>Marisol Carrat</t>
  </si>
  <si>
    <t>Edna Guadalupe Carrillo Torres</t>
  </si>
  <si>
    <t>Yeseida Isaid Carrillo Torres</t>
  </si>
  <si>
    <t>Lisa Carrington</t>
  </si>
  <si>
    <t>Carolena Jean Carstens Salceda</t>
  </si>
  <si>
    <t>Michelle Denee Carter</t>
  </si>
  <si>
    <t>Louise Carton</t>
  </si>
  <si>
    <t>Luza vila Borges Carvalho</t>
  </si>
  <si>
    <t>Mara Casado Gonzlez</t>
  </si>
  <si>
    <t>Gilda Isabelis Casanova Aguilera</t>
  </si>
  <si>
    <t>Helena Casas Roige</t>
  </si>
  <si>
    <t>Beln Adaluz Casetta</t>
  </si>
  <si>
    <t>Miriam Casillas Garca</t>
  </si>
  <si>
    <t>Charlotte Caslick</t>
  </si>
  <si>
    <t>Yael Castiglione</t>
  </si>
  <si>
    <t>Arianna Castiglioni</t>
  </si>
  <si>
    <t>Carolina Castillo Hidalgo</t>
  </si>
  <si>
    <t>Yalennis Castillo Ramrez</t>
  </si>
  <si>
    <t>Kristi Castlin</t>
  </si>
  <si>
    <t>ngela Melania Castro Chirivechz</t>
  </si>
  <si>
    <t>Lilian Castro</t>
  </si>
  <si>
    <t>Patricia Castro Ortega</t>
  </si>
  <si>
    <t>Simona Castro Lazo</t>
  </si>
  <si>
    <t>Tamika Devonne Catchings</t>
  </si>
  <si>
    <t>Stephanie-Elise "Steph" Catley</t>
  </si>
  <si>
    <t>Kelly Catlin</t>
  </si>
  <si>
    <t>Camilla Cattaneo</t>
  </si>
  <si>
    <t>Jssica Bruin Cavalheiro</t>
  </si>
  <si>
    <t>Martina Cavallero</t>
  </si>
  <si>
    <t>Rachel Elizabeth Cawthorn</t>
  </si>
  <si>
    <t>Magda Alfredo Cazanga</t>
  </si>
  <si>
    <t>Saa ao</t>
  </si>
  <si>
    <t>Alicia Cebrin Martnez de Lagos</t>
  </si>
  <si>
    <t>Elena Cecchini</t>
  </si>
  <si>
    <t>Camilla Cedercreutz</t>
  </si>
  <si>
    <t>Andrea del Rosario Cedrn Rodrguez</t>
  </si>
  <si>
    <t>Jeena elnova-Prokopuka</t>
  </si>
  <si>
    <t>Martina Centofanti</t>
  </si>
  <si>
    <t>Nadia Centoni</t>
  </si>
  <si>
    <t>Vernica Cepede Royg</t>
  </si>
  <si>
    <t>Larisa Ceri</t>
  </si>
  <si>
    <t>Marua ernjul</t>
  </si>
  <si>
    <t>Linda Cerruti</t>
  </si>
  <si>
    <t>Isadora Cerullo</t>
  </si>
  <si>
    <t>Yennifer Mariana Csar Salazar</t>
  </si>
  <si>
    <t>Claudia Cesarini</t>
  </si>
  <si>
    <t>Rosa Alba Chacha Chacha</t>
  </si>
  <si>
    <t>Louisa Chafee</t>
  </si>
  <si>
    <t>Sheila Chajira Kavugwe</t>
  </si>
  <si>
    <t>Victria Chamorro</t>
  </si>
  <si>
    <t>Chan Hao-Ching</t>
  </si>
  <si>
    <t>Zhi Cheng "Tiffany" Chan</t>
  </si>
  <si>
    <t>Chan Yung-Jan</t>
  </si>
  <si>
    <t>Dutee Chand</t>
  </si>
  <si>
    <t>Apurvi Singh Chandela</t>
  </si>
  <si>
    <t>Chang Hye-Jin</t>
  </si>
  <si>
    <t>Chang Ye-Na</t>
  </si>
  <si>
    <t>Natthanan Chankrajang</t>
  </si>
  <si>
    <t>Kamolwan Chanyim</t>
  </si>
  <si>
    <t>Allysha Chapman</t>
  </si>
  <si>
    <t>Karen Charles (Cope-)</t>
  </si>
  <si>
    <t>Tina Alexandria Charles</t>
  </si>
  <si>
    <t>Samantha "Sam" Charlton</t>
  </si>
  <si>
    <t>Olfa Al-Charni</t>
  </si>
  <si>
    <t>Chanice Chase-Taylor</t>
  </si>
  <si>
    <t>Chau Hoi Wah</t>
  </si>
  <si>
    <t>Elisabeth Chvez Hernndez</t>
  </si>
  <si>
    <t>Viviana Micaela Chvez</t>
  </si>
  <si>
    <t>Viktoriya Vladimirovna Chayka</t>
  </si>
  <si>
    <t>Winny Chebet</t>
  </si>
  <si>
    <t>Nihel Cheikh Rouhou</t>
  </si>
  <si>
    <t>Lonah Korlima Chemtai</t>
  </si>
  <si>
    <t>Chen Fang</t>
  </si>
  <si>
    <t>Chen Jie</t>
  </si>
  <si>
    <t>Chen Nan</t>
  </si>
  <si>
    <t>Chen Nien-Chin</t>
  </si>
  <si>
    <t>Chen Peina</t>
  </si>
  <si>
    <t>Chen Qian</t>
  </si>
  <si>
    <t>Chen Ruolin</t>
  </si>
  <si>
    <t>Chen Szu-Yu</t>
  </si>
  <si>
    <t>Chen Wei-Ling</t>
  </si>
  <si>
    <t>Chen Wen-Ling</t>
  </si>
  <si>
    <t>Hsuan-Yu "Wendy" Chen</t>
  </si>
  <si>
    <t>Chen Xiaojia</t>
  </si>
  <si>
    <t>Chen Xinyi</t>
  </si>
  <si>
    <t>Chen Yang</t>
  </si>
  <si>
    <t>Chen Ying</t>
  </si>
  <si>
    <t>Chen Yu-Hsuan</t>
  </si>
  <si>
    <t>Li Mei "Camille Lily" Cheng</t>
  </si>
  <si>
    <t>Cheng I-Ching</t>
  </si>
  <si>
    <t>Cheon Eun-Bi</t>
  </si>
  <si>
    <t>Cheong Jun Hoong</t>
  </si>
  <si>
    <t>Beatrice Chepkoech Sitonik</t>
  </si>
  <si>
    <t>Mariana Cherdivar-Eanu</t>
  </si>
  <si>
    <t>Oreoluwa Cherebin</t>
  </si>
  <si>
    <t>Imne Ouneissa Cherif Sahraoui</t>
  </si>
  <si>
    <t>Alla Kostiantynivna Cherkasova</t>
  </si>
  <si>
    <t>Maryna Mykolavna Cherniak</t>
  </si>
  <si>
    <t>Emilee Cherry</t>
  </si>
  <si>
    <t>Vivian Jepkemoi Cheruiyot</t>
  </si>
  <si>
    <t>Izabella Maizza Chiappini</t>
  </si>
  <si>
    <t>Eunice Chibanda</t>
  </si>
  <si>
    <t>Kseniya Eduardovna Chibisova</t>
  </si>
  <si>
    <t>Jennifer Dugwen Chieng</t>
  </si>
  <si>
    <t>Maria Benedicta Chigbolu</t>
  </si>
  <si>
    <t>Vlada Aleksandrovna Chigiryova</t>
  </si>
  <si>
    <t>Darya Yaroslavovna Chikunova</t>
  </si>
  <si>
    <t>Eilidh Child-Doyle</t>
  </si>
  <si>
    <t>Gayane Chiloyan</t>
  </si>
  <si>
    <t>Svetlana Mikhaylovna Chimrova</t>
  </si>
  <si>
    <t>Laura Chiper</t>
  </si>
  <si>
    <t>Mavis Chirandu</t>
  </si>
  <si>
    <t>Cristina Chirichella</t>
  </si>
  <si>
    <t>Tatiana Chica</t>
  </si>
  <si>
    <t>Andreea Stefania Chiu</t>
  </si>
  <si>
    <t>Cho Hye-Jin</t>
  </si>
  <si>
    <t>Choe Hyo-Sim</t>
  </si>
  <si>
    <t>Choi Eun-Sook</t>
  </si>
  <si>
    <t>Choi In-Jeong</t>
  </si>
  <si>
    <t>Choi Mi-Sun</t>
  </si>
  <si>
    <t>Choi Su-Min</t>
  </si>
  <si>
    <t>Sra Cholnoky</t>
  </si>
  <si>
    <t>Bei Fen Jovina Choo</t>
  </si>
  <si>
    <t>Nyuk Lian "Leanne" Choo</t>
  </si>
  <si>
    <t>Maialen Chourraut Yurramendi</t>
  </si>
  <si>
    <t>Chov Sotheara</t>
  </si>
  <si>
    <t>Felice Chow</t>
  </si>
  <si>
    <t>Margaux Emmanuelle Chrtien</t>
  </si>
  <si>
    <t>Nina Christen</t>
  </si>
  <si>
    <t>Simone Tetsche Christensen</t>
  </si>
  <si>
    <t>Antri Christoforou</t>
  </si>
  <si>
    <t>Kate Christowitz</t>
  </si>
  <si>
    <t>Chuang Chia-Chia</t>
  </si>
  <si>
    <t>Chun In-Gee</t>
  </si>
  <si>
    <t>Oksana Aleksandrovna Chusovitina</t>
  </si>
  <si>
    <t>Monika Ciaciuch</t>
  </si>
  <si>
    <t>Hlna Ciak</t>
  </si>
  <si>
    <t>Angelika Cichocka</t>
  </si>
  <si>
    <t>Jeanine Cicognini</t>
  </si>
  <si>
    <t>Aina Cid Centelles</t>
  </si>
  <si>
    <t>Carlota Ciganda Machiena</t>
  </si>
  <si>
    <t>Mathilde Cini</t>
  </si>
  <si>
    <t>Elena Daniela Crlan</t>
  </si>
  <si>
    <t>Sandie Clair</t>
  </si>
  <si>
    <t>Taliqua Clancy</t>
  </si>
  <si>
    <t>Francesca Clapcich</t>
  </si>
  <si>
    <t>Katie Lauren Clark</t>
  </si>
  <si>
    <t>Caroline Archer "KK" Clark</t>
  </si>
  <si>
    <t>Saskia Clark</t>
  </si>
  <si>
    <t>Kendra Clarke</t>
  </si>
  <si>
    <t>Lanece Clarke</t>
  </si>
  <si>
    <t>Perrine Clauzel</t>
  </si>
  <si>
    <t>ngela Corina Clavijo Silva</t>
  </si>
  <si>
    <t>Jane-Anne Claxton</t>
  </si>
  <si>
    <t>Jennifer Cleary</t>
  </si>
  <si>
    <t>lodie Pascaline Clouvel</t>
  </si>
  <si>
    <t>Georgia Amy Coates</t>
  </si>
  <si>
    <t>Emma Jane Coburn</t>
  </si>
  <si>
    <t>Sophie Cocks</t>
  </si>
  <si>
    <t>Corey Cogdell-Unrein</t>
  </si>
  <si>
    <t>Roxana Gabriela Cogianu</t>
  </si>
  <si>
    <t>Gil Cohen</t>
  </si>
  <si>
    <t>Gili Cohen</t>
  </si>
  <si>
    <t>Adelina Maria Cojocariu-Bogus</t>
  </si>
  <si>
    <t>Michelle Elizabeth Coleman</t>
  </si>
  <si>
    <t>Ndia Gomes Colhado</t>
  </si>
  <si>
    <t>Brbara Roco Comba</t>
  </si>
  <si>
    <t>Gloria Comerma Broto</t>
  </si>
  <si>
    <t>Aude Compan</t>
  </si>
  <si>
    <t>Jhennifer Alves da Conceio</t>
  </si>
  <si>
    <t>Muriel Coneo Paredes</t>
  </si>
  <si>
    <t>Alyssa Conley</t>
  </si>
  <si>
    <t>Kimberley Frances "Kim" Conley</t>
  </si>
  <si>
    <t>Breege Connolly</t>
  </si>
  <si>
    <t>Giulia Conti</t>
  </si>
  <si>
    <t>Yudelquis Maridalia Contreras</t>
  </si>
  <si>
    <t>Sally Conway</t>
  </si>
  <si>
    <t>Kassidy Leigh Cook</t>
  </si>
  <si>
    <t>Tamsin Cook</t>
  </si>
  <si>
    <t>Katherine Sarah "Kat" Copeland</t>
  </si>
  <si>
    <t>Aye Cora</t>
  </si>
  <si>
    <t>Audrey Cordon (-Ragot)</t>
  </si>
  <si>
    <t>Pilar Lucrecia Cordn Muro</t>
  </si>
  <si>
    <t>Wendy Gabriela Cornejo Aliaga</t>
  </si>
  <si>
    <t>Monique Adelinde Cornelissen</t>
  </si>
  <si>
    <t>Aliz Cornet</t>
  </si>
  <si>
    <t>Brbara Cornudella Ravetllat</t>
  </si>
  <si>
    <t>Stefany Mildred Coronado Gemio</t>
  </si>
  <si>
    <t>Joana Ribeiro Costa</t>
  </si>
  <si>
    <t>Keila da Silva da Costa</t>
  </si>
  <si>
    <t>Melania Felicitas Costa Schmid</t>
  </si>
  <si>
    <t>Rayssa Costa de Oliveira</t>
  </si>
  <si>
    <t>Susana Cristina Sade da Costa</t>
  </si>
  <si>
    <t>Aleksandra Cotti</t>
  </si>
  <si>
    <t>Tonia Couch</t>
  </si>
  <si>
    <t>Geisa Aparecida Muniz Coutinho</t>
  </si>
  <si>
    <t>Alicia Jayne Coutts</t>
  </si>
  <si>
    <t>Kirsty Leigh Coventry (-Seward)</t>
  </si>
  <si>
    <t>Carmiesha Cox</t>
  </si>
  <si>
    <t>Natalya Coyle</t>
  </si>
  <si>
    <t>Amelia "Amy" Cozad</t>
  </si>
  <si>
    <t>Vanessa Cozzi</t>
  </si>
  <si>
    <t>Morgan Craft</t>
  </si>
  <si>
    <t>Shanice Craft</t>
  </si>
  <si>
    <t>Kameryn Louise "Kami" Craig</t>
  </si>
  <si>
    <t>Brooke Leeann Crain</t>
  </si>
  <si>
    <t>Lauren Crandall</t>
  </si>
  <si>
    <t>Mariana Cress</t>
  </si>
  <si>
    <t>Anja Crevar</t>
  </si>
  <si>
    <t>Brittany Crew</t>
  </si>
  <si>
    <t>Cristiane Rozeira de Souza Silva</t>
  </si>
  <si>
    <t>Victoria Crivelli</t>
  </si>
  <si>
    <t>Jovana Crnogorac</t>
  </si>
  <si>
    <t>Hannah Cross</t>
  </si>
  <si>
    <t>Francisca Crovetto Chadid</t>
  </si>
  <si>
    <t>Kimberley "Kim" Crow-Brennan</t>
  </si>
  <si>
    <t>Larissa Rose Crummer</t>
  </si>
  <si>
    <t>Anna Cruz Lebrato</t>
  </si>
  <si>
    <t>urea Esther "Aury" Cruz</t>
  </si>
  <si>
    <t>Eglis Yaima Cruz Farfn</t>
  </si>
  <si>
    <t>Aleksandra Crvendaki</t>
  </si>
  <si>
    <t>Dra Csabai</t>
  </si>
  <si>
    <t>va Csernoviczki</t>
  </si>
  <si>
    <t>Tamara Csipes</t>
  </si>
  <si>
    <t>Zsfia Katalin Csonka</t>
  </si>
  <si>
    <t>Virginie Cueff</t>
  </si>
  <si>
    <t>Fiorella Francesca Cueva Uribe</t>
  </si>
  <si>
    <t>Elizabeth Cui</t>
  </si>
  <si>
    <t>Cui Qiuxia</t>
  </si>
  <si>
    <t>Chay Crista Kerio Cullen</t>
  </si>
  <si>
    <t>Merewai Cumu</t>
  </si>
  <si>
    <t>Ana Marcela Jesus Soares da Cunha</t>
  </si>
  <si>
    <t>Vashti Cunningham</t>
  </si>
  <si>
    <t>Amy Louise Cure</t>
  </si>
  <si>
    <t>Mria Czakov</t>
  </si>
  <si>
    <t>Dra Czigny</t>
  </si>
  <si>
    <t>Abigail "Abbey" D'Agostino</t>
  </si>
  <si>
    <t>Sabrina D'Angelo</t>
  </si>
  <si>
    <t>Tain Mayara da Paixo</t>
  </si>
  <si>
    <t>Duane Da Rocha Marc</t>
  </si>
  <si>
    <t>Adriana Aparecida da Silva</t>
  </si>
  <si>
    <t>Fernanda Frana da Silva</t>
  </si>
  <si>
    <t>Gabrielle Mores da Silva</t>
  </si>
  <si>
    <t>Mayra Aguiar da Silva</t>
  </si>
  <si>
    <t>Nada Daabousov</t>
  </si>
  <si>
    <t>Zoulehia Abzetta Dabonne</t>
  </si>
  <si>
    <t>Ana Dabovi</t>
  </si>
  <si>
    <t>Milica Dabovi</t>
  </si>
  <si>
    <t>Sara Ilonka Dbritz</t>
  </si>
  <si>
    <t>Gabriela "Gaby" Dabrowski</t>
  </si>
  <si>
    <t>Milana Kamilkhanovna Dadasheva</t>
  </si>
  <si>
    <t>Ivona Dadic</t>
  </si>
  <si>
    <t>Gunn Rita Dahle-Flesj</t>
  </si>
  <si>
    <t>Jennifer "Jenny" Dahlgren Fitzner</t>
  </si>
  <si>
    <t>Lisa Karolina Viktoria Dahlkvist</t>
  </si>
  <si>
    <t>Kenza Tifahi Dahmani</t>
  </si>
  <si>
    <t>Neisi Patricia Dajomes Barrera</t>
  </si>
  <si>
    <t>Francesca Dallap</t>
  </si>
  <si>
    <t>Chloe Elysha Dalton</t>
  </si>
  <si>
    <t>Blandine Dancette</t>
  </si>
  <si>
    <t>Silviya Georgieva Danekova</t>
  </si>
  <si>
    <t>Anna Danesi</t>
  </si>
  <si>
    <t>Debra Daniel</t>
  </si>
  <si>
    <t>Alexandra Mary L. "Alex" Danson</t>
  </si>
  <si>
    <t>Damiris Dantas do Amaral</t>
  </si>
  <si>
    <t>Djnbou Dant</t>
  </si>
  <si>
    <t>Fabiana "Dara" Carvalho Carneiro Diniz</t>
  </si>
  <si>
    <t>Hannah Darling</t>
  </si>
  <si>
    <t>Darly Zogbi de Paula</t>
  </si>
  <si>
    <t>Lisa Darmanin</t>
  </si>
  <si>
    <t>Mouma Das</t>
  </si>
  <si>
    <t>Ana Iulia Dascl</t>
  </si>
  <si>
    <t>Tuyana Norpolovna Dashidorzhiyeva</t>
  </si>
  <si>
    <t>Christelle Daunay</t>
  </si>
  <si>
    <t>Axelle Dauwens</t>
  </si>
  <si>
    <t>Maayan Davidovich</t>
  </si>
  <si>
    <t>Georgia Beth Davies</t>
  </si>
  <si>
    <t>Desiree Nicole Davila-Linden</t>
  </si>
  <si>
    <t>Lucy Davis</t>
  </si>
  <si>
    <t>Lea Davison</t>
  </si>
  <si>
    <t>Valeriya Davydova</t>
  </si>
  <si>
    <t>Rachel Dawson</t>
  </si>
  <si>
    <t>Christine Day</t>
  </si>
  <si>
    <t>De Jiaojiao</t>
  </si>
  <si>
    <t>Tatiele Roberta de Carvalho</t>
  </si>
  <si>
    <t>Monica De Gennaro</t>
  </si>
  <si>
    <t>Lilian de Geus</t>
  </si>
  <si>
    <t>Eva Roma Maria de Goede</t>
  </si>
  <si>
    <t>Mathilde de Kerangat</t>
  </si>
  <si>
    <t>Robin de Kruijf</t>
  </si>
  <si>
    <t>Jovana de la Cruz Capani</t>
  </si>
  <si>
    <t>Flvia Maria de Lima</t>
  </si>
  <si>
    <t>Jailma Sales de Lima</t>
  </si>
  <si>
    <t>Natalia de Luccas</t>
  </si>
  <si>
    <t>Martina De Memme</t>
  </si>
  <si>
    <t>Andressa Oliveira de Morais</t>
  </si>
  <si>
    <t>Ingrid de Oliveira</t>
  </si>
  <si>
    <t>Daynara Lopes Ferreira de Paula</t>
  </si>
  <si>
    <t>rica Rocha de Sena</t>
  </si>
  <si>
    <t>Leticia Cherpe de Souza</t>
  </si>
  <si>
    <t>Zoe Michaela  de Toledo</t>
  </si>
  <si>
    <t>Lisa Marie De Vanna</t>
  </si>
  <si>
    <t>Xan de Waard</t>
  </si>
  <si>
    <t>Laura de Witte</t>
  </si>
  <si>
    <t>Lisanne de Witte</t>
  </si>
  <si>
    <t>Fanny Deberghes</t>
  </si>
  <si>
    <t>Dbora Cristiane "Debinha" de Oliveira</t>
  </si>
  <si>
    <t>Fernanda Demtrio Decnop Coelho</t>
  </si>
  <si>
    <t>Andrea Deelstra</t>
  </si>
  <si>
    <t>Hlne Defrance</t>
  </si>
  <si>
    <t>Francesca Deidda</t>
  </si>
  <si>
    <t>Veerle Dejaeghere</t>
  </si>
  <si>
    <t>Iryna Mykhailivna Dekha</t>
  </si>
  <si>
    <t>Inge Dekker</t>
  </si>
  <si>
    <t>Antonella Del Core</t>
  </si>
  <si>
    <t>ngela del Pan Moruno</t>
  </si>
  <si>
    <t>Ajla Del Ponte</t>
  </si>
  <si>
    <t>Sabrina Julienne Francine Delannoy</t>
  </si>
  <si>
    <t>Angelica Delgado</t>
  </si>
  <si>
    <t>Cindy Solangie Delgado Buitrago</t>
  </si>
  <si>
    <t>Marie-Laure Delie</t>
  </si>
  <si>
    <t>Elena Delle Donne</t>
  </si>
  <si>
    <t>Cynthia "Janay" DeLoach (-Soukup)</t>
  </si>
  <si>
    <t>Siraba Dembl</t>
  </si>
  <si>
    <t>Mirela Krasimirova Demireva</t>
  </si>
  <si>
    <t>Deng Wei</t>
  </si>
  <si>
    <t>Zhansel Deniz</t>
  </si>
  <si>
    <t>Erin Densham</t>
  </si>
  <si>
    <t>Deonise Fachinello Cavaleiro</t>
  </si>
  <si>
    <t>Emel Dereli</t>
  </si>
  <si>
    <t>Weronika Deresz</t>
  </si>
  <si>
    <t>Inna Vasilyevna Deriglazova</t>
  </si>
  <si>
    <t>Senna Sandra Deriks</t>
  </si>
  <si>
    <t>Dariya Derkach</t>
  </si>
  <si>
    <t>Kateryna Oleksandrivna Derun</t>
  </si>
  <si>
    <t>Nina Derwael</t>
  </si>
  <si>
    <t>Laishram Bombayla Devi</t>
  </si>
  <si>
    <t>Tatjana ekanovi</t>
  </si>
  <si>
    <t>Ana erek</t>
  </si>
  <si>
    <t>Jolien D'hoore</t>
  </si>
  <si>
    <t>Yosra Dhieb</t>
  </si>
  <si>
    <t>Elisa Di Francisca</t>
  </si>
  <si>
    <t>Tania Di Mario</t>
  </si>
  <si>
    <t>Silvia Di Pietro</t>
  </si>
  <si>
    <t>Sahily Diago Mesa</t>
  </si>
  <si>
    <t>Emily Jane Diamond</t>
  </si>
  <si>
    <t>Kadidiatou Diani</t>
  </si>
  <si>
    <t>Diao Xiao Juan</t>
  </si>
  <si>
    <t>Maimouna Diarra</t>
  </si>
  <si>
    <t>Gabriela Mantellato Dias</t>
  </si>
  <si>
    <t>Adriana Yamila Daz Gonzlez</t>
  </si>
  <si>
    <t>Azucena Daz Calvo</t>
  </si>
  <si>
    <t>Mara Gabriela Daz</t>
  </si>
  <si>
    <t>Hidilyn Diaz</t>
  </si>
  <si>
    <t>Genzebe Dibaba Keneni</t>
  </si>
  <si>
    <t>Mare Dibaba Hurssa (-Ibrahimova-)</t>
  </si>
  <si>
    <t>Tirunesh Dibaba Keneni</t>
  </si>
  <si>
    <t>Marisa Roseanne Dick</t>
  </si>
  <si>
    <t>Kylie Rei Dickson</t>
  </si>
  <si>
    <t>Amalie Dideriksen</t>
  </si>
  <si>
    <t>Hortence Didhiou</t>
  </si>
  <si>
    <t>Bintou Dim</t>
  </si>
  <si>
    <t>Fatou Dieng</t>
  </si>
  <si>
    <t>Heidi Diethelm Gerber</t>
  </si>
  <si>
    <t>Tina Dietze</t>
  </si>
  <si>
    <t>Lizbeth Julissa Diez Canseco</t>
  </si>
  <si>
    <t>Laura Chantal Dijkema</t>
  </si>
  <si>
    <t>Ding Ning</t>
  </si>
  <si>
    <t>Ding Xia</t>
  </si>
  <si>
    <t>Luciana Diniz-Knippling</t>
  </si>
  <si>
    <t>Loredana Dinu (Iordchioiu-)</t>
  </si>
  <si>
    <t>Nuria Lidn Diosdado Garca</t>
  </si>
  <si>
    <t>Mame Diodio Diouf</t>
  </si>
  <si>
    <t>Madeline Jane "Maya" DiRado</t>
  </si>
  <si>
    <t>Carlien Clemens Dirkse van den Heuvel</t>
  </si>
  <si>
    <t>Etenesh Diro Neda</t>
  </si>
  <si>
    <t>Wiam Dislam</t>
  </si>
  <si>
    <t>Cline Distel-Bonnet</t>
  </si>
  <si>
    <t>Alyson Dixon</t>
  </si>
  <si>
    <t>Amanda Sinegugu Dlamini</t>
  </si>
  <si>
    <t>Mariya Dmitriyenko</t>
  </si>
  <si>
    <t>Darya Yevgenyevna Dmitriyeva</t>
  </si>
  <si>
    <t>Lyudmila Vladimirovna Dmitriyeva</t>
  </si>
  <si>
    <t>Olena Mykolavna Dmytrash</t>
  </si>
  <si>
    <t>Charlotte Dobson</t>
  </si>
  <si>
    <t>Manami Doi</t>
  </si>
  <si>
    <t>Misaki Doi</t>
  </si>
  <si>
    <t>Eleni Doika</t>
  </si>
  <si>
    <t>Mariya Sergeyevna Dolgikh (Zelenova-)</t>
  </si>
  <si>
    <t>Irina Yuryevna Dolgova</t>
  </si>
  <si>
    <t>Marina Frantsevna Domantsevich</t>
  </si>
  <si>
    <t>Wuta Waco Bige Dombaxi</t>
  </si>
  <si>
    <t>Mnica Patricia Domnguez Lara</t>
  </si>
  <si>
    <t>Slvia Domnguez Fernndez</t>
  </si>
  <si>
    <t>Karin Donckers</t>
  </si>
  <si>
    <t>Nazl ala Dnerta</t>
  </si>
  <si>
    <t>Dong Jie</t>
  </si>
  <si>
    <t>Auriol Dongmo Mekemnang</t>
  </si>
  <si>
    <t>Hoi Kem Doo</t>
  </si>
  <si>
    <t>Dorjsurengiin Sumiya</t>
  </si>
  <si>
    <t>Ane Marcelle Gomes dos Santos</t>
  </si>
  <si>
    <t>Clarissa Cristina dos Santos</t>
  </si>
  <si>
    <t>Janete Viegas dos Santos</t>
  </si>
  <si>
    <t>Jlia Vasconcelos dos Santos</t>
  </si>
  <si>
    <t>Marily dos Santos</t>
  </si>
  <si>
    <t>Sara Dosho</t>
  </si>
  <si>
    <t>Natasa Douchev-Janics</t>
  </si>
  <si>
    <t>Gabrielle Christina Victoria "Gabby" Douglas</t>
  </si>
  <si>
    <t>Anna Dowgiert</t>
  </si>
  <si>
    <t>Rebecca Lauren "Beckie" Downie</t>
  </si>
  <si>
    <t>Elissa Rebecca Louis "Ellie" Downie</t>
  </si>
  <si>
    <t>Fiona Doyle</t>
  </si>
  <si>
    <t>Lauren Doyle</t>
  </si>
  <si>
    <t>Marie-Louise Drger</t>
  </si>
  <si>
    <t>Aneka Drahotov</t>
  </si>
  <si>
    <t>Theodora Drakou</t>
  </si>
  <si>
    <t>Jessica Margaret Aida "Jess" Draskau-Petersson</t>
  </si>
  <si>
    <t>Rasa Drazdauskait</t>
  </si>
  <si>
    <t>Katherine Joan "Kat" Driscoll</t>
  </si>
  <si>
    <t>Tatyana Yevgenyevna Drozdovskaya</t>
  </si>
  <si>
    <t>Daniela Druncea</t>
  </si>
  <si>
    <t>Monika Mariola Drybulska-Stefanowicz</t>
  </si>
  <si>
    <t>Du Li</t>
  </si>
  <si>
    <t>Duan Jingli</t>
  </si>
  <si>
    <t>Mariana Rog Duarte</t>
  </si>
  <si>
    <t>Preeti Dubey</t>
  </si>
  <si>
    <t>Alyona Viktorovna Dubitskaya (Grishko-)</t>
  </si>
  <si>
    <t>Krista DuChene</t>
  </si>
  <si>
    <t>Natalia Duc Soler</t>
  </si>
  <si>
    <t>Anna Sergeyevna Dudenkova</t>
  </si>
  <si>
    <t>Annette Duetz</t>
  </si>
  <si>
    <t>Flora Jane Duffy</t>
  </si>
  <si>
    <t>Albta Dufkov</t>
  </si>
  <si>
    <t>Cathrine Dufour</t>
  </si>
  <si>
    <t>Charlotte Susan Jane Dujardin</t>
  </si>
  <si>
    <t>Jana Duktov</t>
  </si>
  <si>
    <t>Kelly Dulfer</t>
  </si>
  <si>
    <t>Crystal Alyssia Dunn</t>
  </si>
  <si>
    <t>Mariana Duque Mario</t>
  </si>
  <si>
    <t>Marina Durunda</t>
  </si>
  <si>
    <t>Nadiya Dusanova</t>
  </si>
  <si>
    <t>Pamela Dutkiewicz</t>
  </si>
  <si>
    <t>Ann-Sophie Duyck</t>
  </si>
  <si>
    <t>Galyna Volodymyrivna "Galia" Dvorak Khasanova</t>
  </si>
  <si>
    <t>iva Dvorak</t>
  </si>
  <si>
    <t>Kirstin Sheree Dwyer</t>
  </si>
  <si>
    <t>Yekaterina Vladimirovna Dyachenko</t>
  </si>
  <si>
    <t>Agnieszka Dygacz</t>
  </si>
  <si>
    <t>Chlo Dygert (-Owen)</t>
  </si>
  <si>
    <t>Emma Dyke</t>
  </si>
  <si>
    <t>Edyta Dzieniszewska-Kierkla</t>
  </si>
  <si>
    <t>Chido Dzingirai</t>
  </si>
  <si>
    <t>Casey Eastham-Sablowski</t>
  </si>
  <si>
    <t>Yuki Ebihara</t>
  </si>
  <si>
    <t>Katie Rae Ebzery</t>
  </si>
  <si>
    <t>Iera Echebarra Fernndez</t>
  </si>
  <si>
    <t>Tmara Echegoyen Domnguez</t>
  </si>
  <si>
    <t>Isabella Echeverri Restrepo</t>
  </si>
  <si>
    <t>Lisa Ecker</t>
  </si>
  <si>
    <t>Jessica Jane "Jess" Eddie</t>
  </si>
  <si>
    <t>Offiong Edem</t>
  </si>
  <si>
    <t>Annette Edmondson</t>
  </si>
  <si>
    <t>Madeleine "Maddie" Edmunds</t>
  </si>
  <si>
    <t>Julia Edward</t>
  </si>
  <si>
    <t>Batrice Edwige</t>
  </si>
  <si>
    <t>Britt Eerland</t>
  </si>
  <si>
    <t>Paola Ogechi Egonu</t>
  </si>
  <si>
    <t>Naiara Egozkue Extremado</t>
  </si>
  <si>
    <t>Viktria Egri</t>
  </si>
  <si>
    <t>Kiana Eide</t>
  </si>
  <si>
    <t>Tracy Eisser</t>
  </si>
  <si>
    <t>Michaela Ek</t>
  </si>
  <si>
    <t>Matilda Ekholm</t>
  </si>
  <si>
    <t>Deep Grace Ekka</t>
  </si>
  <si>
    <t>Yekaterina Aleksandrovna Ektova</t>
  </si>
  <si>
    <t>Nour El-Ayoubi</t>
  </si>
  <si>
    <t>Nadeen Ahmad Ali El-Dawlatly</t>
  </si>
  <si>
    <t>Doaa El-Ghobashy</t>
  </si>
  <si>
    <t>Afaf Muhammad El-Hodhod</t>
  </si>
  <si>
    <t>Jomana El-Maghrabi</t>
  </si>
  <si>
    <t>Seham Muhammad Ahmad El-Sawalhy</t>
  </si>
  <si>
    <t>Sherine Ahmed El-Zeiny</t>
  </si>
  <si>
    <t>Jenny Elbe</t>
  </si>
  <si>
    <t>Antri Eleftheriou</t>
  </si>
  <si>
    <t>Stefaniya Aleksandrovna Elfutina</t>
  </si>
  <si>
    <t>Valentina Neli Elisei (Ardean-)</t>
  </si>
  <si>
    <t>Lauren Ellis</t>
  </si>
  <si>
    <t>Taylor Ellis-Watson</t>
  </si>
  <si>
    <t>Amanda Elmore</t>
  </si>
  <si>
    <t>Brittany Joyce Elmslie</t>
  </si>
  <si>
    <t>Patricia Elorza Eguiara</t>
  </si>
  <si>
    <t>Gracie Elvin</t>
  </si>
  <si>
    <t>Gvrise Emane</t>
  </si>
  <si>
    <t>Irina Embrich (Zamkovaja-)</t>
  </si>
  <si>
    <t>Msipa Emmaculate</t>
  </si>
  <si>
    <t>Crystal Emmanuel</t>
  </si>
  <si>
    <t>Giulia Enrica Emmolo</t>
  </si>
  <si>
    <t>Whitney Elizabeth Engen</t>
  </si>
  <si>
    <t>Sofia Ennaoui</t>
  </si>
  <si>
    <t>Jessica Phyllis Ennis-Hill</t>
  </si>
  <si>
    <t>Stephanie Marie Enright</t>
  </si>
  <si>
    <t>Gwladys Patience pangue</t>
  </si>
  <si>
    <t>Olivia poupa</t>
  </si>
  <si>
    <t>Christina Epps</t>
  </si>
  <si>
    <t>Amaia Erbina Araa</t>
  </si>
  <si>
    <t>Abby May Erceg</t>
  </si>
  <si>
    <t>Zsfia Erdlyi</t>
  </si>
  <si>
    <t>Erdenechimegiin Sumiya</t>
  </si>
  <si>
    <t>Mria rdi</t>
  </si>
  <si>
    <t>Meryem (Mariam-) Erdoan (Tanga-, Hana Dingo-)</t>
  </si>
  <si>
    <t>Fie Udby Erichsen</t>
  </si>
  <si>
    <t>Berit Lisa Matilda Ericson</t>
  </si>
  <si>
    <t>rika Cristiano dos Santos</t>
  </si>
  <si>
    <t>rika Cristina de Souza</t>
  </si>
  <si>
    <t>Magdalena "Magda" Eriksson</t>
  </si>
  <si>
    <t>Sandra Elisabeth Eriksson</t>
  </si>
  <si>
    <t>Sara Errani</t>
  </si>
  <si>
    <t>Arianna Errigo</t>
  </si>
  <si>
    <t>Mara Alexandra Escobar Guerrero</t>
  </si>
  <si>
    <t>Catalina Elena Escobar Gmez</t>
  </si>
  <si>
    <t>Kristine Esebua</t>
  </si>
  <si>
    <t>Shitaye Eshete Habtegebrel</t>
  </si>
  <si>
    <t>Zhuldyz Attakurovna Eshimova (Turtbaeva-)</t>
  </si>
  <si>
    <t>Anna Espar Llaquet</t>
  </si>
  <si>
    <t>Clara Espar Llaquet</t>
  </si>
  <si>
    <t>Maricet Espinosa Gonzlez</t>
  </si>
  <si>
    <t>Paola Milagros Espinosa Snchez</t>
  </si>
  <si>
    <t>Yaniuska Isabel Espinosa</t>
  </si>
  <si>
    <t>Ahymara del Carmen Espinoza Echenique</t>
  </si>
  <si>
    <t>Mara del Rosario Espinoza Espinoza</t>
  </si>
  <si>
    <t>Chloe Esposito</t>
  </si>
  <si>
    <t>Joseph milienne Essombe Tiako</t>
  </si>
  <si>
    <t>Laura Ester Ramos</t>
  </si>
  <si>
    <t>Gemma Etheridge</t>
  </si>
  <si>
    <t>Nour Elhouda Ettaieb</t>
  </si>
  <si>
    <t>Blair Catherine Evans</t>
  </si>
  <si>
    <t>Joanna Evans</t>
  </si>
  <si>
    <t>Ciara Everard</t>
  </si>
  <si>
    <t>Rene Eykens</t>
  </si>
  <si>
    <t>Zohra Ez Zahraoui</t>
  </si>
  <si>
    <t>Joanne "Nana" Fa'avesi</t>
  </si>
  <si>
    <t>Fabiana da Silva Simes</t>
  </si>
  <si>
    <t>Fabiana Marcelino Claudino</t>
  </si>
  <si>
    <t>Josefa Fabola Almeida de Sousa Alves</t>
  </si>
  <si>
    <t>Margaux Nicole Jeanne Aude Fabre</t>
  </si>
  <si>
    <t>Simone Facey</t>
  </si>
  <si>
    <t>Sonia Emilia Marie Fahlin</t>
  </si>
  <si>
    <t>Linda Fahrni</t>
  </si>
  <si>
    <t>Lucia Falasca</t>
  </si>
  <si>
    <t>Katelyn Falgowski</t>
  </si>
  <si>
    <t>Ada Fall</t>
  </si>
  <si>
    <t>Fan Yilin</t>
  </si>
  <si>
    <t>Lindaweni Fanetri</t>
  </si>
  <si>
    <t>Mara Fernanda Far Nuez</t>
  </si>
  <si>
    <t>Bianca Farella</t>
  </si>
  <si>
    <t>Bruna Jssica Oliveira Farias</t>
  </si>
  <si>
    <t>Carmen Farmer</t>
  </si>
  <si>
    <t>Erika Fasana</t>
  </si>
  <si>
    <t>Rachel Fattal</t>
  </si>
  <si>
    <t>Eleanor Jane "Ellie" Faulkner</t>
  </si>
  <si>
    <t>Krisztina Fazekas Zur</t>
  </si>
  <si>
    <t>Michelle Cristina Fazzari</t>
  </si>
  <si>
    <t>Olena Olehivna Fedorova</t>
  </si>
  <si>
    <t>Justine Fedronic</t>
  </si>
  <si>
    <t>Stefanie Fee</t>
  </si>
  <si>
    <t>Allyson Michelle Felix</t>
  </si>
  <si>
    <t>Alysbeth Flix Boyer</t>
  </si>
  <si>
    <t>Ana Dulce Ferreira Flix</t>
  </si>
  <si>
    <t>Lauren Fendrick</t>
  </si>
  <si>
    <t>Feng Bin</t>
  </si>
  <si>
    <t>Feng Shanshan</t>
  </si>
  <si>
    <t>Feng Tian Wei</t>
  </si>
  <si>
    <t>Beatriz Moreira Feres</t>
  </si>
  <si>
    <t>Branca Moreira Feres</t>
  </si>
  <si>
    <t>Sheniqua Monique Ferguson</t>
  </si>
  <si>
    <t>Carlotta Ferlito</t>
  </si>
  <si>
    <t>Josefina Fernndez</t>
  </si>
  <si>
    <t>Liliana Fernndez Steiner</t>
  </si>
  <si>
    <t>Erika Ferraioli</t>
  </si>
  <si>
    <t>Pauline Ferrand-Prevot</t>
  </si>
  <si>
    <t>Vanessa Ferrari</t>
  </si>
  <si>
    <t>Aline da Silva Ferreira</t>
  </si>
  <si>
    <t>Fernanda Nunes Leal Ferreira</t>
  </si>
  <si>
    <t>Jaqueline Antonia Ferreira</t>
  </si>
  <si>
    <t>Beatriz Ferrer-Salat Serra de Migui</t>
  </si>
  <si>
    <t>Costanza Ferro</t>
  </si>
  <si>
    <t>Irina Andreyevna Fetisova</t>
  </si>
  <si>
    <t>Rossella Fiamingo</t>
  </si>
  <si>
    <t>Nirra Fields</t>
  </si>
  <si>
    <t>Julia Figueroa Pea</t>
  </si>
  <si>
    <t>Yusleidy Mariana Figueroa Roldn</t>
  </si>
  <si>
    <t>Roseline Filion</t>
  </si>
  <si>
    <t>Ana Luiza Filiorianu</t>
  </si>
  <si>
    <t>Varvara Filiou</t>
  </si>
  <si>
    <t>Caileigh Filmer</t>
  </si>
  <si>
    <t>Yuval Filo</t>
  </si>
  <si>
    <t>Sabrina Filzmoser</t>
  </si>
  <si>
    <t>Michelle Finn</t>
  </si>
  <si>
    <t>Joanna Fiodorow</t>
  </si>
  <si>
    <t>Aria Fischer</t>
  </si>
  <si>
    <t>Julia Fischer</t>
  </si>
  <si>
    <t>Makenzie Fischer</t>
  </si>
  <si>
    <t>sa Nilla Maria Fischer</t>
  </si>
  <si>
    <t>Aimee Fisher</t>
  </si>
  <si>
    <t>Heather Margaret Fisher</t>
  </si>
  <si>
    <t>Lilia Fisikovici (Tozlovanu-)</t>
  </si>
  <si>
    <t>Theresa Matauaina Fitzpatrick</t>
  </si>
  <si>
    <t>Manila Flamini</t>
  </si>
  <si>
    <t>Shalane Flanagan (-Edwards)</t>
  </si>
  <si>
    <t>Kristna Fleissnerov</t>
  </si>
  <si>
    <t>Jessie Alexandra Fleming</t>
  </si>
  <si>
    <t>Hali Flickinger</t>
  </si>
  <si>
    <t>Kirsten Flipkens</t>
  </si>
  <si>
    <t>Naomi Flood</t>
  </si>
  <si>
    <t>Berthrade Simone Flore Bikatal</t>
  </si>
  <si>
    <t>Brenda Eunice Flores Muoz</t>
  </si>
  <si>
    <t>Gemma Flynn</t>
  </si>
  <si>
    <t>Aline Focken</t>
  </si>
  <si>
    <t>Alina Yanivna Fodorova</t>
  </si>
  <si>
    <t>Mariana Foglia Costa</t>
  </si>
  <si>
    <t>Nataliya Viktorivna Fokina-Semenova</t>
  </si>
  <si>
    <t>Victoria Folayan</t>
  </si>
  <si>
    <t>Zsfia Fldhzi</t>
  </si>
  <si>
    <t>Naomi Anne Folkard</t>
  </si>
  <si>
    <t>Ayomide Folorunso</t>
  </si>
  <si>
    <t>Petra Fontanive</t>
  </si>
  <si>
    <t>Nouchka Fontijn</t>
  </si>
  <si>
    <t>Kate Jessica Kim Lee Foo Kune</t>
  </si>
  <si>
    <t>Caitlin Jade Foord</t>
  </si>
  <si>
    <t>Shashalee Forbes</t>
  </si>
  <si>
    <t>Judith Forca Ariza</t>
  </si>
  <si>
    <t>Yirisleydi Lisbet Ford Carnonell</t>
  </si>
  <si>
    <t>Miraildes "Formiga" Maciel Mota</t>
  </si>
  <si>
    <t>Isabelle Forrer</t>
  </si>
  <si>
    <t>Ariane Fortin</t>
  </si>
  <si>
    <t>Tiffany Foster</t>
  </si>
  <si>
    <t>Stphanie Fotso Mogoung</t>
  </si>
  <si>
    <t>Charlotta Emma Katarina Fougberg</t>
  </si>
  <si>
    <t>Arcangeline Fouodji Sonkbou</t>
  </si>
  <si>
    <t>Amelia Rosa Fournel</t>
  </si>
  <si>
    <t>milie Fournel</t>
  </si>
  <si>
    <t>Sylvia Shaqueria Fowles</t>
  </si>
  <si>
    <t>Jessica Esther "Jess" Fox</t>
  </si>
  <si>
    <t>Marit Malm Frafjord</t>
  </si>
  <si>
    <t>Claudia Fragapane</t>
  </si>
  <si>
    <t>Sara Franceschi</t>
  </si>
  <si>
    <t>Phyllis Chanez Francis</t>
  </si>
  <si>
    <t>Tanja Chiara Frank</t>
  </si>
  <si>
    <t>Melissa Jeanette "Missy" Franklin</t>
  </si>
  <si>
    <t>Sonia Franquet Calvente</t>
  </si>
  <si>
    <t>Anna Jenny Eva Maria Fransson (Magnusson-)</t>
  </si>
  <si>
    <t>Simona Frapporti</t>
  </si>
  <si>
    <t>Kathleen "KC" Fraser</t>
  </si>
  <si>
    <t>Shelly-Ann Fraser-Pryce</t>
  </si>
  <si>
    <t>Teresa Frassinetti</t>
  </si>
  <si>
    <t>Priscilla Frederick</t>
  </si>
  <si>
    <t>Uschi Freitag</t>
  </si>
  <si>
    <t>Marta Filipa Pen Oliveira Freitas</t>
  </si>
  <si>
    <t>Patrcia da Costa Freitas</t>
  </si>
  <si>
    <t>Katherine Elizabeth "Kate" French</t>
  </si>
  <si>
    <t>Courtney Frerichs</t>
  </si>
  <si>
    <t>Luca Fresco</t>
  </si>
  <si>
    <t>Lotte Friis</t>
  </si>
  <si>
    <t>Vendula Frintov</t>
  </si>
  <si>
    <t>Fu Yuanhui</t>
  </si>
  <si>
    <t>Ai Fukuhara</t>
  </si>
  <si>
    <t>Kayoko Fukushi</t>
  </si>
  <si>
    <t>Chisato Fukushima</t>
  </si>
  <si>
    <t>Magdalena Fularczyk-Kozowska</t>
  </si>
  <si>
    <t>Philippa Rachel "Pippa" Funnell (Nolan-)</t>
  </si>
  <si>
    <t>Colleen Furgeson</t>
  </si>
  <si>
    <t>Yelena Mikhaylovna Furman</t>
  </si>
  <si>
    <t>Gabriela "Gabi" Braga Guimares</t>
  </si>
  <si>
    <t>Natalia Gaitn Laguado</t>
  </si>
  <si>
    <t>Tynia Gaither</t>
  </si>
  <si>
    <t>Sandra Gal</t>
  </si>
  <si>
    <t>Jennifer Galais</t>
  </si>
  <si>
    <t>Otgontsetseg Galbadrakhyn</t>
  </si>
  <si>
    <t>Elena Galiabovitch</t>
  </si>
  <si>
    <t>Mria Glikov</t>
  </si>
  <si>
    <t>Yekaterina Aleksandrovna Galkina</t>
  </si>
  <si>
    <t>Rebecca Gallantree</t>
  </si>
  <si>
    <t>Ftima Gallardo Carapeto</t>
  </si>
  <si>
    <t>Karen Pamela Gallardo Pinto</t>
  </si>
  <si>
    <t>Ana Mara Gallay</t>
  </si>
  <si>
    <t>Jillian Alice Gallays</t>
  </si>
  <si>
    <t>Jacqueline "Jackie" Galloway</t>
  </si>
  <si>
    <t>Ftima Glvez Marn</t>
  </si>
  <si>
    <t>Sandra Viviana Galvis Gmez</t>
  </si>
  <si>
    <t>Sara Gambetta</t>
  </si>
  <si>
    <t>Elisbet Gmez Matos</t>
  </si>
  <si>
    <t>Heidi Gan</t>
  </si>
  <si>
    <t>Macarena Gandulfo</t>
  </si>
  <si>
    <t>Arialis Josefa Gandulla Martnez</t>
  </si>
  <si>
    <t>Edina Gangl</t>
  </si>
  <si>
    <t>Luiza Ganiyeva</t>
  </si>
  <si>
    <t>Gankhuyagiin Nandinzayaa</t>
  </si>
  <si>
    <t>Gao Chen</t>
  </si>
  <si>
    <t>Gao Song</t>
  </si>
  <si>
    <t>Gao Yang</t>
  </si>
  <si>
    <t>Fernanda Garay Rodrigues</t>
  </si>
  <si>
    <t>Begoa Garca Grau</t>
  </si>
  <si>
    <t>Berta Garca Alonso</t>
  </si>
  <si>
    <t>Carina Ana Garca Kradolfer</t>
  </si>
  <si>
    <t>Caroline Garcia</t>
  </si>
  <si>
    <t>Estefania Priscila Garca Mendoza</t>
  </si>
  <si>
    <t>Estela da Covadonga Garca Villalta</t>
  </si>
  <si>
    <t>Kimberly Garca Len</t>
  </si>
  <si>
    <t>Mara del Carmen "Maica" Garca Godoy</t>
  </si>
  <si>
    <t>Patricia Garca Jareo</t>
  </si>
  <si>
    <t>Vanessa Milagros Garca Vega</t>
  </si>
  <si>
    <t>Stina Karolina Gardell</t>
  </si>
  <si>
    <t>English Gardner</t>
  </si>
  <si>
    <t>Katrin Garfoot</t>
  </si>
  <si>
    <t>Arianna Garibotti</t>
  </si>
  <si>
    <t>Maria Magdalena Garro</t>
  </si>
  <si>
    <t>Alejandra Garza Garza</t>
  </si>
  <si>
    <t>Antoinette Gasongo</t>
  </si>
  <si>
    <t>Helena Gasson</t>
  </si>
  <si>
    <t>Bryl milie Paulette Gastaldello</t>
  </si>
  <si>
    <t>Natalia Azevedo Gaudio</t>
  </si>
  <si>
    <t>Artemi Gavezou Castro</t>
  </si>
  <si>
    <t>Juliana Gaviria Rendn</t>
  </si>
  <si>
    <t>Daria Gavrilova</t>
  </si>
  <si>
    <t>Yuliya Petrovna Gavrilova</t>
  </si>
  <si>
    <t>Marie Gayot</t>
  </si>
  <si>
    <t>Ruth Marie Christelle Gbagbi</t>
  </si>
  <si>
    <t>Ge Manqi</t>
  </si>
  <si>
    <t>Houry A. Gebeshian</t>
  </si>
  <si>
    <t>Trihas Gebre Aunoon</t>
  </si>
  <si>
    <t>Rahel Fseha Gebresilassie</t>
  </si>
  <si>
    <t>Luiza Gega</t>
  </si>
  <si>
    <t>Melinda Geiger</t>
  </si>
  <si>
    <t>Miesinnei Mercy Genesis</t>
  </si>
  <si>
    <t>Alessia Gennari</t>
  </si>
  <si>
    <t>Ashleigh Gentle</t>
  </si>
  <si>
    <t>Cayla George</t>
  </si>
  <si>
    <t>Patience Okon George</t>
  </si>
  <si>
    <t>Phylicia George</t>
  </si>
  <si>
    <t>Aleksandra Viktorovna Gerasimenya</t>
  </si>
  <si>
    <t>Yarden Gerbi</t>
  </si>
  <si>
    <t>Svetlana Viktorovna Germanovich</t>
  </si>
  <si>
    <t>Tiffany Groudet</t>
  </si>
  <si>
    <t>Tigest Getent Mekonen</t>
  </si>
  <si>
    <t>Andrea Geubelle</t>
  </si>
  <si>
    <t>Madiea Ghafoor</t>
  </si>
  <si>
    <t>Simona Cristina Gherman (Alexandru-)</t>
  </si>
  <si>
    <t>Habiba Al-Ghribi-Boudra</t>
  </si>
  <si>
    <t>Miranda Giambelli</t>
  </si>
  <si>
    <t>Kristin Gierisch</t>
  </si>
  <si>
    <t>Sophie Anna Giger</t>
  </si>
  <si>
    <t>Laura Gil Collado</t>
  </si>
  <si>
    <t>Melisa Gil</t>
  </si>
  <si>
    <t>Kaleigh Gilchrist</t>
  </si>
  <si>
    <t>Kirsty Gilmour</t>
  </si>
  <si>
    <t>Isis Raymari Gimnez Surez</t>
  </si>
  <si>
    <t>Xantal Gin Patsi</t>
  </si>
  <si>
    <t>Laura Giombini</t>
  </si>
  <si>
    <t>Eleonora Anna  Giorgi</t>
  </si>
  <si>
    <t>Nomi Girardet</t>
  </si>
  <si>
    <t>Nikola Girke</t>
  </si>
  <si>
    <t>Odette Giuffrida</t>
  </si>
  <si>
    <t>Nora Gjakova</t>
  </si>
  <si>
    <t>Jasmin Glaesser</t>
  </si>
  <si>
    <t>aneta Glanc</t>
  </si>
  <si>
    <t>Nikita Glasnovic</t>
  </si>
  <si>
    <t>Alisha Rebecca Glass</t>
  </si>
  <si>
    <t>Laura Glauser</t>
  </si>
  <si>
    <t>Elizabeth "Liz" Gleadle</t>
  </si>
  <si>
    <t>Anastasia Gloushkov Leventhal</t>
  </si>
  <si>
    <t>Helen Rachel M. Glover</t>
  </si>
  <si>
    <t>Nadezhda Sergeyevna Glyzina-Fedotova</t>
  </si>
  <si>
    <t>Morgana Gmach</t>
  </si>
  <si>
    <t>Ines Al-Gmati</t>
  </si>
  <si>
    <t>Jeanine Gmelin</t>
  </si>
  <si>
    <t>Floriane Gnafoua</t>
  </si>
  <si>
    <t>Priscilla Gneto</t>
  </si>
  <si>
    <t>Tessa Gobbo</t>
  </si>
  <si>
    <t>Cline Sandrine Francine Goberville</t>
  </si>
  <si>
    <t>Rosa Liliana Godoy</t>
  </si>
  <si>
    <t>Lena Goeling</t>
  </si>
  <si>
    <t>Keesja Kaia Gofers</t>
  </si>
  <si>
    <t>Goh Liu Ying</t>
  </si>
  <si>
    <t>Johanna Goliszewski</t>
  </si>
  <si>
    <t>Luba Golovina</t>
  </si>
  <si>
    <t>Carolin Elisabeth Golubytskyi (Wutz-)</t>
  </si>
  <si>
    <t>Julia Mailn Gomes Fantasia</t>
  </si>
  <si>
    <t>Ana Sofa Gmez Porras</t>
  </si>
  <si>
    <t>Laura Gmez Ropion</t>
  </si>
  <si>
    <t>Roxana Gmez Caldern</t>
  </si>
  <si>
    <t>Sandra Gomis</t>
  </si>
  <si>
    <t>Paula Cristina de Arajo Gonalves</t>
  </si>
  <si>
    <t>Nataliya Olegovna Goncharova-Obmochayeva</t>
  </si>
  <si>
    <t>Gong Jinjie</t>
  </si>
  <si>
    <t>Gong Lijiao</t>
  </si>
  <si>
    <t>Gong Xiangyu</t>
  </si>
  <si>
    <t>Nadine Gonska</t>
  </si>
  <si>
    <t>Angie Sabrina Gonzlez Garca</t>
  </si>
  <si>
    <t>Lara Gonzlez Ortega</t>
  </si>
  <si>
    <t>Laura Isabel Gonzlez Gonzlez</t>
  </si>
  <si>
    <t>Mara Guadalupe Gonzlez Romero</t>
  </si>
  <si>
    <t>Marta Gonzlez Crivillers</t>
  </si>
  <si>
    <t>Melissa Ann Gonzalez</t>
  </si>
  <si>
    <t>Raquel Gonzlez Campos</t>
  </si>
  <si>
    <t>rsula Sarah Gonzlez Garate</t>
  </si>
  <si>
    <t>Molly Goodman</t>
  </si>
  <si>
    <t>Michelle Goos</t>
  </si>
  <si>
    <t>Anna Yuryevna Gorchyonok</t>
  </si>
  <si>
    <t>Chrisann Gordon</t>
  </si>
  <si>
    <t>Karina Khavazhevna Goricheva</t>
  </si>
  <si>
    <t>Giulia Gorlero</t>
  </si>
  <si>
    <t>Katrina-Lee Gorry</t>
  </si>
  <si>
    <t>Kennedy Goss</t>
  </si>
  <si>
    <t>Sarah Goss</t>
  </si>
  <si>
    <t>Raiza Goulo Henrique</t>
  </si>
  <si>
    <t>Natoya Goule</t>
  </si>
  <si>
    <t>Kerri Gowler</t>
  </si>
  <si>
    <t>Kate Grace</t>
  </si>
  <si>
    <t>Martine Soffiatti Grael</t>
  </si>
  <si>
    <t>Bernadette Graf</t>
  </si>
  <si>
    <t>Lisa Graf</t>
  </si>
  <si>
    <t>Katherine Jane Grainger</t>
  </si>
  <si>
    <t>Susanne Grainger</t>
  </si>
  <si>
    <t>Julieta Granada</t>
  </si>
  <si>
    <t>Mara Jos Granatto</t>
  </si>
  <si>
    <t>Daneja Grandovec</t>
  </si>
  <si>
    <t>Lara Grangeon</t>
  </si>
  <si>
    <t>Camille Grassineau</t>
  </si>
  <si>
    <t>Laura Graves</t>
  </si>
  <si>
    <t>Adeline Maria Gray</t>
  </si>
  <si>
    <t>Ellia Green</t>
  </si>
  <si>
    <t>Rossella Gregorio</t>
  </si>
  <si>
    <t>Sarah Joelle Gregorius</t>
  </si>
  <si>
    <t>Eileen Grench</t>
  </si>
  <si>
    <t>Libania Grenot Martnez (-Scafetti)</t>
  </si>
  <si>
    <t>Catherine Rose "Katie" Greves (-Solesbury)</t>
  </si>
  <si>
    <t>Kelly Griffin</t>
  </si>
  <si>
    <t>Anastasija Grigorjeva</t>
  </si>
  <si>
    <t>Vanessa Grimberg</t>
  </si>
  <si>
    <t>Kari Aalvik Grimsb</t>
  </si>
  <si>
    <t>Brittney Yevette Griner</t>
  </si>
  <si>
    <t>Anna Sergeyevna Grinyova</t>
  </si>
  <si>
    <t>Helen Grobert</t>
  </si>
  <si>
    <t>Ursula Grobler</t>
  </si>
  <si>
    <t>Sarah Brooke Groff-True</t>
  </si>
  <si>
    <t>Anna-Lena Grnefeld</t>
  </si>
  <si>
    <t>Cornelia Nycke Groot</t>
  </si>
  <si>
    <t>Madeline Groves</t>
  </si>
  <si>
    <t>Nicola Groves</t>
  </si>
  <si>
    <t>Sandrine Gruda</t>
  </si>
  <si>
    <t>Valerie Gruest Slowing</t>
  </si>
  <si>
    <t>Katarzyna Grzybowska-Franc</t>
  </si>
  <si>
    <t>Karoline Bjerkeli Grvdal</t>
  </si>
  <si>
    <t>Selina Gschwandtner</t>
  </si>
  <si>
    <t>Gu Xiao</t>
  </si>
  <si>
    <t>Gu Yasha</t>
  </si>
  <si>
    <t>Maritza Guamn</t>
  </si>
  <si>
    <t>Megan Guarnier</t>
  </si>
  <si>
    <t>Paulina Guba</t>
  </si>
  <si>
    <t>Gulnaz Radikovna Gubaydullina</t>
  </si>
  <si>
    <t>Chelsea Lea Gubecka</t>
  </si>
  <si>
    <t>Tatiana "Tania" Guderzo</t>
  </si>
  <si>
    <t>Floria Guei</t>
  </si>
  <si>
    <t>Lina Gurin</t>
  </si>
  <si>
    <t>Lisandra Guerra Rodriguez</t>
  </si>
  <si>
    <t>Esther Guerrero Puigdevall</t>
  </si>
  <si>
    <t>Isabel Evelize Wangimba Guialo</t>
  </si>
  <si>
    <t>Ecaterina Antonia Guica</t>
  </si>
  <si>
    <t>Martina Guiggi</t>
  </si>
  <si>
    <t>lodie Guiglion</t>
  </si>
  <si>
    <t>Cristina Guinea Gonzlez</t>
  </si>
  <si>
    <t>Rabia Glec</t>
  </si>
  <si>
    <t>Isabelle Therese Gulldn</t>
  </si>
  <si>
    <t>Maria Loreta Gulotta</t>
  </si>
  <si>
    <t>Francisca Arantza Gumucio Jaras</t>
  </si>
  <si>
    <t>Begoa Gumucio Jaras</t>
  </si>
  <si>
    <t>Bediha Gn</t>
  </si>
  <si>
    <t>Viktoria Zeynep Gne</t>
  </si>
  <si>
    <t>Guo Li</t>
  </si>
  <si>
    <t>Guo Wenjun</t>
  </si>
  <si>
    <t>Eva Alicia Gurrola Ortz</t>
  </si>
  <si>
    <t>Eygl sk Gstafsdttir</t>
  </si>
  <si>
    <t>Valentina Gustin</t>
  </si>
  <si>
    <t>Roco Gutirrez Sierra</t>
  </si>
  <si>
    <t>Jwala Gutta</t>
  </si>
  <si>
    <t>Tuba Gven</t>
  </si>
  <si>
    <t>Astrid Murielle Guyart</t>
  </si>
  <si>
    <t>Sarah Guyot</t>
  </si>
  <si>
    <t>Edwige Jeanne Gwend</t>
  </si>
  <si>
    <t>Gwon Han-Na</t>
  </si>
  <si>
    <t>Beatrice Gyaman</t>
  </si>
  <si>
    <t>Rka Gyrgy</t>
  </si>
  <si>
    <t>Rebekka Haase</t>
  </si>
  <si>
    <t>Agustina Paula Habif</t>
  </si>
  <si>
    <t>Florencia Martina Habif</t>
  </si>
  <si>
    <t>Nebiat Habtemariam Measho</t>
  </si>
  <si>
    <t>Clo Hache</t>
  </si>
  <si>
    <t>Semoy Kee-Ann Hackett</t>
  </si>
  <si>
    <t>Maha Haddioui</t>
  </si>
  <si>
    <t>Katharina Haecker</t>
  </si>
  <si>
    <t>Annie Haeger</t>
  </si>
  <si>
    <t>Nada Hafez</t>
  </si>
  <si>
    <t>Alexandra Hagan</t>
  </si>
  <si>
    <t>Nathalie Mari Hagman</t>
  </si>
  <si>
    <t>Lisa Hahn-Altenburg</t>
  </si>
  <si>
    <t>Anna Hahner</t>
  </si>
  <si>
    <t>Lisa Hahner</t>
  </si>
  <si>
    <t>Aika Hakoyama</t>
  </si>
  <si>
    <t>Taina Halasima</t>
  </si>
  <si>
    <t>Jessica Hall</t>
  </si>
  <si>
    <t>Linden Hall</t>
  </si>
  <si>
    <t>Marielle Hall</t>
  </si>
  <si>
    <t>Francesca Jean "Fran" Halsall</t>
  </si>
  <si>
    <t>Mayu Hamada</t>
  </si>
  <si>
    <t>Nikki Jayne Hamblin</t>
  </si>
  <si>
    <t>Riheb Al-Hammami</t>
  </si>
  <si>
    <t>Pauline Louisa Hammarlund</t>
  </si>
  <si>
    <t>Sarah Kathryn Hammer (-Sparks)</t>
  </si>
  <si>
    <t>Bianca Maree Hammett</t>
  </si>
  <si>
    <t>Kheira Hamraoui</t>
  </si>
  <si>
    <t>Samar Amer Ibrahim  Hamza</t>
  </si>
  <si>
    <t>Han Hye-Ryeong</t>
  </si>
  <si>
    <t>Xing Han</t>
  </si>
  <si>
    <t>Ying Han</t>
  </si>
  <si>
    <t>Jessica Hancco Merma</t>
  </si>
  <si>
    <t>Mary Hanna</t>
  </si>
  <si>
    <t>Angela Hannah</t>
  </si>
  <si>
    <t>Molly Hannis</t>
  </si>
  <si>
    <t>Henriette Engel Hansen</t>
  </si>
  <si>
    <t>Jena Mai Hansen</t>
  </si>
  <si>
    <t>Natasha Hansen</t>
  </si>
  <si>
    <t>Louise Maria Hansson</t>
  </si>
  <si>
    <t>Sophie Elizabeth Hansson</t>
  </si>
  <si>
    <t>Kateina Hanuov-Nash</t>
  </si>
  <si>
    <t>Adla Hanzlkov</t>
  </si>
  <si>
    <t>Hao Jialu</t>
  </si>
  <si>
    <t>Lindsey Marcie Harding</t>
  </si>
  <si>
    <t>Nicole Hare</t>
  </si>
  <si>
    <t>Shaimaa Haridy Khalaf</t>
  </si>
  <si>
    <t>Isabelle Hrle</t>
  </si>
  <si>
    <t>Christa Deanne Harmotto-Dietzen</t>
  </si>
  <si>
    <t>Phannapa Harnsujin</t>
  </si>
  <si>
    <t>Luca Haro</t>
  </si>
  <si>
    <t>Tahesia Gaynell Harrigan-Scott</t>
  </si>
  <si>
    <t>Nikki Louise Harris (-Brammeier)</t>
  </si>
  <si>
    <t>Charlotte Harrison</t>
  </si>
  <si>
    <t>Kayla Harrison</t>
  </si>
  <si>
    <t>Ruby Esther Harrold</t>
  </si>
  <si>
    <t>Bridgitte Ellen Hartley</t>
  </si>
  <si>
    <t>Kerstin Hartmann</t>
  </si>
  <si>
    <t>Lilit Harutyunyan</t>
  </si>
  <si>
    <t>Eleanor Harvey</t>
  </si>
  <si>
    <t>Suzuka Hasegawa</t>
  </si>
  <si>
    <t>Margret Hassan</t>
  </si>
  <si>
    <t>Sifan Hassan</t>
  </si>
  <si>
    <t>Dara Tamer Mahmoud Hassanien</t>
  </si>
  <si>
    <t>Betsy Doon Hassett</t>
  </si>
  <si>
    <t>Julia Hassler</t>
  </si>
  <si>
    <t>Natasha Monique Hastings</t>
  </si>
  <si>
    <t>Amy Elizabeth Hastings-Cragg</t>
  </si>
  <si>
    <t>Airi Hatakeyama</t>
  </si>
  <si>
    <t>Hanna Volodymyrivna Hatsko-Fedusova</t>
  </si>
  <si>
    <t>Camilla Hattersley</t>
  </si>
  <si>
    <t>Anne Haug</t>
  </si>
  <si>
    <t>Siobhn Bernadette Haughey</t>
  </si>
  <si>
    <t>Franzisca Hauke</t>
  </si>
  <si>
    <t>Julia Hauser</t>
  </si>
  <si>
    <t>Nagisa Hayashi</t>
  </si>
  <si>
    <t>Yuki Hayashi</t>
  </si>
  <si>
    <t>Sultan Haydar</t>
  </si>
  <si>
    <t>Pippa Hayward</t>
  </si>
  <si>
    <t>He Wenna</t>
  </si>
  <si>
    <t>He Zi</t>
  </si>
  <si>
    <t>Maaike Christiane Head</t>
  </si>
  <si>
    <t>Amber Liarnie Rose Hearn</t>
  </si>
  <si>
    <t>Suzanne "Sue" Hearn</t>
  </si>
  <si>
    <t>Tobin Powell Heath</t>
  </si>
  <si>
    <t>Zurian Hechavarra Martn</t>
  </si>
  <si>
    <t>Frederike Johanna Maria "Femke" Heemskerk</t>
  </si>
  <si>
    <t>Betty Heidler</t>
  </si>
  <si>
    <t>Joana Heidrich</t>
  </si>
  <si>
    <t>Vita Heine</t>
  </si>
  <si>
    <t>Zuzana Hejnov</t>
  </si>
  <si>
    <t>Yousra Helmy</t>
  </si>
  <si>
    <t>Hem Thon Vitiny</t>
  </si>
  <si>
    <t>Nina Hemmer</t>
  </si>
  <si>
    <t>Brooke Mackenzie Henderson</t>
  </si>
  <si>
    <t>Rebecca Henderson</t>
  </si>
  <si>
    <t>Mlanie Hnique</t>
  </si>
  <si>
    <t>Paris Henken</t>
  </si>
  <si>
    <t>Josephine Henning</t>
  </si>
  <si>
    <t>Ins Pereira Henriques</t>
  </si>
  <si>
    <t>Amandine Chantal Henry</t>
  </si>
  <si>
    <t>Desiree Latifah N. Henry</t>
  </si>
  <si>
    <t>Lerissa Henry</t>
  </si>
  <si>
    <t>Jennifer Hens</t>
  </si>
  <si>
    <t>Franziska Hentke</t>
  </si>
  <si>
    <t>Iryna Ihorivna Herashchenko</t>
  </si>
  <si>
    <t>Polona Hercog</t>
  </si>
  <si>
    <t>Oksana Vasylivna Herhel</t>
  </si>
  <si>
    <t>Christina Hering</t>
  </si>
  <si>
    <t>Sabrina Hering</t>
  </si>
  <si>
    <t>Natalie Hermann</t>
  </si>
  <si>
    <t>Barbora Hermannov</t>
  </si>
  <si>
    <t>Rune Hermans</t>
  </si>
  <si>
    <t>Mia Hermansson</t>
  </si>
  <si>
    <t>Dolores Hernndez Monzon</t>
  </si>
  <si>
    <t>Lauren Zoe "Laurie" Hernandez</t>
  </si>
  <si>
    <t>Licet Hernndez Licea</t>
  </si>
  <si>
    <t>Margarita Hernndez Flores</t>
  </si>
  <si>
    <t>Melany Michelle Hernndez Torres</t>
  </si>
  <si>
    <t>Stefany del Carmen Hernndez Mendoza</t>
  </si>
  <si>
    <t>Yislena Hernndez Guzmn</t>
  </si>
  <si>
    <t>Camilla Herrem</t>
  </si>
  <si>
    <t>Mayra Carolina Herrera Prez</t>
  </si>
  <si>
    <t>Patricia Herrera Fernndez</t>
  </si>
  <si>
    <t>Graciele Herrmann</t>
  </si>
  <si>
    <t>Andrea Hewitt</t>
  </si>
  <si>
    <t>Rebecca Heyliger</t>
  </si>
  <si>
    <t>Michelle Pearl Heyman</t>
  </si>
  <si>
    <t>Nao Hibino</t>
  </si>
  <si>
    <t>Siham Al-Hilali</t>
  </si>
  <si>
    <t>Ariana Kira Hilborna (Zvrs-)</t>
  </si>
  <si>
    <t>Nadine Hildebrand</t>
  </si>
  <si>
    <t>Amber Jo Hill</t>
  </si>
  <si>
    <t>Kimberly "Kim" Hill</t>
  </si>
  <si>
    <t>Samantha "Sami" Hill</t>
  </si>
  <si>
    <t>Madeline Hills (Heiner-)</t>
  </si>
  <si>
    <t>Madeline Clare "Maddie" Hinch</t>
  </si>
  <si>
    <t>Martina Hingis (-Hutin)</t>
  </si>
  <si>
    <t>Anta Hinriksdttir</t>
  </si>
  <si>
    <t>Bouchra Fatima Al-Zohra Hirech</t>
  </si>
  <si>
    <t>Loan Valerie His</t>
  </si>
  <si>
    <t>Sophie Hitchon</t>
  </si>
  <si>
    <t>sds Hjlmsdttir</t>
  </si>
  <si>
    <t>Andrea Hlavkov</t>
  </si>
  <si>
    <t>H Th L</t>
  </si>
  <si>
    <t>Belinda Jane Hocking</t>
  </si>
  <si>
    <t>Chantal Hoffmann</t>
  </si>
  <si>
    <t>Lara Hoffmann</t>
  </si>
  <si>
    <t>Olivia Hofmann</t>
  </si>
  <si>
    <t>Margaret "Maggie" Hogan</t>
  </si>
  <si>
    <t>Elisabeth Wilhelmina "Ellen" Hogerwerf</t>
  </si>
  <si>
    <t>Nikkita Holder</t>
  </si>
  <si>
    <t>Victoria Frances "Vicky" Holland</t>
  </si>
  <si>
    <t>Nina Hollensen</t>
  </si>
  <si>
    <t>Tanya Holliday</t>
  </si>
  <si>
    <t>Katharine Holmes</t>
  </si>
  <si>
    <t>Olha Anatolivna Holodna</t>
  </si>
  <si>
    <t>Tamila Hryhorivna Holub</t>
  </si>
  <si>
    <t>Yevheniya Yevhenivna Homon</t>
  </si>
  <si>
    <t>Hong Un-Jong</t>
  </si>
  <si>
    <t>Hong Yoo-Jin</t>
  </si>
  <si>
    <t>Kah Mun "Vivian" Hoo</t>
  </si>
  <si>
    <t>Ellen Marijn Hoog</t>
  </si>
  <si>
    <t>Gloria Hooper</t>
  </si>
  <si>
    <t>Tamara Horacek</t>
  </si>
  <si>
    <t>Lindsey Michelle Horan</t>
  </si>
  <si>
    <t>Kerry Hore</t>
  </si>
  <si>
    <t>Carina Horn</t>
  </si>
  <si>
    <t>Stefanie Horn</t>
  </si>
  <si>
    <t>Stephanie Horner</t>
  </si>
  <si>
    <t>Sarah Hornung</t>
  </si>
  <si>
    <t>Fanny Horta</t>
  </si>
  <si>
    <t>Genevieve Horton</t>
  </si>
  <si>
    <t>Nadja Horwitz von Appen</t>
  </si>
  <si>
    <t>Natsumi Hoshi</t>
  </si>
  <si>
    <t>Melissa Hoskins</t>
  </si>
  <si>
    <t>Katinka Hossz</t>
  </si>
  <si>
    <t>Manon Hostens</t>
  </si>
  <si>
    <t>Anast'asia Hot'pridi</t>
  </si>
  <si>
    <t>Camelia Hotea (Balint-)</t>
  </si>
  <si>
    <t>Hou Yawen</t>
  </si>
  <si>
    <t>Jessica Lucetta Lone Houara-d'Hommeaux</t>
  </si>
  <si>
    <t>Manon Houette</t>
  </si>
  <si>
    <t>Frances Julia Houghton</t>
  </si>
  <si>
    <t>Shelby Houlihan</t>
  </si>
  <si>
    <t>Jade Ashleigh Howard</t>
  </si>
  <si>
    <t>Rebecca Howard</t>
  </si>
  <si>
    <t>Chaunte LaTasha Howard-Lowe</t>
  </si>
  <si>
    <t>Katie Cherie Hoyle-Duncan</t>
  </si>
  <si>
    <t>Eri Hozumi</t>
  </si>
  <si>
    <t>Magorzata Houb</t>
  </si>
  <si>
    <t>Lucie Hradeck</t>
  </si>
  <si>
    <t>Martina Hranov-Daniov</t>
  </si>
  <si>
    <t>Olena Serhivna Hrechykhina</t>
  </si>
  <si>
    <t>Oleksandra Serhivna Hridasova</t>
  </si>
  <si>
    <t>Mimi Nikolova Hristova</t>
  </si>
  <si>
    <t>Lucia Hrivnk Klocov</t>
  </si>
  <si>
    <t>Michaela Hrub</t>
  </si>
  <si>
    <t>Inna Volodymyrivna Hryshchun</t>
  </si>
  <si>
    <t>Hsiao Mei-Yu</t>
  </si>
  <si>
    <t>Hsieh Chien-Ho</t>
  </si>
  <si>
    <t>Hsu Shu-Ching</t>
  </si>
  <si>
    <t>Htwe San Yu</t>
  </si>
  <si>
    <t>Melek Hu</t>
  </si>
  <si>
    <t>Hua Shaoqing</t>
  </si>
  <si>
    <t>Huang Dongyan</t>
  </si>
  <si>
    <t>Huang Hongpin</t>
  </si>
  <si>
    <t>Huang Huai-Hsuan</t>
  </si>
  <si>
    <t>Huang I-Hua</t>
  </si>
  <si>
    <t>Huang Lizhu</t>
  </si>
  <si>
    <t>Huang Sijing</t>
  </si>
  <si>
    <t>Huang Ting-Ying</t>
  </si>
  <si>
    <t>Huang Wenyi</t>
  </si>
  <si>
    <t>Huang Xuechen</t>
  </si>
  <si>
    <t>Huang Yi-Ting</t>
  </si>
  <si>
    <t>Molly Huddle (-Benninger)</t>
  </si>
  <si>
    <t>Valeriya Vasylivna Hudym</t>
  </si>
  <si>
    <t>Hui Ruoqi</t>
  </si>
  <si>
    <t>Charley Esmee Hull</t>
  </si>
  <si>
    <t>Florina Sorina Hulpan</t>
  </si>
  <si>
    <t>Natasha May Hunt</t>
  </si>
  <si>
    <t>Courtney Lyn Hurley</t>
  </si>
  <si>
    <t>Kelley Anne Hurley</t>
  </si>
  <si>
    <t>Christin Hussong</t>
  </si>
  <si>
    <t>Svenja Anette Huth</t>
  </si>
  <si>
    <t>Hwang Seo-Na</t>
  </si>
  <si>
    <t>Hwang Seon-Geun</t>
  </si>
  <si>
    <t>Hwang Yeon-Ju</t>
  </si>
  <si>
    <t>Hedda Hynne</t>
  </si>
  <si>
    <t>Daniele Matias Hyplito</t>
  </si>
  <si>
    <t>Anne-Mari Hyrylinen (Koskinen-)</t>
  </si>
  <si>
    <t>Xoana Soledad Iacoi</t>
  </si>
  <si>
    <t>Liliana Ibez Lpez</t>
  </si>
  <si>
    <t>Caterine Ibargn Mena</t>
  </si>
  <si>
    <t>Haneen Ibrahim</t>
  </si>
  <si>
    <t>Karine Icher</t>
  </si>
  <si>
    <t>Kaori Icho</t>
  </si>
  <si>
    <t>Filippa Idhn</t>
  </si>
  <si>
    <t>Sofia Ifantidou</t>
  </si>
  <si>
    <t>Chihiro Igarashi</t>
  </si>
  <si>
    <t>Judit Ignacio Sorribes</t>
  </si>
  <si>
    <t>Laura Ikauniece-Admidia</t>
  </si>
  <si>
    <t>Rikako Ikee</t>
  </si>
  <si>
    <t>Anna Krisztina Ills</t>
  </si>
  <si>
    <t>Yekaterina Fyodorovna Ilyina</t>
  </si>
  <si>
    <t>Kristina Alekseyevna Ilyinykh</t>
  </si>
  <si>
    <t>Im Gyeong-Hui</t>
  </si>
  <si>
    <t>Runa Imai</t>
  </si>
  <si>
    <t>Kayla Imrie</t>
  </si>
  <si>
    <t>Fabienne In-Albon</t>
  </si>
  <si>
    <t>Anna Carmela Incerti (-Scaini)</t>
  </si>
  <si>
    <t>Jessica Inchude</t>
  </si>
  <si>
    <t>Linda Indergand</t>
  </si>
  <si>
    <t>Emily Infeld</t>
  </si>
  <si>
    <t>Veronica Inglese</t>
  </si>
  <si>
    <t>Alice Ingley</t>
  </si>
  <si>
    <t>Subenrat Insaeng</t>
  </si>
  <si>
    <t>Ratchanok Intanon</t>
  </si>
  <si>
    <t>Yukiko Inui</t>
  </si>
  <si>
    <t>Anamaria Ioni</t>
  </si>
  <si>
    <t>Assiya pek</t>
  </si>
  <si>
    <t>Isabela Ramona Lyra Macedo</t>
  </si>
  <si>
    <t>Isabella Isaksen (-El-Geziry)</t>
  </si>
  <si>
    <t>Margaux Isaksen</t>
  </si>
  <si>
    <t>Megumi Iseda</t>
  </si>
  <si>
    <t>Nataliya Sergeyevna Ishchenko</t>
  </si>
  <si>
    <t>Paula Harumi Ishibashi</t>
  </si>
  <si>
    <t>Naoko Ishihara</t>
  </si>
  <si>
    <t>Yuki Ishii</t>
  </si>
  <si>
    <t>Kasumi Ishikawa</t>
  </si>
  <si>
    <t>Mandy Islacker</t>
  </si>
  <si>
    <t>Drita Islami</t>
  </si>
  <si>
    <t>Afa Ismail</t>
  </si>
  <si>
    <t>Minami Itahashi</t>
  </si>
  <si>
    <t>Mai Ito</t>
  </si>
  <si>
    <t>Mima Ito</t>
  </si>
  <si>
    <t>Juliet Itoya Ebhomhenye</t>
  </si>
  <si>
    <t>Amalie Hammild Iuel</t>
  </si>
  <si>
    <t>Andrea Ivanevi</t>
  </si>
  <si>
    <t>Yevgeniya Andreyevna Ivanova</t>
  </si>
  <si>
    <t>Ana Ivanovi (-Schweinsteiger)</t>
  </si>
  <si>
    <t>Veronika Mykolavna Ivasiuk</t>
  </si>
  <si>
    <t>aziye vegin ner</t>
  </si>
  <si>
    <t>Amit Ivry</t>
  </si>
  <si>
    <t>Shannon Izar</t>
  </si>
  <si>
    <t>Iziane Castro Marques</t>
  </si>
  <si>
    <t>Ons Jabeur</t>
  </si>
  <si>
    <t>Shericka Jackson</t>
  </si>
  <si>
    <t>Sabina Rosengren Jacobsen</t>
  </si>
  <si>
    <t>Farah Jacques</t>
  </si>
  <si>
    <t>Josphine Jacques-Andr-Coquin</t>
  </si>
  <si>
    <t>Chelsea Jaensch</t>
  </si>
  <si>
    <t>Anna Jagaciak-Michalska</t>
  </si>
  <si>
    <t>Libue Jahodov</t>
  </si>
  <si>
    <t>Orchatteri Puthiya Veetil "O. P." Jaisha</t>
  </si>
  <si>
    <t>Zsuzsanna "Zsu" Jakabos</t>
  </si>
  <si>
    <t>Lisbet Falch Jakobsen</t>
  </si>
  <si>
    <t>Eva Sofia Jakobsson</t>
  </si>
  <si>
    <t>Mimosa Jallow</t>
  </si>
  <si>
    <t>Mahlagha Jambozorg</t>
  </si>
  <si>
    <t>La Jamelot</t>
  </si>
  <si>
    <t>Rebecca Angharad "Becky" James</t>
  </si>
  <si>
    <t>Hind Jamili</t>
  </si>
  <si>
    <t>Refiloe Jane</t>
  </si>
  <si>
    <t>Jang Geum-Young</t>
  </si>
  <si>
    <t>Jang Hee-Sun</t>
  </si>
  <si>
    <t>Jang Su-Ji</t>
  </si>
  <si>
    <t>Rka Luca Jani</t>
  </si>
  <si>
    <t>Jasmina Jankovi</t>
  </si>
  <si>
    <t>Jelena Jankovi</t>
  </si>
  <si>
    <t>Klaudia Anna Jans-Ignacik</t>
  </si>
  <si>
    <t>Inge Janssen</t>
  </si>
  <si>
    <t>Jaqueline Maria "Jaque" Pereira de Carvalho Endres</t>
  </si>
  <si>
    <t>Sabrina Jaquet</t>
  </si>
  <si>
    <t>Aleksandra Jarmoliska</t>
  </si>
  <si>
    <t>Rachel Jarry</t>
  </si>
  <si>
    <t>Edyta Jasiska</t>
  </si>
  <si>
    <t>Magorzata Jasiska</t>
  </si>
  <si>
    <t>urina Jaukovi</t>
  </si>
  <si>
    <t>Jessica Javelet</t>
  </si>
  <si>
    <t>Mahsa Javer</t>
  </si>
  <si>
    <t>Ruth Jebet</t>
  </si>
  <si>
    <t>Erina Jeke</t>
  </si>
  <si>
    <t>Lydia Casey Jele (Mashila-)</t>
  </si>
  <si>
    <t>Michelle "Shelly" Jenneke</t>
  </si>
  <si>
    <t>Lindsay Jennerich</t>
  </si>
  <si>
    <t>Julie Kepp Jensen</t>
  </si>
  <si>
    <t>Jeon Hui-Suk</t>
  </si>
  <si>
    <t>Jeon Ji-Hee</t>
  </si>
  <si>
    <t>Jeon Yeong-Eun</t>
  </si>
  <si>
    <t>Jeong Bo-Kyeong</t>
  </si>
  <si>
    <t>Jeong Gyeong-Eun</t>
  </si>
  <si>
    <t>Jeong Yu-Ra</t>
  </si>
  <si>
    <t>Visiline Jepkesho</t>
  </si>
  <si>
    <t>Caridad Jerez Castellanos</t>
  </si>
  <si>
    <t>Agnieszka Jerzyk</t>
  </si>
  <si>
    <t>Olivera Jevti</t>
  </si>
  <si>
    <t>Jiang Yan</t>
  </si>
  <si>
    <t>Sutiya Jiewchaloemmit</t>
  </si>
  <si>
    <t>Isidora Andrea Jimnez Ibacache</t>
  </si>
  <si>
    <t>Luca Jimnez Vicente</t>
  </si>
  <si>
    <t>Jing Yali</t>
  </si>
  <si>
    <t>Jo Yong-Suk</t>
  </si>
  <si>
    <t>Helalia Lukeiko Johannes</t>
  </si>
  <si>
    <t>Marine Johanns</t>
  </si>
  <si>
    <t>Elin Maria Katarina Johansson</t>
  </si>
  <si>
    <t>Emma Karolina Johansson</t>
  </si>
  <si>
    <t>Henna Katarina Johansson</t>
  </si>
  <si>
    <t>Jennie Caroline Eleonore Johansson</t>
  </si>
  <si>
    <t>Karin Ida Louise Johansson</t>
  </si>
  <si>
    <t>Ashleigh Johnson</t>
  </si>
  <si>
    <t>Felisha Johnson</t>
  </si>
  <si>
    <t>Kathryn Johnson</t>
  </si>
  <si>
    <t>Katarina Mary Johnson-Thompson</t>
  </si>
  <si>
    <t>Abigail Louise "Abby" Johnston</t>
  </si>
  <si>
    <t>Julie Beth Johnston (-Ertz)</t>
  </si>
  <si>
    <t>Aislin Jones</t>
  </si>
  <si>
    <t>Akela Jones</t>
  </si>
  <si>
    <t>Gemma Jones</t>
  </si>
  <si>
    <t>Jade Louise Jones</t>
  </si>
  <si>
    <t>LaVerne Janet Jones-Ferrette</t>
  </si>
  <si>
    <t>Luuka Jones</t>
  </si>
  <si>
    <t>Jong Myong-Suk</t>
  </si>
  <si>
    <t>Kelly Maria Jonker</t>
  </si>
  <si>
    <t>Abigl Jo</t>
  </si>
  <si>
    <t>Gwen Rosemary Jorgensen (-Lemieux)</t>
  </si>
  <si>
    <t>Aletta Jorritsma</t>
  </si>
  <si>
    <t>Ana Lucia Jos Tima</t>
  </si>
  <si>
    <t>Marija Jovanovi</t>
  </si>
  <si>
    <t>Nevena Jovanovi</t>
  </si>
  <si>
    <t>Mara del Mar Jover Prez</t>
  </si>
  <si>
    <t>Jasmine Louise Joyce</t>
  </si>
  <si>
    <t>Bogna Jwiak</t>
  </si>
  <si>
    <t>Joanna Jwik</t>
  </si>
  <si>
    <t>Emma Aastrand Jrgensen</t>
  </si>
  <si>
    <t>Juciely Cristina Silva Barreto</t>
  </si>
  <si>
    <t>Kamilla Rytter Juhl</t>
  </si>
  <si>
    <t>Bayan Jumah</t>
  </si>
  <si>
    <t>Marie-Laurence Jungfleisch</t>
  </si>
  <si>
    <t>Marine Marlene Christelle Jurbert</t>
  </si>
  <si>
    <t>Victoria Jurczok</t>
  </si>
  <si>
    <t>Katarzyna Iwona Jurkowska-Kowalska</t>
  </si>
  <si>
    <t>Ariya Jutanugarn</t>
  </si>
  <si>
    <t>An-Li Kachelhoffer</t>
  </si>
  <si>
    <t>Justyna Kaczkowska</t>
  </si>
  <si>
    <t>Mariya Vladimirovna Kadobina</t>
  </si>
  <si>
    <t>Glnabat Kadyrowa</t>
  </si>
  <si>
    <t>Siripon Kaewduang-Ngam</t>
  </si>
  <si>
    <t>Konomi Kai</t>
  </si>
  <si>
    <t>Daisy Kaitano</t>
  </si>
  <si>
    <t>Selma Kajan</t>
  </si>
  <si>
    <t>Amina Kajtaz</t>
  </si>
  <si>
    <t>Irina Nikolayevna Kalentyeva</t>
  </si>
  <si>
    <t>Viktoriya Viktorovna Kalinina</t>
  </si>
  <si>
    <t>Leontia Kallenou</t>
  </si>
  <si>
    <t>Susanna Elisabeth Kallur</t>
  </si>
  <si>
    <t>Christine Kalmer</t>
  </si>
  <si>
    <t>Megan Elizabeth Kalmoe</t>
  </si>
  <si>
    <t>Nataliya Olehivna Kalnysh</t>
  </si>
  <si>
    <t>Hafsatu Kamara</t>
  </si>
  <si>
    <t>Latitia Kamba</t>
  </si>
  <si>
    <t>Reneta Kamberova</t>
  </si>
  <si>
    <t>Mujinga Elodie Kambundji</t>
  </si>
  <si>
    <t>Victoria Kaminskaya</t>
  </si>
  <si>
    <t>Yuka Kanematsu</t>
  </si>
  <si>
    <t>Rie Kaneto</t>
  </si>
  <si>
    <t>Kang Un-Ju</t>
  </si>
  <si>
    <t>Kang Young-Mi</t>
  </si>
  <si>
    <t>Paula Kania</t>
  </si>
  <si>
    <t>Alisa Kano</t>
  </si>
  <si>
    <t>Boglrka Kaps</t>
  </si>
  <si>
    <t>Rejoice Kapfumvuti</t>
  </si>
  <si>
    <t>Hedvig Karakas</t>
  </si>
  <si>
    <t>rem Karamete</t>
  </si>
  <si>
    <t>Sakina Karchaoui</t>
  </si>
  <si>
    <t>Menatalla Karim Ahmad</t>
  </si>
  <si>
    <t>Elvina Khaydaryanovna Karimova</t>
  </si>
  <si>
    <t>Karma</t>
  </si>
  <si>
    <t>Dipa Karmakar</t>
  </si>
  <si>
    <t>Anna Olegovna Karnaukh</t>
  </si>
  <si>
    <t>Monika Karsch</t>
  </si>
  <si>
    <t>Elke Josselinne Karsten</t>
  </si>
  <si>
    <t>Devery Karz</t>
  </si>
  <si>
    <t>Darya Sergeyevna Kasatkina</t>
  </si>
  <si>
    <t>Rima Kashafutdinova</t>
  </si>
  <si>
    <t>Inna Oleksandrivna Kashyna</t>
  </si>
  <si>
    <t>Orsolya Kas</t>
  </si>
  <si>
    <t>Michelle Plourde Kasold</t>
  </si>
  <si>
    <t>Romy Kasper</t>
  </si>
  <si>
    <t>Anna Kasprzak</t>
  </si>
  <si>
    <t>Reem Mohamed Hussein El-Sayed Kassem</t>
  </si>
  <si>
    <t>Denika Kassim</t>
  </si>
  <si>
    <t>Samantha Kassman</t>
  </si>
  <si>
    <t>Albertina da Cruz Kassoma</t>
  </si>
  <si>
    <t>Shivani Kataria</t>
  </si>
  <si>
    <t>Vandana Katariya</t>
  </si>
  <si>
    <t>Bra Katipolu</t>
  </si>
  <si>
    <t>Yurie Kato</t>
  </si>
  <si>
    <t>Manpreet Kaur</t>
  </si>
  <si>
    <t>Navjot Kaur</t>
  </si>
  <si>
    <t>Risako Kawai</t>
  </si>
  <si>
    <t>Motomi Kawamura</t>
  </si>
  <si>
    <t>Kaori Kawanaka</t>
  </si>
  <si>
    <t>Kvlcm Kaya Salman</t>
  </si>
  <si>
    <t>zlem Kaya</t>
  </si>
  <si>
    <t>Lyubomira Kazanova</t>
  </si>
  <si>
    <t>Elizabeth Rose Keddell</t>
  </si>
  <si>
    <t>Maddison Keeney</t>
  </si>
  <si>
    <t>Marloes Keetels</t>
  </si>
  <si>
    <t>Sally Kehoe</t>
  </si>
  <si>
    <t>Makoura Keita</t>
  </si>
  <si>
    <t>Tracy Keith-Matchitt</t>
  </si>
  <si>
    <t>Rosa Keleku Lukusa</t>
  </si>
  <si>
    <t>Elise Kellond-Knight</t>
  </si>
  <si>
    <t>Kelly Silva dos Santos</t>
  </si>
  <si>
    <t>Ashley Kelly</t>
  </si>
  <si>
    <t>Majlinda Kelmendi</t>
  </si>
  <si>
    <t>Leyla Alev Kelter</t>
  </si>
  <si>
    <t>Tabea Kemme</t>
  </si>
  <si>
    <t>Alanna Stephanie Kennedy</t>
  </si>
  <si>
    <t>Angelique Kerber</t>
  </si>
  <si>
    <t>Alexandra Keresztesi</t>
  </si>
  <si>
    <t>Samantha May Kerr</t>
  </si>
  <si>
    <t>Isabel Kerschowski</t>
  </si>
  <si>
    <t>Ajna Evelin Ksely</t>
  </si>
  <si>
    <t>Rita Keszthelyi</t>
  </si>
  <si>
    <t>Danielle Merlyn Kettlewell</t>
  </si>
  <si>
    <t>Madison Keys</t>
  </si>
  <si>
    <t>Thembi Kgatlana</t>
  </si>
  <si>
    <t>Sitora Khamidova</t>
  </si>
  <si>
    <t>Marta Nikolayevna Kharitonova</t>
  </si>
  <si>
    <t>Olha Hennadivna Kharlan</t>
  </si>
  <si>
    <t>Phupu Lamu Khatri</t>
  </si>
  <si>
    <t>Yuliya Olehivna Khavaldzhy (Blahinia-)</t>
  </si>
  <si>
    <t>Najmeh Khedmati</t>
  </si>
  <si>
    <t>Anissa Khelfaoui (-Nassonenko)</t>
  </si>
  <si>
    <t>Yekaterina Viktorovna Khilko</t>
  </si>
  <si>
    <t>Yuliya Petrovna Khitraya</t>
  </si>
  <si>
    <t>Marina Khmelevskaya</t>
  </si>
  <si>
    <t>Anastasija Khmelnytska</t>
  </si>
  <si>
    <t>Griselda Khng</t>
  </si>
  <si>
    <t>Yekaterina Anatolyevna Khodotovich-Karsten</t>
  </si>
  <si>
    <t>Iryna Viktorivna Khokhlova (-Zapata)</t>
  </si>
  <si>
    <t>Tatyana Vladimirovna Kholodovich</t>
  </si>
  <si>
    <t>Yekaterina Vladimirovna Khomyakova-Birlova</t>
  </si>
  <si>
    <t>Diana Khubeseryan</t>
  </si>
  <si>
    <t>Olga Sergeyevna Khudenko</t>
  </si>
  <si>
    <t>Ki Bo-Bae</t>
  </si>
  <si>
    <t>Lusa Kiala</t>
  </si>
  <si>
    <t>Valentina Kibalnikova</t>
  </si>
  <si>
    <t>Faith Chepngetich Kibiegon</t>
  </si>
  <si>
    <t>Liudmyla Viktorivna Kichenok</t>
  </si>
  <si>
    <t>Nadiya Viktorivna Kichenok</t>
  </si>
  <si>
    <t>Yumi Kida</t>
  </si>
  <si>
    <t>Lee Kiefer</t>
  </si>
  <si>
    <t>Lauren Kieffer</t>
  </si>
  <si>
    <t>Lynda Kiejko (Hare-)</t>
  </si>
  <si>
    <t>Anna Katarzyna Kiebasiska</t>
  </si>
  <si>
    <t>Andrea Kilday</t>
  </si>
  <si>
    <t>Kim Bo-Mi</t>
  </si>
  <si>
    <t>Kim Eun-Hye</t>
  </si>
  <si>
    <t>Kim Ha-Na</t>
  </si>
  <si>
    <t>Kim Hae-Ran</t>
  </si>
  <si>
    <t>Kim Hui-Jin</t>
  </si>
  <si>
    <t>Kim Hye-Gyong</t>
  </si>
  <si>
    <t>Kim Hye-Song</t>
  </si>
  <si>
    <t>Kim Hyon-Gyong</t>
  </si>
  <si>
    <t>Kim Hyun-Ji</t>
  </si>
  <si>
    <t>Kim Jan-Di</t>
  </si>
  <si>
    <t>Kim Jang-Mi</t>
  </si>
  <si>
    <t>Kim Ji-Yeon</t>
  </si>
  <si>
    <t>Kim Jin-Yi</t>
  </si>
  <si>
    <t>Kim Jong-Eun</t>
  </si>
  <si>
    <t>Kim Kuk-Hyang</t>
  </si>
  <si>
    <t>Kim Kum-Ok</t>
  </si>
  <si>
    <t>Kim Mi-Rae</t>
  </si>
  <si>
    <t>Kim Min-Jeong</t>
  </si>
  <si>
    <t>Kim Min-Jung</t>
  </si>
  <si>
    <t>Kim On-A</t>
  </si>
  <si>
    <t>Kim Sei-Young</t>
  </si>
  <si>
    <t>Kim Seo-Yeong</t>
  </si>
  <si>
    <t>Kim Seong-Yeon</t>
  </si>
  <si>
    <t>Kim So-Hui</t>
  </si>
  <si>
    <t>Kim Sol-Mi</t>
  </si>
  <si>
    <t>Kim Song-I</t>
  </si>
  <si>
    <t>Kim Su-Ji</t>
  </si>
  <si>
    <t>Kim Sun-Woo</t>
  </si>
  <si>
    <t>Kim Un-Hyang</t>
  </si>
  <si>
    <t>Kim Ye-Ji</t>
  </si>
  <si>
    <t>Kim Yeon-Gyeong</t>
  </si>
  <si>
    <t>Lucia Mwahiki Kimani-Mareti</t>
  </si>
  <si>
    <t>Saori Kimura</t>
  </si>
  <si>
    <t>ebnem Nezahat Kimyacolu</t>
  </si>
  <si>
    <t>Kitty Louisa King (Boggis-)</t>
  </si>
  <si>
    <t>Lilly King</t>
  </si>
  <si>
    <t>Morghan Whitney King</t>
  </si>
  <si>
    <t>Erika Anna Kristina Kinsey (Wiklund-)</t>
  </si>
  <si>
    <t>Jaclyn Elisabeth "Jackie" Kintzer-Briggs</t>
  </si>
  <si>
    <t>Helah Kiprop Jelagat</t>
  </si>
  <si>
    <t>Leah Kirchmann</t>
  </si>
  <si>
    <t>Alisa Andreyevna Kirilyuk</t>
  </si>
  <si>
    <t>Erika Kirpu</t>
  </si>
  <si>
    <t>Eunice Jepkirui Kirwa</t>
  </si>
  <si>
    <t>Jennifer "Jen" Kish</t>
  </si>
  <si>
    <t>Hanna Anna Kisteleki</t>
  </si>
  <si>
    <t>Yuko Kitai</t>
  </si>
  <si>
    <t>Kaidi Kivioja</t>
  </si>
  <si>
    <t>Hyvin Kiyeng Jepkemoi</t>
  </si>
  <si>
    <t>Line Kjrsfeldt</t>
  </si>
  <si>
    <t>Kathrin Klaas</t>
  </si>
  <si>
    <t>Pim-On Klaisuban</t>
  </si>
  <si>
    <t>Rachel Shamiso Klamer</t>
  </si>
  <si>
    <t>Andrea Klikovac</t>
  </si>
  <si>
    <t>Ingrid Klimke (-Busacker)</t>
  </si>
  <si>
    <t>Anja Klinar</t>
  </si>
  <si>
    <t>Hanna Klinga</t>
  </si>
  <si>
    <t>Meghan Elizabeth Klingenberg</t>
  </si>
  <si>
    <t>Inna Klinova</t>
  </si>
  <si>
    <t>Darya Igorevna Klishina</t>
  </si>
  <si>
    <t>Konstanze Klosterhalfen</t>
  </si>
  <si>
    <t>Elika Kluinov</t>
  </si>
  <si>
    <t>Georgina Klug</t>
  </si>
  <si>
    <t>Iryna Volodymyrivna Klymets</t>
  </si>
  <si>
    <t>Edina Monika Knapek</t>
  </si>
  <si>
    <t>Karin Knapp</t>
  </si>
  <si>
    <t>Anna Knauer</t>
  </si>
  <si>
    <t>Andrea Kneppers</t>
  </si>
  <si>
    <t>Milena Kneevi-Raievi</t>
  </si>
  <si>
    <t>Kellion Knibb</t>
  </si>
  <si>
    <t>Bronwen Knox</t>
  </si>
  <si>
    <t>Hanna Knyazyeva-Minenko</t>
  </si>
  <si>
    <t>Bo-Gyung "Lydia" Ko</t>
  </si>
  <si>
    <t>Marthe Koala</t>
  </si>
  <si>
    <t>Tetiana Volodymyrivna Kob</t>
  </si>
  <si>
    <t>Nomie Kober</t>
  </si>
  <si>
    <t>Kristel Arianne Kbrich Schmipl</t>
  </si>
  <si>
    <t>Agnieszka Kobus</t>
  </si>
  <si>
    <t>Raquel Cristina Kochhann</t>
  </si>
  <si>
    <t>Olga Aleksandrovna Kochneva</t>
  </si>
  <si>
    <t>Madison Taylor Kocian</t>
  </si>
  <si>
    <t>Barbora Kodedov</t>
  </si>
  <si>
    <t>Valentina Kogan</t>
  </si>
  <si>
    <t>Michelle Koh</t>
  </si>
  <si>
    <t>Rebeka Koha</t>
  </si>
  <si>
    <t>Sarah Khler</t>
  </si>
  <si>
    <t>Fabienne Kohlmann</t>
  </si>
  <si>
    <t>Martina Kohlov</t>
  </si>
  <si>
    <t>Mifuyu Koide</t>
  </si>
  <si>
    <t>Sara Kolak</t>
  </si>
  <si>
    <t>Olena Dmytrivna Kolesnichenko</t>
  </si>
  <si>
    <t>Svetlana Konstantinovna Kolesnichenko</t>
  </si>
  <si>
    <t>Violetta Vitalyevna Kolobova</t>
  </si>
  <si>
    <t>Kelsey Kolojejchick</t>
  </si>
  <si>
    <t>Alina Ivanivna Komashchuk</t>
  </si>
  <si>
    <t>Nanthana Komwong</t>
  </si>
  <si>
    <t>Ami Kondo</t>
  </si>
  <si>
    <t>Kaede Kondo</t>
  </si>
  <si>
    <t>Ai Kondo Yoshida</t>
  </si>
  <si>
    <t>Mamina Kon</t>
  </si>
  <si>
    <t>Man Wai "Vivian" Kong</t>
  </si>
  <si>
    <t>Man Yi "Yvette" Kong</t>
  </si>
  <si>
    <t>Ana Konjuh</t>
  </si>
  <si>
    <t>Klaudia Konopko</t>
  </si>
  <si>
    <t>Johanna Konta</t>
  </si>
  <si>
    <t>Zoi Kontogianni</t>
  </si>
  <si>
    <t>Aikaterini-Maria Kontokhristopoulou</t>
  </si>
  <si>
    <t>Lotte Kopecky</t>
  </si>
  <si>
    <t>Malwina Kopron</t>
  </si>
  <si>
    <t>Salom Kora</t>
  </si>
  <si>
    <t>Anna Korakaki</t>
  </si>
  <si>
    <t>Vill Gyngyvr Kormos</t>
  </si>
  <si>
    <t>Anna Mykolavna Kornuta</t>
  </si>
  <si>
    <t>Mariya Korobitskaya</t>
  </si>
  <si>
    <t>Yelizaveta Korol (Lunina-)</t>
  </si>
  <si>
    <t>Yuliya Vladimirovna Korol</t>
  </si>
  <si>
    <t>Mariya Koroleva</t>
  </si>
  <si>
    <t>Yekaterina Viktorovna Korshunova</t>
  </si>
  <si>
    <t>Tatyana Aleksandrovna Korzh</t>
  </si>
  <si>
    <t>Birgit Koschischek</t>
  </si>
  <si>
    <t>Tatyana Sergeyevna Kosheleva</t>
  </si>
  <si>
    <t>Alona Koshevatskiy</t>
  </si>
  <si>
    <t>Maureen Koster</t>
  </si>
  <si>
    <t>Olena Dmytrivna Kostevych</t>
  </si>
  <si>
    <t>Nadeida "Nadia" Kostiuczyk-Zieba</t>
  </si>
  <si>
    <t>Yekaterina Vadimovna Kosyanenko (Pankova-)</t>
  </si>
  <si>
    <t>Olha Yevstafivna Kotovska</t>
  </si>
  <si>
    <t>Mariya Vasilyevna Kotyak</t>
  </si>
  <si>
    <t>Sanaa Koubaa</t>
  </si>
  <si>
    <t>Henriette Nadege Koulla</t>
  </si>
  <si>
    <t>Barbara Kovcs</t>
  </si>
  <si>
    <t>Sarolta Kovcs</t>
  </si>
  <si>
    <t>Zsfia Kovcs</t>
  </si>
  <si>
    <t>Danka Kovini</t>
  </si>
  <si>
    <t>Katarzyna Kowalska</t>
  </si>
  <si>
    <t>Magorzata Kozaczuk</t>
  </si>
  <si>
    <t>Danuta Kozk</t>
  </si>
  <si>
    <t>Veronika Kozelsk-Fenclov</t>
  </si>
  <si>
    <t>Anastasiya Mykolavna Kozhenkova</t>
  </si>
  <si>
    <t>Karolina Koeczek</t>
  </si>
  <si>
    <t>Kinga Koosiska</t>
  </si>
  <si>
    <t>Adzo Rebecca Kpossi</t>
  </si>
  <si>
    <t>Ura Kragelj</t>
  </si>
  <si>
    <t>Mareen Krh</t>
  </si>
  <si>
    <t>Annike Berit Krahn</t>
  </si>
  <si>
    <t>Julia Krajewski</t>
  </si>
  <si>
    <t>Anastasiya Sergeyevna Krapivina</t>
  </si>
  <si>
    <t>Hanna Serhivna Krasnoshlyk</t>
  </si>
  <si>
    <t>Franciela das Graas Krasucki</t>
  </si>
  <si>
    <t>Ilana Kratysh</t>
  </si>
  <si>
    <t>Sascia Kraus</t>
  </si>
  <si>
    <t>Gesa Felicitas Krause</t>
  </si>
  <si>
    <t>Olena Vitalivna Kravatska</t>
  </si>
  <si>
    <t>Katarzyna Krawczyk</t>
  </si>
  <si>
    <t>Amlie Kretz</t>
  </si>
  <si>
    <t>Lena Kreundl</t>
  </si>
  <si>
    <t>Alexandra Blaire "Ali" Krieger</t>
  </si>
  <si>
    <t>Steffi Kriegerstein</t>
  </si>
  <si>
    <t>Khadija Al-Krimi</t>
  </si>
  <si>
    <t>Marcela Krinke-Susmelj</t>
  </si>
  <si>
    <t>Veronica Egebakken Kristiansen</t>
  </si>
  <si>
    <t>Garda Krisztina</t>
  </si>
  <si>
    <t>Xnia Krizsn</t>
  </si>
  <si>
    <t>Sara Krnji</t>
  </si>
  <si>
    <t>Mieke Krger</t>
  </si>
  <si>
    <t>Ranomi Kromowidjojo</t>
  </si>
  <si>
    <t>Camilla Kruger</t>
  </si>
  <si>
    <t>Hannah Krger</t>
  </si>
  <si>
    <t>Aleksandra Kruni</t>
  </si>
  <si>
    <t>Simona Krupeckait</t>
  </si>
  <si>
    <t>Vijona Kryeziu</t>
  </si>
  <si>
    <t>Olena Serhivna Kryvytska</t>
  </si>
  <si>
    <t>Satomi Kubokura</t>
  </si>
  <si>
    <t>Kateina Kudjov</t>
  </si>
  <si>
    <t>Anastasiya Valeryevna Kudinova</t>
  </si>
  <si>
    <t>Yana Alekseyevna Kudryavtseva</t>
  </si>
  <si>
    <t>Corinna Kuhnle</t>
  </si>
  <si>
    <t>Susan Kuijken (-Krumins)</t>
  </si>
  <si>
    <t>Tatyana Aleksandrovna Kukhta</t>
  </si>
  <si>
    <t>Jasmin Klbs</t>
  </si>
  <si>
    <t>Leonie Kullmann</t>
  </si>
  <si>
    <t>Rattikan Kulnoi</t>
  </si>
  <si>
    <t>Caroline Aiko Kumahara</t>
  </si>
  <si>
    <t>Deepika Kumari</t>
  </si>
  <si>
    <t>Yi-Ping "Candie" Kung</t>
  </si>
  <si>
    <t>Lenchu Kunzang</t>
  </si>
  <si>
    <t>Kahena Kunze</t>
  </si>
  <si>
    <t>Kuo Hsing-Chun</t>
  </si>
  <si>
    <t>Taru Kuoppa</t>
  </si>
  <si>
    <t>Zarina Kurbanova</t>
  </si>
  <si>
    <t>Ayane Kurihara</t>
  </si>
  <si>
    <t>Mika Kurihara</t>
  </si>
  <si>
    <t>Maria Kurjo</t>
  </si>
  <si>
    <t>Mehtap Kurnaz</t>
  </si>
  <si>
    <t>Akane Kuroki</t>
  </si>
  <si>
    <t>Amanda Maria Kurtovic</t>
  </si>
  <si>
    <t>Sabine Kusterer</t>
  </si>
  <si>
    <t>Kristina Kuusk</t>
  </si>
  <si>
    <t>Ano Kuwai</t>
  </si>
  <si>
    <t>Polina Viktorovna Kuznetsova (Vyakhireva-)</t>
  </si>
  <si>
    <t>Svetlana Aleksandrovna Kuznetsova</t>
  </si>
  <si>
    <t>Nataliya Yuryevna Kuzyutina</t>
  </si>
  <si>
    <t>Petra Kvitov</t>
  </si>
  <si>
    <t>Kwak Jung-Hye</t>
  </si>
  <si>
    <t>Tanja Kylliinen</t>
  </si>
  <si>
    <t>Maryna V'iacheslavivna Kylypko</t>
  </si>
  <si>
    <t>Anhelina Anatolivna Kysla</t>
  </si>
  <si>
    <t>Liina Laasma</t>
  </si>
  <si>
    <t>Jana Labthov</t>
  </si>
  <si>
    <t>Stephanie Lynn Marie Labb</t>
  </si>
  <si>
    <t>Lissa Mary Audrey Labiche</t>
  </si>
  <si>
    <t>Genevieve LaCaze</t>
  </si>
  <si>
    <t>Hasnaa Lachgar</t>
  </si>
  <si>
    <t>Alexandra Lacrabre</t>
  </si>
  <si>
    <t>Audrey Lacroix</t>
  </si>
  <si>
    <t>Caroline Ladagnous</t>
  </si>
  <si>
    <t>Thea LaFond</t>
  </si>
  <si>
    <t>Marie-Zlia Lafont</t>
  </si>
  <si>
    <t>Viola Cheptoo Lagat</t>
  </si>
  <si>
    <t>Sarah Lahti</t>
  </si>
  <si>
    <t>Francisca Dias Laia</t>
  </si>
  <si>
    <t>Alexus Lucienne Laird</t>
  </si>
  <si>
    <t>Nicole Laird</t>
  </si>
  <si>
    <t>Morgan Alexandra Lake</t>
  </si>
  <si>
    <t>Sunita Lakra</t>
  </si>
  <si>
    <t>Jade Louise Lally</t>
  </si>
  <si>
    <t>Genevive Lalonde</t>
  </si>
  <si>
    <t>Ivet Miroslavova Lalova-Collio</t>
  </si>
  <si>
    <t>Hayat Lambarki</t>
  </si>
  <si>
    <t>Claire Lambe</t>
  </si>
  <si>
    <t>Regan Lamble</t>
  </si>
  <si>
    <t>Tracey Lambrechs</t>
  </si>
  <si>
    <t>Mathilde Lamolle</t>
  </si>
  <si>
    <t>Rnelle Lamote</t>
  </si>
  <si>
    <t>Narcisa Marisol Landzuri Bentez</t>
  </si>
  <si>
    <t>Laurisa Landre</t>
  </si>
  <si>
    <t>Ghislaine Landry</t>
  </si>
  <si>
    <t>Megan Lane</t>
  </si>
  <si>
    <t>Andranne Langlois</t>
  </si>
  <si>
    <t>Miah-Marie Langlois</t>
  </si>
  <si>
    <t>Annika Langvad</t>
  </si>
  <si>
    <t>Talisa Lanoe</t>
  </si>
  <si>
    <t>Delphine Lansac</t>
  </si>
  <si>
    <t>Monica Lanz</t>
  </si>
  <si>
    <t>Peamwilai Laopeam</t>
  </si>
  <si>
    <t>Danielle Suzanne Lappage</t>
  </si>
  <si>
    <t>Ian Lariba</t>
  </si>
  <si>
    <t>Yekaterina Alekseyevna Larionova</t>
  </si>
  <si>
    <t>Larissa Frana Maestrini</t>
  </si>
  <si>
    <t>Nicole Broch Larsen</t>
  </si>
  <si>
    <t>Jordan Quinn Larson-Burbach</t>
  </si>
  <si>
    <t>Emma Maud Valborg Larsson</t>
  </si>
  <si>
    <t>Johanna Larsson</t>
  </si>
  <si>
    <t>Gunta Latieva-udare</t>
  </si>
  <si>
    <t>Grace Latz</t>
  </si>
  <si>
    <t>Yin Yan "Claudia" Lau</t>
  </si>
  <si>
    <t>Simone Laudehr</t>
  </si>
  <si>
    <t>Jenna Laukkanen</t>
  </si>
  <si>
    <t>Anna Rosalie Eleonora Laurell-Nash</t>
  </si>
  <si>
    <t>Tessa Lavey</t>
  </si>
  <si>
    <t>Claire Marie Anne Lavogez</t>
  </si>
  <si>
    <t>Ashley Lawrence</t>
  </si>
  <si>
    <t>Shadae Lawrence</t>
  </si>
  <si>
    <t>Jian-Fang Lay (Hong-)</t>
  </si>
  <si>
    <t>Kirsti Lay (-Giroux)</t>
  </si>
  <si>
    <t>Julieta Constanza Lazcano Colodrero</t>
  </si>
  <si>
    <t>Suzana Lazovi</t>
  </si>
  <si>
    <t>Le Chien-Ying</t>
  </si>
  <si>
    <t>Le Huilin</t>
  </si>
  <si>
    <t>Marie Le Nepvou</t>
  </si>
  <si>
    <t>Jade Le Pesq</t>
  </si>
  <si>
    <t>Eugnie Anne Claudine Le Sommer</t>
  </si>
  <si>
    <t>Orane Maria Lechenault</t>
  </si>
  <si>
    <t>Eva Lechner</t>
  </si>
  <si>
    <t>Barbara Lechner-Engleder</t>
  </si>
  <si>
    <t>Kenia Vanessa Lechuga Alanis</t>
  </si>
  <si>
    <t>Fanny Lecluyse</t>
  </si>
  <si>
    <t>Camille Lecointre</t>
  </si>
  <si>
    <t>Kathleen Genevieve "Katie" Ledecky</t>
  </si>
  <si>
    <t>Lee Da-Seul</t>
  </si>
  <si>
    <t>Lee Eun-Bi</t>
  </si>
  <si>
    <t>Lee Eun-Ju</t>
  </si>
  <si>
    <t>Eva Lee</t>
  </si>
  <si>
    <t>Lee Ho Ching</t>
  </si>
  <si>
    <t>Lee Hui-Sol</t>
  </si>
  <si>
    <t>Lee Hye-Jin</t>
  </si>
  <si>
    <t>Lee Hyo-Hee</t>
  </si>
  <si>
    <t>Lee Jae-Yeong</t>
  </si>
  <si>
    <t>Lee Jeong-Eun</t>
  </si>
  <si>
    <t>Lee Ka Man</t>
  </si>
  <si>
    <t>Lee Kye-Rim</t>
  </si>
  <si>
    <t>Elizabeth "Lizzie" Lee</t>
  </si>
  <si>
    <t>Minjee Lee</t>
  </si>
  <si>
    <t>Lee So-Hee</t>
  </si>
  <si>
    <t>Lee Wai Sze</t>
  </si>
  <si>
    <t>Lee Young-Sil</t>
  </si>
  <si>
    <t>Lee Yuen Yin</t>
  </si>
  <si>
    <t>Zoe Samantha Lee</t>
  </si>
  <si>
    <t>Hlne Lefebvre</t>
  </si>
  <si>
    <t>Marie Christianne Legentil</t>
  </si>
  <si>
    <t>Ana Roxana Lehaci</t>
  </si>
  <si>
    <t>Ionela Livia Lehaci</t>
  </si>
  <si>
    <t>Nataliya Serhivna Lehonkova</t>
  </si>
  <si>
    <t>Paula Leitn Arrones</t>
  </si>
  <si>
    <t>Olha Oleksandrivna Leleiko</t>
  </si>
  <si>
    <t>Charlotte Lembach</t>
  </si>
  <si>
    <t>Sandra Milena Lemos-Rivas</t>
  </si>
  <si>
    <t>Yuliya Sergeyevna Leontyuk</t>
  </si>
  <si>
    <t>Marion Lepert</t>
  </si>
  <si>
    <t>Lotta Lepist</t>
  </si>
  <si>
    <t>Pnlope Leprvost</t>
  </si>
  <si>
    <t>Fantine Lesaffre</t>
  </si>
  <si>
    <t>Joanna Leszczyska</t>
  </si>
  <si>
    <t>Melanie Leupolz</t>
  </si>
  <si>
    <t>Laurien Leurink</t>
  </si>
  <si>
    <t>Chlo Leurquin</t>
  </si>
  <si>
    <t>Yelena Stepanovna Levchenko</t>
  </si>
  <si>
    <t>Yuliya Andrivna Levchenko</t>
  </si>
  <si>
    <t>Ekaterina Levina</t>
  </si>
  <si>
    <t>Olga Sergeyevna Levina-Akopyan</t>
  </si>
  <si>
    <t>Daina Levy</t>
  </si>
  <si>
    <t>Iwona Lewandowska</t>
  </si>
  <si>
    <t>Stacy Lewis (-Chadwell)</t>
  </si>
  <si>
    <t>Yvette Lewis</t>
  </si>
  <si>
    <t>Amandine Suzanne Monique Leynaud</t>
  </si>
  <si>
    <t>Amandine Lhote</t>
  </si>
  <si>
    <t>Li Dan</t>
  </si>
  <si>
    <t>Li Dongna</t>
  </si>
  <si>
    <t>Li Dongxiao</t>
  </si>
  <si>
    <t>Fen Li</t>
  </si>
  <si>
    <t>Li Hongxia</t>
  </si>
  <si>
    <t>Jiao Li</t>
  </si>
  <si>
    <t>Li Jiaqi</t>
  </si>
  <si>
    <t>Jie Li</t>
  </si>
  <si>
    <t>Li Ling</t>
  </si>
  <si>
    <t>Li Lingwei</t>
  </si>
  <si>
    <t>Li Lu</t>
  </si>
  <si>
    <t>Man Shan "Michelle" Li</t>
  </si>
  <si>
    <t>Qian Li</t>
  </si>
  <si>
    <t>Li Qian</t>
  </si>
  <si>
    <t>Qiangbing Li</t>
  </si>
  <si>
    <t>Li Shanshan</t>
  </si>
  <si>
    <t>Li Xiaohong</t>
  </si>
  <si>
    <t>Li Xiaolu</t>
  </si>
  <si>
    <t>Li Xiaoxia</t>
  </si>
  <si>
    <t>Xue Li</t>
  </si>
  <si>
    <t>Li Xuerui</t>
  </si>
  <si>
    <t>Li Yajun</t>
  </si>
  <si>
    <t>Li Ying</t>
  </si>
  <si>
    <t>Li Yue</t>
  </si>
  <si>
    <t>Olha Oleksandrivna Liakhova</t>
  </si>
  <si>
    <t>Liang Meiyu</t>
  </si>
  <si>
    <t>Liang Xiaojing</t>
  </si>
  <si>
    <t>Liang Xiaoyu</t>
  </si>
  <si>
    <t>Liang Xinping</t>
  </si>
  <si>
    <t>Valentina Liashenko (Khomitska-)</t>
  </si>
  <si>
    <t>Claudia Lichtenberg (Husler-)</t>
  </si>
  <si>
    <t>Kamila Liwinko (Stepaniuk-)</t>
  </si>
  <si>
    <t>Lien Chen-Ling</t>
  </si>
  <si>
    <t>Lasma Liepa</t>
  </si>
  <si>
    <t>Julia Lier</t>
  </si>
  <si>
    <t>Elis Ligtlee</t>
  </si>
  <si>
    <t>Tatyana Aleksandrovna Likhtarovich</t>
  </si>
  <si>
    <t>Denise Lim</t>
  </si>
  <si>
    <t>Emanuelle Leal Lopes e Lima</t>
  </si>
  <si>
    <t>Taciana Rezende de Lima Bald</t>
  </si>
  <si>
    <t>Tamires Morena Lima de Arajo</t>
  </si>
  <si>
    <t>Irina Igorevna Limanovskaya</t>
  </si>
  <si>
    <t>Gui Lin</t>
  </si>
  <si>
    <t>Lin Li</t>
  </si>
  <si>
    <t>Lin Pei-Wun</t>
  </si>
  <si>
    <t>Lin Po Heung</t>
  </si>
  <si>
    <t>Lin Shih-Chia</t>
  </si>
  <si>
    <t>Lin Xiyu</t>
  </si>
  <si>
    <t>Lin Yi-Chun</t>
  </si>
  <si>
    <t>Holly Lincoln-Smith</t>
  </si>
  <si>
    <t>Rut Hedvig Lindahl</t>
  </si>
  <si>
    <t>Pernilla Lindberg</t>
  </si>
  <si>
    <t>Ida Lindborg</t>
  </si>
  <si>
    <t>Laura Lindemann</t>
  </si>
  <si>
    <t>Lovisa Tora Yvonne Lindh</t>
  </si>
  <si>
    <t>Magda Linette</t>
  </si>
  <si>
    <t>Joanna Linkiewicz</t>
  </si>
  <si>
    <t>Danielle "Dani" Rodrigues Lins</t>
  </si>
  <si>
    <t>Karina Lipiarska-Paka</t>
  </si>
  <si>
    <t>Katarna Listopadov</t>
  </si>
  <si>
    <t>Elena Little-Allen (Bogdanova-)</t>
  </si>
  <si>
    <t>Irina Andreyevna Litvinenko-Ektova</t>
  </si>
  <si>
    <t>Liu Haiping</t>
  </si>
  <si>
    <t>Liu Hong</t>
  </si>
  <si>
    <t>Liu Huixia</t>
  </si>
  <si>
    <t>Jia Liu</t>
  </si>
  <si>
    <t>Liu Shanshan</t>
  </si>
  <si>
    <t>Liu Shiwen</t>
  </si>
  <si>
    <t>Liu Shiying</t>
  </si>
  <si>
    <t>Liu Tingting</t>
  </si>
  <si>
    <t>Liu Xiang</t>
  </si>
  <si>
    <t>Liu Xiaotong</t>
  </si>
  <si>
    <t>Liu Yaxin</t>
  </si>
  <si>
    <t>Liu Yongshi</t>
  </si>
  <si>
    <t>Alejandra Llaneza Gmez</t>
  </si>
  <si>
    <t>Carli Anne Lloyd (-Hollins)</t>
  </si>
  <si>
    <t>Carli Ellen Lloyd</t>
  </si>
  <si>
    <t>Sin Lam "Sonia" Lo</t>
  </si>
  <si>
    <t>Eleonora Lo Bianco</t>
  </si>
  <si>
    <t>Colleen Loach</t>
  </si>
  <si>
    <t>Diana Lobaevsk (Maciusonyt-)</t>
  </si>
  <si>
    <t>Magdalena Lobnig</t>
  </si>
  <si>
    <t>Maria Clara Lobo</t>
  </si>
  <si>
    <t>Yuliya Lobzhenidze</t>
  </si>
  <si>
    <t>Sofia Lodi</t>
  </si>
  <si>
    <t>Eleanor "Elle" Logan</t>
  </si>
  <si>
    <t>Chloe Logarzo</t>
  </si>
  <si>
    <t>Tatyana Yuryevna Logunova</t>
  </si>
  <si>
    <t>Anjelina Nadai Lohalith</t>
  </si>
  <si>
    <t>Inna Volodymyrivna Lohutenkova</t>
  </si>
  <si>
    <t>Alina Viktorivna Lohvynenko</t>
  </si>
  <si>
    <t>Dilara Lokmanhekim</t>
  </si>
  <si>
    <t>Rose Nathike Lokonyen</t>
  </si>
  <si>
    <t>Maria Natalia Londa</t>
  </si>
  <si>
    <t>Alexandra Linsley "Allie" Long</t>
  </si>
  <si>
    <t>Annalie Antonia Longo</t>
  </si>
  <si>
    <t>Elisa Longo Borghini</t>
  </si>
  <si>
    <t>Alexandra Longov</t>
  </si>
  <si>
    <t>Mara Camila Lopera Valle</t>
  </si>
  <si>
    <t>Cisiane Dutra Lopes</t>
  </si>
  <si>
    <t>Lidiane Lopes</t>
  </si>
  <si>
    <t>Elena Lpez Benaches</t>
  </si>
  <si>
    <t>Mara Gabriela "Gaby" Lpez Butron</t>
  </si>
  <si>
    <t>Guadalupe de la Cruz Lpez Botero</t>
  </si>
  <si>
    <t>Jessica Brizeida Lpez Arocha</t>
  </si>
  <si>
    <t>Laura Lpez Ventosa</t>
  </si>
  <si>
    <t>Mara Lpez Garca</t>
  </si>
  <si>
    <t>Marta Lpez Herrero</t>
  </si>
  <si>
    <t>Sara Lpez Ravetllat</t>
  </si>
  <si>
    <t>Yaniuvis Lpez Sago</t>
  </si>
  <si>
    <t>Mara Lpez de Eguilaz Zubiria</t>
  </si>
  <si>
    <t>Anika Lorenz</t>
  </si>
  <si>
    <t>Nike Lorenz</t>
  </si>
  <si>
    <t>Yvonne Losos de Muiz</t>
  </si>
  <si>
    <t>Aniya Necol Louissaint</t>
  </si>
  <si>
    <t>Petra Lovas</t>
  </si>
  <si>
    <t>Victoria Alimonda Lovelady</t>
  </si>
  <si>
    <t>Stephanie Devaux-Lovell</t>
  </si>
  <si>
    <t>Jaimee Lovett</t>
  </si>
  <si>
    <t>Nataliya Vladimirovna Lovtsova</t>
  </si>
  <si>
    <t>Karsta Lowe</t>
  </si>
  <si>
    <t>Heidi Lke</t>
  </si>
  <si>
    <t>Ingeborg Lvnes</t>
  </si>
  <si>
    <t>Lu Huihui</t>
  </si>
  <si>
    <t>Xiao-Qing "Teresa" Lu</t>
  </si>
  <si>
    <t>Lu Wen</t>
  </si>
  <si>
    <t>Lu Xiuzhi</t>
  </si>
  <si>
    <t>L Yang</t>
  </si>
  <si>
    <t>Lu Ying</t>
  </si>
  <si>
    <t>Jurswailly "Ailly" Luciano</t>
  </si>
  <si>
    <t>Gina Lckenkemper</t>
  </si>
  <si>
    <t>Grace Luczak</t>
  </si>
  <si>
    <t>Kristina Ludkov-Gavnholt</t>
  </si>
  <si>
    <t>Laura Ludwig</t>
  </si>
  <si>
    <t>Leila Luik</t>
  </si>
  <si>
    <t>Liina Luik</t>
  </si>
  <si>
    <t>Lily Luik</t>
  </si>
  <si>
    <t>Tintu Luka</t>
  </si>
  <si>
    <t>Megan Lukan</t>
  </si>
  <si>
    <t>Yekaterina Vladimirovna Lukichova-Smirnova</t>
  </si>
  <si>
    <t>Kristine Lunde-Borgersen</t>
  </si>
  <si>
    <t>Jamila Lunkuse</t>
  </si>
  <si>
    <t>Anna Volodymyrivna Lunova (Yermakova-)</t>
  </si>
  <si>
    <t>Luo Xiaoling</t>
  </si>
  <si>
    <t>Luo Ying</t>
  </si>
  <si>
    <t>Luo Yu</t>
  </si>
  <si>
    <t>Nataliya Oleksivna Lupu</t>
  </si>
  <si>
    <t>Hrafnhildur Luthersdttir</t>
  </si>
  <si>
    <t>Luvsanlkhndeviin Otgonbayar</t>
  </si>
  <si>
    <t>Nary Ly</t>
  </si>
  <si>
    <t>Karina Lykhvar</t>
  </si>
  <si>
    <t>Rachael Lynch</t>
  </si>
  <si>
    <t>Sinad Lynch (Jennings-)</t>
  </si>
  <si>
    <t>Manuella Duarte Lyrio</t>
  </si>
  <si>
    <t>Anastasiya Serhivna Lysenko</t>
  </si>
  <si>
    <t>Hanna yczbiska</t>
  </si>
  <si>
    <t>Ma Huanhuan</t>
  </si>
  <si>
    <t>Ma Jin</t>
  </si>
  <si>
    <t>Ma Menglu</t>
  </si>
  <si>
    <t>Ma Qing</t>
  </si>
  <si>
    <t>Ma Xiaoxu</t>
  </si>
  <si>
    <t>Ma Yingnan</t>
  </si>
  <si>
    <t>Veronika Macarol</t>
  </si>
  <si>
    <t>Eve Macfarlane</t>
  </si>
  <si>
    <t>Juliana Jos Machado</t>
  </si>
  <si>
    <t>Mala de Paula Machado</t>
  </si>
  <si>
    <t>Rui Machida</t>
  </si>
  <si>
    <t>Sophie MacKenzie</t>
  </si>
  <si>
    <t>Leonora Mackinnon</t>
  </si>
  <si>
    <t>Brittany MacLean</t>
  </si>
  <si>
    <t>Rosannagh "Rosie" MacLennan</t>
  </si>
  <si>
    <t>Hannah Louise Macleod</t>
  </si>
  <si>
    <t>Natalia Madaj</t>
  </si>
  <si>
    <t>Viktria Madarsz</t>
  </si>
  <si>
    <t>Elizabeth "Beezie" Madden (Patton-)</t>
  </si>
  <si>
    <t>Tianna Madison-Bartoletta</t>
  </si>
  <si>
    <t>Nanna Koerstz Madsen</t>
  </si>
  <si>
    <t>Jennifer Madu</t>
  </si>
  <si>
    <t>Epp Me</t>
  </si>
  <si>
    <t>Mihaela Maevska</t>
  </si>
  <si>
    <t>Alicia Magaz Medrano</t>
  </si>
  <si>
    <t>Chloe Noelle Magee</t>
  </si>
  <si>
    <t>Ciara Mageean</t>
  </si>
  <si>
    <t>Jordan Mageo</t>
  </si>
  <si>
    <t>Margherita Magnani</t>
  </si>
  <si>
    <t>Leona Maguire</t>
  </si>
  <si>
    <t>Lindiwe Magwede</t>
  </si>
  <si>
    <t>Nitya Krishinda Maheswari</t>
  </si>
  <si>
    <t>Lucianne Barroncas Maia</t>
  </si>
  <si>
    <t>Jessica Sayonara Maier</t>
  </si>
  <si>
    <t>Leonie Rebekka Maier</t>
  </si>
  <si>
    <t>Sandrine Mainville</t>
  </si>
  <si>
    <t>Maureen Jelagat Maiyo</t>
  </si>
  <si>
    <t>Christine Majerus</t>
  </si>
  <si>
    <t>Laxmirani Majhi</t>
  </si>
  <si>
    <t>Nobuhle Majika</t>
  </si>
  <si>
    <t>Amel Majri</t>
  </si>
  <si>
    <t>Yekaterina Valeryevna Makarova</t>
  </si>
  <si>
    <t>Meri Kristiina Mkel</t>
  </si>
  <si>
    <t>Satu Mkel-Nummela</t>
  </si>
  <si>
    <t>Mammello Makhabane</t>
  </si>
  <si>
    <t>Rutendo Makore</t>
  </si>
  <si>
    <t>Sheila Makoto</t>
  </si>
  <si>
    <t>Anastasiya Ivanovna Maksimova</t>
  </si>
  <si>
    <t>Ivana Maksimovi-Anui</t>
  </si>
  <si>
    <t>Romana Malov</t>
  </si>
  <si>
    <t>Hedaya Ahmad Malak Wahba</t>
  </si>
  <si>
    <t>Sonia Malavisi</t>
  </si>
  <si>
    <t>Tijana Maleevi</t>
  </si>
  <si>
    <t>Angela Malestein</t>
  </si>
  <si>
    <t>Stephanie Hana "Steph" Malherbe</t>
  </si>
  <si>
    <t>Monika Malik</t>
  </si>
  <si>
    <t>Sakshi Malik</t>
  </si>
  <si>
    <t>Anna Maliszewska</t>
  </si>
  <si>
    <t>Auriane Mallo</t>
  </si>
  <si>
    <t>Martilou "Marti" Malloy</t>
  </si>
  <si>
    <t>Maggie Malone</t>
  </si>
  <si>
    <t>Alexandra Maria "Alex" Maloney</t>
  </si>
  <si>
    <t>Anna Nikolayevna Malova</t>
  </si>
  <si>
    <t>Darya Nikolayevna Malygina</t>
  </si>
  <si>
    <t>Anna Aleksandrovna Malyshchik (Zinchuk-)</t>
  </si>
  <si>
    <t>Luise Malzahn</t>
  </si>
  <si>
    <t>Yuka Mamiya</t>
  </si>
  <si>
    <t>Patrcia Mbengani Bravo Mamona</t>
  </si>
  <si>
    <t>Mariya Ruslanovna Mamoshuk</t>
  </si>
  <si>
    <t>Mariama Mamoudou Ittatou</t>
  </si>
  <si>
    <t>Margarita Abdullayevna Mamun</t>
  </si>
  <si>
    <t>Noura Mana</t>
  </si>
  <si>
    <t>Elisabeth Victoire Mandaba</t>
  </si>
  <si>
    <t>Talent Mandaza</t>
  </si>
  <si>
    <t>Claudia Mandia</t>
  </si>
  <si>
    <t>Milica Mandi</t>
  </si>
  <si>
    <t>Oana Andreea Manea</t>
  </si>
  <si>
    <t>Jutatip Maneephan</t>
  </si>
  <si>
    <t>Marta Elisabet Mangu Gonzlez</t>
  </si>
  <si>
    <t>Itzel Adilene Manjarrez Bastidas</t>
  </si>
  <si>
    <t>Alyssa Manley</t>
  </si>
  <si>
    <t>Yukari Mano</t>
  </si>
  <si>
    <t>Reem Mansour</t>
  </si>
  <si>
    <t>Darcina-Rose Manuel</t>
  </si>
  <si>
    <t>Huriana Manuel</t>
  </si>
  <si>
    <t>Simone Ashley Manuel</t>
  </si>
  <si>
    <t>Gyuzel Tagirovna Manyurova</t>
  </si>
  <si>
    <t>Mao Yi</t>
  </si>
  <si>
    <t>Joanna de Albuquerque Maranho Bezerra de Melo</t>
  </si>
  <si>
    <t>Daiene Maral Dias</t>
  </si>
  <si>
    <t>Palmira Cristina Maral</t>
  </si>
  <si>
    <t>Kathrin Marchand</t>
  </si>
  <si>
    <t>Katy Louise Marchant</t>
  </si>
  <si>
    <t>Lanni Marchant</t>
  </si>
  <si>
    <t>Veronika Serhivna Marchenko</t>
  </si>
  <si>
    <t>Nathalie Nicole Viviane Marchino Urrutia</t>
  </si>
  <si>
    <t>Maria Elisabetta Marconi</t>
  </si>
  <si>
    <t>Khadija Al-Mardi</t>
  </si>
  <si>
    <t>Yusra Mardini</t>
  </si>
  <si>
    <t>Yekaterina Aleksandrovna Marennikova</t>
  </si>
  <si>
    <t>Melanie Margalis</t>
  </si>
  <si>
    <t>Zalina Marghiev (-Petrivskaya)</t>
  </si>
  <si>
    <t>Marina Marghiev-Nicienco</t>
  </si>
  <si>
    <t>Ilona Marhele</t>
  </si>
  <si>
    <t>Marcela Mari</t>
  </si>
  <si>
    <t>Carolina Mara Marn Marn</t>
  </si>
  <si>
    <t>Laura Marino</t>
  </si>
  <si>
    <t>Helen Louise Maroulis</t>
  </si>
  <si>
    <t>Marija Marovi</t>
  </si>
  <si>
    <t>Dzsenifer Marozsn</t>
  </si>
  <si>
    <t>Yane Mrcia Campos da Fonseca Marques</t>
  </si>
  <si>
    <t>Savannah Rose Dee Marshall</t>
  </si>
  <si>
    <t>Marta Vieira da Silva</t>
  </si>
  <si>
    <t>Adrienne Elizabeth  Martelli</t>
  </si>
  <si>
    <t>Adriana Rosa Martn Lzaro</t>
  </si>
  <si>
    <t>Carmen Dolores Martn Berenguer</t>
  </si>
  <si>
    <t>Diana Martn Gimnez</t>
  </si>
  <si>
    <t>Brenda Martinez</t>
  </si>
  <si>
    <t>Carmen Patricia Martnez Aguilera</t>
  </si>
  <si>
    <t>Elisabet Martnez Garca</t>
  </si>
  <si>
    <t>Morena Martnez Franchi</t>
  </si>
  <si>
    <t>Eliane Martins</t>
  </si>
  <si>
    <t>Fernanda Raquel Borges Martins</t>
  </si>
  <si>
    <t>Ana Filipa da Silva Martins</t>
  </si>
  <si>
    <t>Jennifer Martins</t>
  </si>
  <si>
    <t>Nelia Martins</t>
  </si>
  <si>
    <t>Anita Mrton</t>
  </si>
  <si>
    <t>Anna Mrton</t>
  </si>
  <si>
    <t>Carmen Marton</t>
  </si>
  <si>
    <t>Caroline Marton</t>
  </si>
  <si>
    <t>Kei Marumo</t>
  </si>
  <si>
    <t>Vasilisa Aleksandrovna Marzalyuk</t>
  </si>
  <si>
    <t>Celestine Masinde Navalayo</t>
  </si>
  <si>
    <t>Chiara Masini Luccetti</t>
  </si>
  <si>
    <t>Darya Maslova</t>
  </si>
  <si>
    <t>Kylie Jacqueline Masse</t>
  </si>
  <si>
    <t>Kelly Massey</t>
  </si>
  <si>
    <t>Caroline Masson</t>
  </si>
  <si>
    <t>Tereza Master</t>
  </si>
  <si>
    <t>Natalie Mastracci</t>
  </si>
  <si>
    <t>Hana Matelov</t>
  </si>
  <si>
    <t>Diana Beverly Matheson</t>
  </si>
  <si>
    <t>Courtney Lynn Kaiulani  Mathewson</t>
  </si>
  <si>
    <t>Charline Mathias</t>
  </si>
  <si>
    <t>Barbara Mati</t>
  </si>
  <si>
    <t>Iwona Nina Matkowska</t>
  </si>
  <si>
    <t>Noko Alice Matlou</t>
  </si>
  <si>
    <t>Gulnoza Matniyazova</t>
  </si>
  <si>
    <t>Matea Matoevi</t>
  </si>
  <si>
    <t>Rie Matsubara</t>
  </si>
  <si>
    <t>Kaori Matsumoto</t>
  </si>
  <si>
    <t>Namika Matsumoto</t>
  </si>
  <si>
    <t>Yayoi Matsumoto</t>
  </si>
  <si>
    <t>Misaki Matsutomo</t>
  </si>
  <si>
    <t>Bethanie Lynn Mattek-Sands</t>
  </si>
  <si>
    <t>Catriona Isobel Matthew (Lambert-)</t>
  </si>
  <si>
    <t>Malin Johanna Mattsson</t>
  </si>
  <si>
    <t>Sofia Magdalena Mattsson</t>
  </si>
  <si>
    <t>Elin Ida Mattsson-Marko-Varga</t>
  </si>
  <si>
    <t>Alessia Maurelli</t>
  </si>
  <si>
    <t>Marie Mvers</t>
  </si>
  <si>
    <t>Radoslava Yankova Mavrodieva</t>
  </si>
  <si>
    <t>Victoria Elisabeth Max-Theurer</t>
  </si>
  <si>
    <t>Mayara "May" Fier de Moura</t>
  </si>
  <si>
    <t>Marjorie Mayans</t>
  </si>
  <si>
    <t>Lisa Mayer</t>
  </si>
  <si>
    <t>Mikaela Joslin Mayer</t>
  </si>
  <si>
    <t>Andrea Mayr</t>
  </si>
  <si>
    <t>Ida Mayrin</t>
  </si>
  <si>
    <t>Sarah Myriam Mazouz</t>
  </si>
  <si>
    <t>Nikola Mazurov</t>
  </si>
  <si>
    <t>Olga Sergeyevna Mazuryonok</t>
  </si>
  <si>
    <t>Annamaria Mazzetti</t>
  </si>
  <si>
    <t>Hortence Vanessa Mballa Atangana</t>
  </si>
  <si>
    <t>Griedge Yinda Colette Mbock Bathy Nka</t>
  </si>
  <si>
    <t>Rachael Mbogo Adhiambo</t>
  </si>
  <si>
    <t>Judith Mbougnade</t>
  </si>
  <si>
    <t>Jolle Sandrine Mbumi Nkouindjin</t>
  </si>
  <si>
    <t>Kayla McAlister</t>
  </si>
  <si>
    <t>Martha McCabe</t>
  </si>
  <si>
    <t>Shona Clare McCallin</t>
  </si>
  <si>
    <t>Kirsten McCann</t>
  </si>
  <si>
    <t>Melanie Jayne McCann</t>
  </si>
  <si>
    <t>Eliza McCartney</t>
  </si>
  <si>
    <t>Eilish McColgan</t>
  </si>
  <si>
    <t>Francena Lynette McCorory</t>
  </si>
  <si>
    <t>Angel Lajuane McCoughtry</t>
  </si>
  <si>
    <t>Shannon McCurley</t>
  </si>
  <si>
    <t>Natalie McGiffert</t>
  </si>
  <si>
    <t>Courtney Louise McGregor</t>
  </si>
  <si>
    <t>Jennifer "Jen" McIntosh</t>
  </si>
  <si>
    <t>Teau Moana McKenzie</t>
  </si>
  <si>
    <t>Emma McKeon</t>
  </si>
  <si>
    <t>Taylor McKeown</t>
  </si>
  <si>
    <t>Sparkle McKnight</t>
  </si>
  <si>
    <t>Sydney McLaughlin</t>
  </si>
  <si>
    <t>Anneisha McLaughlin-Whilby</t>
  </si>
  <si>
    <t>Katy McLean</t>
  </si>
  <si>
    <t>Karri McMahon</t>
  </si>
  <si>
    <t>Keryn McMaster</t>
  </si>
  <si>
    <t xml:space="preserve">Dorian Mara Grayce McMenemy Taylor </t>
  </si>
  <si>
    <t>Inika McPherson</t>
  </si>
  <si>
    <t>Paige Arielle McPherson</t>
  </si>
  <si>
    <t>Stephenie Ann McPherson</t>
  </si>
  <si>
    <t>Stephanie Meadow</t>
  </si>
  <si>
    <t>Anna Maree Devenish Meares</t>
  </si>
  <si>
    <t>Nada Meawad</t>
  </si>
  <si>
    <t>Etiene Pires de Medeiros</t>
  </si>
  <si>
    <t>Paula Medn Lpez</t>
  </si>
  <si>
    <t>Ana Isabel "Anabel" Medina Garrigues</t>
  </si>
  <si>
    <t>Khaterinne Paola Medina Rodrguez</t>
  </si>
  <si>
    <t>Molly Meech</t>
  </si>
  <si>
    <t>Majda Mehmedovi</t>
  </si>
  <si>
    <t>Mei Xiaohan</t>
  </si>
  <si>
    <t>Sara Michaela Meijer</t>
  </si>
  <si>
    <t>Catherine Michelle "Katie" Meili</t>
  </si>
  <si>
    <t>Rta Meilutyt</t>
  </si>
  <si>
    <t>Marlies Mejias Garca</t>
  </si>
  <si>
    <t>Hadir Mekhimar</t>
  </si>
  <si>
    <t>Santa Ins Melchor Huiza</t>
  </si>
  <si>
    <t>Karin Melis (Mey-)</t>
  </si>
  <si>
    <t>Angelina Romanovna Melnikova</t>
  </si>
  <si>
    <t>Hanna Anatolivna Melnychenko-Kasianova (-Frullani)</t>
  </si>
  <si>
    <t>Tetiana Yurivna Melnyk</t>
  </si>
  <si>
    <t>Miranda Melville</t>
  </si>
  <si>
    <t>Antonela Luca Mena</t>
  </si>
  <si>
    <t>Luciana Mendoza</t>
  </si>
  <si>
    <t>Marta Menegatti</t>
  </si>
  <si>
    <t>Elisa Meneghini</t>
  </si>
  <si>
    <t>Sarah Gabrielle Cabral de Menezes</t>
  </si>
  <si>
    <t>Meng Suping</t>
  </si>
  <si>
    <t>Yusmari Mengana Rodrguez</t>
  </si>
  <si>
    <t>Gemma Mengual Civil</t>
  </si>
  <si>
    <t>Jenny Mensing</t>
  </si>
  <si>
    <t>milie Menuet</t>
  </si>
  <si>
    <t>Madelein Meppelink</t>
  </si>
  <si>
    <t>Scarleth Elizabeth Mercado Lpez</t>
  </si>
  <si>
    <t>Yarimar Mercado Martnez</t>
  </si>
  <si>
    <t>Delfina Merino</t>
  </si>
  <si>
    <t>Nikol Merizaj</t>
  </si>
  <si>
    <t>Inessa Viktorovna Merkulova (Poturayeva-)</t>
  </si>
  <si>
    <t>Brigitte Mara Merlano Pjaro</t>
  </si>
  <si>
    <t>Audrey Merle</t>
  </si>
  <si>
    <t>Olivia Merry</t>
  </si>
  <si>
    <t>Dina Alaa Al-Din Wafiq Meshref</t>
  </si>
  <si>
    <t>Dayaris Rosa Mestre lvarez</t>
  </si>
  <si>
    <t>Mikhaela Metallidou</t>
  </si>
  <si>
    <t>Cynthia Barbara Meyer</t>
  </si>
  <si>
    <t>Julie-Marie Meynen</t>
  </si>
  <si>
    <t>Marie Laura Meza Peraza</t>
  </si>
  <si>
    <t>Jasmine Mian</t>
  </si>
  <si>
    <t>Miao Tian</t>
  </si>
  <si>
    <t>Maria Eduarda de Souza Miccuci</t>
  </si>
  <si>
    <t>Meredith T. Michaels-Beerbaum</t>
  </si>
  <si>
    <t>Monika Ewa Michalik (Rogien-)</t>
  </si>
  <si>
    <t>Claire Michel</t>
  </si>
  <si>
    <t>Nataly de la Luz Michel Silva</t>
  </si>
  <si>
    <t>Sarah Michel</t>
  </si>
  <si>
    <t>Stacey Michelsen</t>
  </si>
  <si>
    <t>Githa Michiels</t>
  </si>
  <si>
    <t>Maria Lynn Michta-Coffey</t>
  </si>
  <si>
    <t>Kimberley "Kim" Mickle</t>
  </si>
  <si>
    <t>Sofa Middleton Zaartu</t>
  </si>
  <si>
    <t>Brankica Mihajlovi</t>
  </si>
  <si>
    <t>Maja Mihalinec</t>
  </si>
  <si>
    <t>Malaika Mihambo</t>
  </si>
  <si>
    <t>Tina Miheli</t>
  </si>
  <si>
    <t>Anastasiya Aleksandrovna Mikhalenko</t>
  </si>
  <si>
    <t>Polina Yuryevna Mikhaylova</t>
  </si>
  <si>
    <t>Elina Dmitriyevna Mikhina</t>
  </si>
  <si>
    <t>Sbin Mikina</t>
  </si>
  <si>
    <t>Suvi Mikkonen</t>
  </si>
  <si>
    <t>Andrea Mikls</t>
  </si>
  <si>
    <t>Martyna Mikoajczak</t>
  </si>
  <si>
    <t>Beata Mikoajczyk</t>
  </si>
  <si>
    <t>Laura Milani</t>
  </si>
  <si>
    <t>Houda Miled</t>
  </si>
  <si>
    <t>Hannah Louise Miley</t>
  </si>
  <si>
    <t>Radmila Miljani-Petrovi</t>
  </si>
  <si>
    <t>Amy Millar</t>
  </si>
  <si>
    <t>Katherine Miller</t>
  </si>
  <si>
    <t>Larrissa Miller</t>
  </si>
  <si>
    <t>Shaunae Miller (-Uibo)</t>
  </si>
  <si>
    <t>Heather Miller-Koch</t>
  </si>
  <si>
    <t>Vasiliki Millousi</t>
  </si>
  <si>
    <t>Hannah Louise Mills</t>
  </si>
  <si>
    <t>Jelena Milovanovi</t>
  </si>
  <si>
    <t>Lalita Vadimovna Milshina-Yauhleuskaya</t>
  </si>
  <si>
    <t>Kaho Minagawa</t>
  </si>
  <si>
    <t>Lilima Minz</t>
  </si>
  <si>
    <t>Chanu Saikhom Mirabai</t>
  </si>
  <si>
    <t>rika de Souza Miranda</t>
  </si>
  <si>
    <t>Yesenia  Ivania Miranda</t>
  </si>
  <si>
    <t>Alexandra Mirca</t>
  </si>
  <si>
    <t>Militsa Mircheva</t>
  </si>
  <si>
    <t>Sania Mirza</t>
  </si>
  <si>
    <t>Yodgoroy Mirzayeva</t>
  </si>
  <si>
    <t>Dirngulbai Moreyna Misech</t>
  </si>
  <si>
    <t>Julianna Miskolczi</t>
  </si>
  <si>
    <t>Kathryn Mitchell</t>
  </si>
  <si>
    <t>Leilani Seamah Mitchell</t>
  </si>
  <si>
    <t>Morgan Mitchell</t>
  </si>
  <si>
    <t>Victoria Mitchell</t>
  </si>
  <si>
    <t>Kana Mitsugi</t>
  </si>
  <si>
    <t>Aki Mitsuhashi</t>
  </si>
  <si>
    <t>Risako Mitsui</t>
  </si>
  <si>
    <t>Anja Mittag</t>
  </si>
  <si>
    <t>Cristina-Andreea Mitu</t>
  </si>
  <si>
    <t>Keiko Miyagawa</t>
  </si>
  <si>
    <t>Sae Miyakawa</t>
  </si>
  <si>
    <t>Hiromi Miyake</t>
  </si>
  <si>
    <t>Haruka Miyashita</t>
  </si>
  <si>
    <t>Yuki Miyazawa</t>
  </si>
  <si>
    <t>Nwal-Endn Miyem</t>
  </si>
  <si>
    <t>Naho Miyoshi</t>
  </si>
  <si>
    <t>Alice Mizzau</t>
  </si>
  <si>
    <t>Kristina Mladenovic</t>
  </si>
  <si>
    <t>Sachi Mochida</t>
  </si>
  <si>
    <t>Nathalie Marie Moellhausen</t>
  </si>
  <si>
    <t>Emma Moffatt</t>
  </si>
  <si>
    <t>Sosthene Taroum Moguenara</t>
  </si>
  <si>
    <t>Nur Shazrin Mohamad Latif</t>
  </si>
  <si>
    <t>Aida Gabriella Mohamed</t>
  </si>
  <si>
    <t>Ebtissam Mohamed</t>
  </si>
  <si>
    <t>Kadra Mohamed Dembil</t>
  </si>
  <si>
    <t>Nazlati Mohamed Andhumdine</t>
  </si>
  <si>
    <t>Noura Mohamed</t>
  </si>
  <si>
    <t>Lourdes Mohedano Snchez de Mora</t>
  </si>
  <si>
    <t>Friederike Mhlenkamp</t>
  </si>
  <si>
    <t>Melissa Mojica Rosario</t>
  </si>
  <si>
    <t>Vilmarie Mojica</t>
  </si>
  <si>
    <t>Barbora Mokoov</t>
  </si>
  <si>
    <t>Nikolina Moldovan</t>
  </si>
  <si>
    <t>Olivera Moldovan</t>
  </si>
  <si>
    <t>Kayla Moleschi</t>
  </si>
  <si>
    <t>Mari Kristine Sbstad Molid</t>
  </si>
  <si>
    <t>Giulia Molinaro</t>
  </si>
  <si>
    <t>Lorena Fontes Molinos</t>
  </si>
  <si>
    <t>Maria Aadland Mollestad</t>
  </si>
  <si>
    <t>Sanah Modiehi Mollo</t>
  </si>
  <si>
    <t>Flra Molnr</t>
  </si>
  <si>
    <t>Latitia Crescence Moma Bassoko</t>
  </si>
  <si>
    <t>Mnica Hickmann Alves</t>
  </si>
  <si>
    <t>Mnkhbatyn Urantsetseg</t>
  </si>
  <si>
    <t>Mnkhjantsangiin Ankhtsetseg</t>
  </si>
  <si>
    <t>Concepcin Montaner Coll</t>
  </si>
  <si>
    <t>Noelle Montcalm</t>
  </si>
  <si>
    <t>Lurdes Marcelina Manuel Monteiro</t>
  </si>
  <si>
    <t>Telma Alexandra Pinto Monteiro</t>
  </si>
  <si>
    <t>Daniela Monteiro Dodean</t>
  </si>
  <si>
    <t>Ashleigh Moolman-Pasio</t>
  </si>
  <si>
    <t>Maya April Moore</t>
  </si>
  <si>
    <t>Meikayla Jean Maree Moore</t>
  </si>
  <si>
    <t>Fabiana dos Santos Mores</t>
  </si>
  <si>
    <t>Celiangeli Morales Melndez</t>
  </si>
  <si>
    <t>Lynda Windy Morales</t>
  </si>
  <si>
    <t>Martina Moravkov</t>
  </si>
  <si>
    <t>Antnia Moreira De Fatima</t>
  </si>
  <si>
    <t>Dolores Moreira Fraschini</t>
  </si>
  <si>
    <t>Sara Isabel Fonseca Moreira</t>
  </si>
  <si>
    <t>Alexa Citiali Moreo Medina</t>
  </si>
  <si>
    <t>Alexandra Patricia "Alex" Morgan</t>
  </si>
  <si>
    <t>Georgina Morgan</t>
  </si>
  <si>
    <t>Emily Morley</t>
  </si>
  <si>
    <t>Sandi Morris</t>
  </si>
  <si>
    <t>Jessica Morrison</t>
  </si>
  <si>
    <t>Aileen Morrison-Reid</t>
  </si>
  <si>
    <t>Stephanie Morton</t>
  </si>
  <si>
    <t>Valentina Moscatt</t>
  </si>
  <si>
    <t>Angelica Moser</t>
  </si>
  <si>
    <t>Magdalena Ruth Alex Moshi</t>
  </si>
  <si>
    <t>Nataliya Yevhenivna Moskvina</t>
  </si>
  <si>
    <t>Gabriela Mosqueira Benitez</t>
  </si>
  <si>
    <t>Estelle Mossely</t>
  </si>
  <si>
    <t>Enas Mostafa Youssef Ahmed</t>
  </si>
  <si>
    <t>Linda Maserame Motlhalo</t>
  </si>
  <si>
    <t>Sanae Motokawa</t>
  </si>
  <si>
    <t>Ghfran Al-Mouhamad</t>
  </si>
  <si>
    <t>Roukaya Moussa Mahamane</t>
  </si>
  <si>
    <t>Kseniya Moustafaeva</t>
  </si>
  <si>
    <t>Leydi Laura Moya Lpez</t>
  </si>
  <si>
    <t>Anna-Emilie Mller</t>
  </si>
  <si>
    <t>Nora Mrk</t>
  </si>
  <si>
    <t>Tina Mrak</t>
  </si>
  <si>
    <t>Irmina Mrzek-Gliszczyska</t>
  </si>
  <si>
    <t>Rebecca Ndolo Muambo</t>
  </si>
  <si>
    <t>Felice Mueller</t>
  </si>
  <si>
    <t>Garbie Muguruza Blanco</t>
  </si>
  <si>
    <t>Dalilah Muhammad</t>
  </si>
  <si>
    <t>Ibtihaj Muhammad</t>
  </si>
  <si>
    <t>Beatriz Futuro Mhlbauer</t>
  </si>
  <si>
    <t>Carline Muir</t>
  </si>
  <si>
    <t>Laura Muir</t>
  </si>
  <si>
    <t>Claudette Mukasakindi</t>
  </si>
  <si>
    <t>Margarita Yevgenyevna Mukashova (Matsko-)</t>
  </si>
  <si>
    <t>Mandy Mulder</t>
  </si>
  <si>
    <t>Darya Vasilvyevna Mullakayeva</t>
  </si>
  <si>
    <t>Aurlie Muller</t>
  </si>
  <si>
    <t>Julia Mller</t>
  </si>
  <si>
    <t>Laura Mller</t>
  </si>
  <si>
    <t>Nadine Mller</t>
  </si>
  <si>
    <t>Janne Mller-Wieland</t>
  </si>
  <si>
    <t>Azahara Muoz Guijarro</t>
  </si>
  <si>
    <t>Paola Andrea Muoz Grandn</t>
  </si>
  <si>
    <t>Ionica Munteanu</t>
  </si>
  <si>
    <t>Kabange Mupopo</t>
  </si>
  <si>
    <t>Mai Murakami</t>
  </si>
  <si>
    <t>Fabiana de Almeida Murer</t>
  </si>
  <si>
    <t>Andrea "Andi" Murez</t>
  </si>
  <si>
    <t>Annalise Murphy</t>
  </si>
  <si>
    <t>Kelly Murphy</t>
  </si>
  <si>
    <t>Lizanne Murphy</t>
  </si>
  <si>
    <t>Samantha Murray</t>
  </si>
  <si>
    <t>Wilma Anna Helena Murto</t>
  </si>
  <si>
    <t>Ainhoa Mura Zubizarreta</t>
  </si>
  <si>
    <t>Nicola Muscat</t>
  </si>
  <si>
    <t>Eefje Muskens</t>
  </si>
  <si>
    <t>Meghan Musnicki</t>
  </si>
  <si>
    <t>Madeline "Maddie" Musselman</t>
  </si>
  <si>
    <t>Aliya Farkhatovna Mustafina</t>
  </si>
  <si>
    <t>Fatehah Mustapa</t>
  </si>
  <si>
    <t>Saara Johanna "Sara" Mustonen</t>
  </si>
  <si>
    <t>Mara Florencia "Flor" Mutio</t>
  </si>
  <si>
    <t>Lynett Mutokuto</t>
  </si>
  <si>
    <t>Fedistas Muzongondi</t>
  </si>
  <si>
    <t>Myint Swe Li</t>
  </si>
  <si>
    <t>Valentyna Oleksandrivna Myronchuk</t>
  </si>
  <si>
    <t>Galle Mys</t>
  </si>
  <si>
    <t>Na A-Reum</t>
  </si>
  <si>
    <t>Alice Maria Naber-Lozeman</t>
  </si>
  <si>
    <t>Yurie Nabeya</t>
  </si>
  <si>
    <t>Hazuki Nagai</t>
  </si>
  <si>
    <t>Yuri Nagai</t>
  </si>
  <si>
    <t>Saori Nagamine</t>
  </si>
  <si>
    <t>Miyu Nagaoka</t>
  </si>
  <si>
    <t>Moeko Nagaoka</t>
  </si>
  <si>
    <t>Rusila Nagasau</t>
  </si>
  <si>
    <t>Miriam Suely Nagl</t>
  </si>
  <si>
    <t>Beata Nandjala Naigambo</t>
  </si>
  <si>
    <t>Litia Naiqato</t>
  </si>
  <si>
    <t>Karolina Naja</t>
  </si>
  <si>
    <t>Miyuki Nakagawa</t>
  </si>
  <si>
    <t>Kanami Nakamaki</t>
  </si>
  <si>
    <t>Chiharu Nakamura</t>
  </si>
  <si>
    <t>Mai Nakamura</t>
  </si>
  <si>
    <t>Misato Nakamura</t>
  </si>
  <si>
    <t>Rana Nakano</t>
  </si>
  <si>
    <t>Mie Nakashima</t>
  </si>
  <si>
    <t>Yukie Nakayama</t>
  </si>
  <si>
    <t>Nam Hyeon-Hui</t>
  </si>
  <si>
    <t>Nam Ji-Yeon</t>
  </si>
  <si>
    <t>Nam Yeong-Sin</t>
  </si>
  <si>
    <t>Nam Yu-Seon</t>
  </si>
  <si>
    <t>Antoinette Nana Djimou Ida</t>
  </si>
  <si>
    <t>Gabrielle "Gabi" Nance</t>
  </si>
  <si>
    <t>Srabani Nanda</t>
  </si>
  <si>
    <t>Salwa Eid Naser</t>
  </si>
  <si>
    <t>Rozaliya Khaydyarovna Nasretdinova</t>
  </si>
  <si>
    <t>Chahinez Nasri</t>
  </si>
  <si>
    <t>Rassa Nasser</t>
  </si>
  <si>
    <t>Natlia Zlio Pereira</t>
  </si>
  <si>
    <t>Tyla Nathan-Wong</t>
  </si>
  <si>
    <t>Lilyana Natsir</t>
  </si>
  <si>
    <t>Darya Sergeyevna Naumova</t>
  </si>
  <si>
    <t>Silvia Navarro Jimnez</t>
  </si>
  <si>
    <t>Estela Navascus Parra</t>
  </si>
  <si>
    <t>Tsvetelina Biserova Naydenova</t>
  </si>
  <si>
    <t>Erin Nicole Nayler</t>
  </si>
  <si>
    <t>Galle Verlaine Nayo-Ketchanke</t>
  </si>
  <si>
    <t>Awa Ly Ndiaye</t>
  </si>
  <si>
    <t>Astou Barro Ndour Gueye</t>
  </si>
  <si>
    <t>Phumlile Ndzinisa</t>
  </si>
  <si>
    <t>Cristina Georgiana Neagu</t>
  </si>
  <si>
    <t>Brooke Neal</t>
  </si>
  <si>
    <t>Lia Neal</t>
  </si>
  <si>
    <t>Leah Neale</t>
  </si>
  <si>
    <t>Louisa Ncib-Cadamuro</t>
  </si>
  <si>
    <t>Anastasiya Volodymyrivna Nedobiha</t>
  </si>
  <si>
    <t>Ashley Nee</t>
  </si>
  <si>
    <t>Jolanda Neff</t>
  </si>
  <si>
    <t>Nadia Negm</t>
  </si>
  <si>
    <t>Salma Negmeldin</t>
  </si>
  <si>
    <t>Saina Nehwal</t>
  </si>
  <si>
    <t>Daryll Saskia Neita</t>
  </si>
  <si>
    <t>Wenda Nel (Theron-)</t>
  </si>
  <si>
    <t>Ella Nelson</t>
  </si>
  <si>
    <t>Carla Nelte</t>
  </si>
  <si>
    <t>Zahra Nemati</t>
  </si>
  <si>
    <t>Zsanett Nmeth</t>
  </si>
  <si>
    <t>Aleksandra Nemich</t>
  </si>
  <si>
    <t>Yekaterina Nemich</t>
  </si>
  <si>
    <t>Vilma Pegado Nenganga</t>
  </si>
  <si>
    <t>Neo Jie Shi</t>
  </si>
  <si>
    <t>Sotiria Neofytou</t>
  </si>
  <si>
    <t>Rudo Neshamba</t>
  </si>
  <si>
    <t>Liliana Estefania Neto</t>
  </si>
  <si>
    <t>Christabel Nettey</t>
  </si>
  <si>
    <t>Maja Doris Neuenschwander</t>
  </si>
  <si>
    <t>Robin Neumann</t>
  </si>
  <si>
    <t>Kiley Neushul</t>
  </si>
  <si>
    <t>Vnia Soares Neves</t>
  </si>
  <si>
    <t>Anicka Newell</t>
  </si>
  <si>
    <t>Alysha Newman</t>
  </si>
  <si>
    <t>Rachel Neylan</t>
  </si>
  <si>
    <t>Nooralotta Maria Neziri</t>
  </si>
  <si>
    <t>Ling Kai Amanda Ng</t>
  </si>
  <si>
    <t>Ng Yan Yee</t>
  </si>
  <si>
    <t>Kotuku Ngawati</t>
  </si>
  <si>
    <t>Victoire Pauline L'or Ngon Ntame</t>
  </si>
  <si>
    <t>Nguyn Th nh Vin</t>
  </si>
  <si>
    <t>Nguyn Th Huyn</t>
  </si>
  <si>
    <t>Nguyn Th L Dung</t>
  </si>
  <si>
    <t>Nguyn Th La</t>
  </si>
  <si>
    <t>Nguyn Th Nh Hoa</t>
  </si>
  <si>
    <t>Xia Lian Ni</t>
  </si>
  <si>
    <t>Assmaa Niang</t>
  </si>
  <si>
    <t>Haby Niar</t>
  </si>
  <si>
    <t>Ella Rose Vaiora Nicholas</t>
  </si>
  <si>
    <t>Laura Nicholls Gonzlez</t>
  </si>
  <si>
    <t>Rachel Nicol</t>
  </si>
  <si>
    <t>Monica Niculescu</t>
  </si>
  <si>
    <t>Jaime Nielsen</t>
  </si>
  <si>
    <t>Mie stergaard Nielsen</t>
  </si>
  <si>
    <t>Stine Nielsen</t>
  </si>
  <si>
    <t>Luisa Helga Gerda Niemesch</t>
  </si>
  <si>
    <t>Katarzyna Niewiadoma</t>
  </si>
  <si>
    <t>Sarah de Oliveira Nikitin</t>
  </si>
  <si>
    <t>Minna Marianne Nikkanen</t>
  </si>
  <si>
    <t>Aikaterini Nikolaidou</t>
  </si>
  <si>
    <t>Jelena Nikoli</t>
  </si>
  <si>
    <t>Katerina Nikoloska</t>
  </si>
  <si>
    <t>Phuttharaksa Nikree</t>
  </si>
  <si>
    <t>Inna Yuryevna Nikulina</t>
  </si>
  <si>
    <t>Yevgeniya Serhivna Nimchenko</t>
  </si>
  <si>
    <t>Gnonsiane Niombla</t>
  </si>
  <si>
    <t>Emi Nishikori</t>
  </si>
  <si>
    <t>Ayaka Nishimura</t>
  </si>
  <si>
    <t>Shiho Nishioka</t>
  </si>
  <si>
    <t>Niu Guannan</t>
  </si>
  <si>
    <t>Francine Niyonsaba</t>
  </si>
  <si>
    <t>Paula Yamila Nizetich</t>
  </si>
  <si>
    <t>Chirine Njeim</t>
  </si>
  <si>
    <t>Ana Sofia Nbrega</t>
  </si>
  <si>
    <t>Gwladys Nocera</t>
  </si>
  <si>
    <t>Pamela Imbico Nogueira</t>
  </si>
  <si>
    <t>Shiwe Octavia Nogwanya</t>
  </si>
  <si>
    <t>Nozomi Nokano-Sato</t>
  </si>
  <si>
    <t>Harukyo Nomura</t>
  </si>
  <si>
    <t>Ae-Ri Noort</t>
  </si>
  <si>
    <t>Elina Elisabeth "Lisa" Nordn</t>
  </si>
  <si>
    <t>Anna Maria Nordqvist</t>
  </si>
  <si>
    <t>Sakura Noshitani</t>
  </si>
  <si>
    <t>Iryna Oleksandrivna Novozhylova</t>
  </si>
  <si>
    <t>Oktawia Nowacka</t>
  </si>
  <si>
    <t>Brigitte Ntiamoah</t>
  </si>
  <si>
    <t>Anna Ntountounaki</t>
  </si>
  <si>
    <t>Antigoni Ntrismpioti</t>
  </si>
  <si>
    <t>Leah Nugent</t>
  </si>
  <si>
    <t>Diane Nukuri-Johnson</t>
  </si>
  <si>
    <t>Las Nunes de Oliveira</t>
  </si>
  <si>
    <t>Ruana Nurjowowa</t>
  </si>
  <si>
    <t>Laura Nurmsalu</t>
  </si>
  <si>
    <t>Cristy Nurse</t>
  </si>
  <si>
    <t>Kia Nurse</t>
  </si>
  <si>
    <t>Barbara Udoezi Nwaba</t>
  </si>
  <si>
    <t>Rutendo Joan Nyahora</t>
  </si>
  <si>
    <t>Nompumelelo "Mpumi" Nyandeni</t>
  </si>
  <si>
    <t>Marjory Nyaumwe</t>
  </si>
  <si>
    <t>Estelle Nze Minko</t>
  </si>
  <si>
    <t>Asako O</t>
  </si>
  <si>
    <t>Lyndal Oatley</t>
  </si>
  <si>
    <t>Kristy Oatley-Nist</t>
  </si>
  <si>
    <t>Brittany O'Brien</t>
  </si>
  <si>
    <t>Kate O'Brien</t>
  </si>
  <si>
    <t>Paula Lynn Parrocho  Obanana</t>
  </si>
  <si>
    <t>Patricia Obee</t>
  </si>
  <si>
    <t>Christina Obergfll</t>
  </si>
  <si>
    <t>Hellen Onsando Obiri</t>
  </si>
  <si>
    <t>Halyna Yaroslavivna Obleshchuk</t>
  </si>
  <si>
    <t>Blessing Oborududu</t>
  </si>
  <si>
    <t>Jessica O'Connell</t>
  </si>
  <si>
    <t>Siobhan-Marie O'Connor</t>
  </si>
  <si>
    <t>Karina Ocasio Clemente</t>
  </si>
  <si>
    <t>Ochirbatyn Nasanburmaa</t>
  </si>
  <si>
    <t>Kathleen "Katie" O'Donnell-Bam</t>
  </si>
  <si>
    <t>Tjaa Oder</t>
  </si>
  <si>
    <t>Edidiong Ofonime Odiong</t>
  </si>
  <si>
    <t>Eva dorov</t>
  </si>
  <si>
    <t>Jennifer Oeser</t>
  </si>
  <si>
    <t>Kerry O'Flaherty</t>
  </si>
  <si>
    <t>Cindy Ofili</t>
  </si>
  <si>
    <t>Stine Bredal Oftedal</t>
  </si>
  <si>
    <t>Jolanta Ogar</t>
  </si>
  <si>
    <t>Maja Ognjenovi</t>
  </si>
  <si>
    <t>Amaka Ogoegbunam</t>
  </si>
  <si>
    <t>Kelley Maureen O'Hara</t>
  </si>
  <si>
    <t>Oh Hye-Ri</t>
  </si>
  <si>
    <t>Su-Hyun Oh</t>
  </si>
  <si>
    <t>Oh Yeong-Ran</t>
  </si>
  <si>
    <t>Christine Ijeoma Chika Ohuruogu</t>
  </si>
  <si>
    <t>Ayami Oishi</t>
  </si>
  <si>
    <t>Kumiko Okada</t>
  </si>
  <si>
    <t>Blessing Okagbare (-Ighoteguonor)</t>
  </si>
  <si>
    <t>Janet Okelo Musindalo</t>
  </si>
  <si>
    <t>Poliana Okimoto-Cintra</t>
  </si>
  <si>
    <t>Courtney Okolo</t>
  </si>
  <si>
    <t>Chinwe Okoro</t>
  </si>
  <si>
    <t>Zhanyl Okoyeva</t>
  </si>
  <si>
    <t>Ezinne Okparaebo</t>
  </si>
  <si>
    <t>Nozomi Okuhara</t>
  </si>
  <si>
    <t>Oksana Hryhorivna Okunieva</t>
  </si>
  <si>
    <t>Yume Okuroda</t>
  </si>
  <si>
    <t>Nwanneka Mariauchenna Okwelogu</t>
  </si>
  <si>
    <t>Meghan O'Leary</t>
  </si>
  <si>
    <t>Philadelphia Olando</t>
  </si>
  <si>
    <t>Ioana Raluca Olaru</t>
  </si>
  <si>
    <t>Anna Greta Olasz</t>
  </si>
  <si>
    <t>Andrea Carolina Olaya Gutirrez</t>
  </si>
  <si>
    <t>Pia-Sophie Oldhafer</t>
  </si>
  <si>
    <t>Penelope "Penny" Oleksiak</t>
  </si>
  <si>
    <t>Yuliya Anatolivna Olishevska</t>
  </si>
  <si>
    <t>Georgina Oliva Isern</t>
  </si>
  <si>
    <t>Catherine Amanda Badocco Helene de Oliveira</t>
  </si>
  <si>
    <t>Fernanda Ryff Moreira Oliveira</t>
  </si>
  <si>
    <t>Flvia Maria de Oliveira Paparella</t>
  </si>
  <si>
    <t>Gilda Maria de Oliveira</t>
  </si>
  <si>
    <t>Larissa Martins de Oliveira</t>
  </si>
  <si>
    <t>Lorrane dos Santos Oliveira</t>
  </si>
  <si>
    <t>Pmella Nascimento de Oliveira</t>
  </si>
  <si>
    <t>Tess Flore Badocco Helene de Oliveira</t>
  </si>
  <si>
    <t>rika Alejandra Olivera de la Fuente</t>
  </si>
  <si>
    <t>Petra Maarit Olli</t>
  </si>
  <si>
    <t>Shallon Jade Olsen</t>
  </si>
  <si>
    <t>Josefin Anna Louise Olsson</t>
  </si>
  <si>
    <t>Heather Olver</t>
  </si>
  <si>
    <t>Kano Omata</t>
  </si>
  <si>
    <t>Yelena Vasilyevna Omelyusik</t>
  </si>
  <si>
    <t>Ranokhon Omonova</t>
  </si>
  <si>
    <t>Omolara Omotosho</t>
  </si>
  <si>
    <t>Misaki Onishi</t>
  </si>
  <si>
    <t>Mayumi Ono</t>
  </si>
  <si>
    <t>Marta Chinita Soares Onofre</t>
  </si>
  <si>
    <t>Nwanyika Jenete C. "Anyika" Onuora</t>
  </si>
  <si>
    <t>Isabela Maria Moreira Onyshko</t>
  </si>
  <si>
    <t>Reshmie Oogink</t>
  </si>
  <si>
    <t>Anel Oosthuizen</t>
  </si>
  <si>
    <t>Mary Opeloge</t>
  </si>
  <si>
    <t>Laura Oprea</t>
  </si>
  <si>
    <t>Arina Pavlovna Opyonysheva</t>
  </si>
  <si>
    <t>Alexandra Oquendo</t>
  </si>
  <si>
    <t>Ellis Jacqueline O'Reilly</t>
  </si>
  <si>
    <t>Keturah Orji</t>
  </si>
  <si>
    <t>Angie Orjuela Soche</t>
  </si>
  <si>
    <t>Alejandra Orozco Loza</t>
  </si>
  <si>
    <t>Ariana Gabriela Orrego Martnez</t>
  </si>
  <si>
    <t>Alessia Orro</t>
  </si>
  <si>
    <t>Alejandra Ortega Sols</t>
  </si>
  <si>
    <t>Beatriz Ortiz Muoz</t>
  </si>
  <si>
    <t>Idalys Ortz Bocourt</t>
  </si>
  <si>
    <t>Matilde "Mati" Ortz Reyes</t>
  </si>
  <si>
    <t>Mirna Sucely Ortz Flores</t>
  </si>
  <si>
    <t>Serena Ortolani</t>
  </si>
  <si>
    <t>Genevieve Orton</t>
  </si>
  <si>
    <t>Selin Oruz</t>
  </si>
  <si>
    <t>Agnes Osazuwa (-Olatunji)</t>
  </si>
  <si>
    <t>Uhunoma Naomi-Pauline Osazuwa</t>
  </si>
  <si>
    <t>Olufunke "Funke" Oshonaike (-Irabor)</t>
  </si>
  <si>
    <t>Shelayna Elicia  Oskan-Clarke (Gumbs-)</t>
  </si>
  <si>
    <t>Farida Hisham Ahmed Osman</t>
  </si>
  <si>
    <t>Diana Carolina Ospina Garca</t>
  </si>
  <si>
    <t>Yuliya Anatolivna Ostapchuk-Tkach</t>
  </si>
  <si>
    <t>Jeena Ostapenko</t>
  </si>
  <si>
    <t>Inna Volodymyrivna Osypenko-Radomska</t>
  </si>
  <si>
    <t>Irene Otieno Awino</t>
  </si>
  <si>
    <t>Stacy Otieno Awour</t>
  </si>
  <si>
    <t>Otryadyn Gndegmaa</t>
  </si>
  <si>
    <t>Katharina Otte</t>
  </si>
  <si>
    <t>Jeanette Ottesen Gray</t>
  </si>
  <si>
    <t>Ou Zixia</t>
  </si>
  <si>
    <t>Samira Ouass</t>
  </si>
  <si>
    <t>Angelika Sita Oudraogo</t>
  </si>
  <si>
    <t>Sarah Ourahmoune</t>
  </si>
  <si>
    <t>Yevgeniya Aleksandrovna Ovchinnikova</t>
  </si>
  <si>
    <t>Emily Overholt</t>
  </si>
  <si>
    <t>Birgit Overzier-Michels</t>
  </si>
  <si>
    <t>Janet Owino Awour</t>
  </si>
  <si>
    <t>Lily Isabelle Owsley</t>
  </si>
  <si>
    <t>Flings Joyner Owusu-Agyapong</t>
  </si>
  <si>
    <t>Shiho Oyama</t>
  </si>
  <si>
    <t>Camilyne Oyuayo Awour</t>
  </si>
  <si>
    <t>Sinta Ozolia-Kovala (-Sprudzane)</t>
  </si>
  <si>
    <t>lke zyksel</t>
  </si>
  <si>
    <t>Nikita Aleisha Pablo</t>
  </si>
  <si>
    <t>Tara Pacheco van Rijnsoever</t>
  </si>
  <si>
    <t>Natalia Pacierpnik</t>
  </si>
  <si>
    <t>Bryony Kate Frances Page</t>
  </si>
  <si>
    <t>Danielle Nicole Page</t>
  </si>
  <si>
    <t>Marta Pagnini</t>
  </si>
  <si>
    <t>Melissa Pagnotta</t>
  </si>
  <si>
    <t>Mariana Pajn Londoo</t>
  </si>
  <si>
    <t>Santa Pakenyt</t>
  </si>
  <si>
    <t>Eliecith Palacios Santos</t>
  </si>
  <si>
    <t>Joana Palacios</t>
  </si>
  <si>
    <t>Madara Palameika</t>
  </si>
  <si>
    <t>Laia Palau Alts</t>
  </si>
  <si>
    <t>Karin Sofia Paldanius</t>
  </si>
  <si>
    <t>Luca Fernanda Palermo</t>
  </si>
  <si>
    <t>Justine Palframan</t>
  </si>
  <si>
    <t>Antonella Palmisano</t>
  </si>
  <si>
    <t>Airin Palyt</t>
  </si>
  <si>
    <t>Pan Feihong</t>
  </si>
  <si>
    <t>Olqa Panarina-smaylova</t>
  </si>
  <si>
    <t>Pang Fengyue</t>
  </si>
  <si>
    <t>Kseniya Hennadivna Panteleieva</t>
  </si>
  <si>
    <t>Elena Andreea Panuroiu</t>
  </si>
  <si>
    <t>Yekaterina Andreyevna Pantyulina-Lisunova</t>
  </si>
  <si>
    <t>Margherita Panziera</t>
  </si>
  <si>
    <t>Anna Ramona Papaioannou</t>
  </si>
  <si>
    <t>Paraskevi Papakhristou</t>
  </si>
  <si>
    <t>Evangelia Papazoglou</t>
  </si>
  <si>
    <t>Krisztina Papp</t>
  </si>
  <si>
    <t>Alexia Pappas</t>
  </si>
  <si>
    <t>Karen Paquin</t>
  </si>
  <si>
    <t>Yuliya Yevhenivna Paratova</t>
  </si>
  <si>
    <t>Silvia Paredes Yucailla</t>
  </si>
  <si>
    <t>Paula Beln Pareto</t>
  </si>
  <si>
    <t>Park Gi-Ju</t>
  </si>
  <si>
    <t>Park Hae-Mi</t>
  </si>
  <si>
    <t>Park In-Bee</t>
  </si>
  <si>
    <t>Park Jeong-Ah</t>
  </si>
  <si>
    <t>Park Jin-Young</t>
  </si>
  <si>
    <t>Park Mi-Hyeon</t>
  </si>
  <si>
    <t>Park Mi-Ra</t>
  </si>
  <si>
    <t>Park Seung-A</t>
  </si>
  <si>
    <t>Park Yong-Hui</t>
  </si>
  <si>
    <t>Georgie Parker</t>
  </si>
  <si>
    <t>Arantxa Parra Santonja</t>
  </si>
  <si>
    <t>Jessica Parratto</t>
  </si>
  <si>
    <t>Shannon Parry</t>
  </si>
  <si>
    <t>Natalia Partyka</t>
  </si>
  <si>
    <t>Mara Lucila Pascua Surez</t>
  </si>
  <si>
    <t>Beatriz Pascual Rodrguez</t>
  </si>
  <si>
    <t>Mariya Valeryevna Paseka</t>
  </si>
  <si>
    <t>Giovana Prado Pass</t>
  </si>
  <si>
    <t>Agnese Pastare</t>
  </si>
  <si>
    <t>Adelina Dorina Pastor</t>
  </si>
  <si>
    <t>Sara Elizabeth Pastrana Lizano</t>
  </si>
  <si>
    <t>Alessandra Patelli</t>
  </si>
  <si>
    <t>Lydia Paterson</t>
  </si>
  <si>
    <t>Doris Esmid Patio Marn</t>
  </si>
  <si>
    <t>Camilla Patriarca</t>
  </si>
  <si>
    <t>Aleksandra Vyacheslavovna Patskevich</t>
  </si>
  <si>
    <t>Francesca Pattaro</t>
  </si>
  <si>
    <t>Eleanor Patterson</t>
  </si>
  <si>
    <t>Kara Estelle Patterson-Winger</t>
  </si>
  <si>
    <t>Ayonika Paul</t>
  </si>
  <si>
    <t>Ilse Paulis</t>
  </si>
  <si>
    <t>Maartje Yvonne Helene Paumen</t>
  </si>
  <si>
    <t>Sarah Lindsey Pavan</t>
  </si>
  <si>
    <t>Joanne Marie "Jo" Pavey (Davis-)</t>
  </si>
  <si>
    <t>Automne Pavia</t>
  </si>
  <si>
    <t>Biljana Pavievi</t>
  </si>
  <si>
    <t>Anastasiya Vladyslavivna Pavlova</t>
  </si>
  <si>
    <t>Yana Vladimirovna Pavlova</t>
  </si>
  <si>
    <t>Viktoriya Vladimirovna Pavlovich</t>
  </si>
  <si>
    <t>Yelena Pavluxina</t>
  </si>
  <si>
    <t>Anastasiya Sergeyevna Pavlyuchenkova</t>
  </si>
  <si>
    <t>Latitia Payet</t>
  </si>
  <si>
    <t>Keri-Anne Payne (-Carry)</t>
  </si>
  <si>
    <t>Salome Pazhava</t>
  </si>
  <si>
    <t>Kirsten Pearce</t>
  </si>
  <si>
    <t>Michelle "Shelley" Pearson</t>
  </si>
  <si>
    <t>Jana Pechanov</t>
  </si>
  <si>
    <t>Christinna Pedersen</t>
  </si>
  <si>
    <t>Isabelle Sandstedt Pedersen</t>
  </si>
  <si>
    <t>Rikke Mller Pedersen</t>
  </si>
  <si>
    <t>Camila Hermeto Pedrosa Freire</t>
  </si>
  <si>
    <t>Giovanna Gomes Almeida Pedroso</t>
  </si>
  <si>
    <t>Yadisleidy Pedroso Gonzlez</t>
  </si>
  <si>
    <t>Snjeana Peji</t>
  </si>
  <si>
    <t>Evania Pelite</t>
  </si>
  <si>
    <t>Federica Pellegrini</t>
  </si>
  <si>
    <t>Nerea Pena Abaurrea</t>
  </si>
  <si>
    <t>Mara del Pilar Pea Carrasco</t>
  </si>
  <si>
    <t>Victoria Shannon "Tori" Pena</t>
  </si>
  <si>
    <t>Catharine Pendrel</t>
  </si>
  <si>
    <t>Peng Lin</t>
  </si>
  <si>
    <t>Peng Shuai</t>
  </si>
  <si>
    <t>Peng Yang</t>
  </si>
  <si>
    <t>Fiona Pennie</t>
  </si>
  <si>
    <t>Mara de los ngeles Peralta</t>
  </si>
  <si>
    <t>Ria Dawn Percival</t>
  </si>
  <si>
    <t>Tanja Perec</t>
  </si>
  <si>
    <t>Francielly Machedo Pereira</t>
  </si>
  <si>
    <t>Jasmine Henrietta Pereira</t>
  </si>
  <si>
    <t>Teliana Santos Pereira</t>
  </si>
  <si>
    <t>Ana Prez Campos</t>
  </si>
  <si>
    <t>Andra Marina Prez Pea</t>
  </si>
  <si>
    <t>Beatriz Prez Lagunas</t>
  </si>
  <si>
    <t>Mara Beln Prez Maurice</t>
  </si>
  <si>
    <t>Cecilia Gabriela Prez Flores</t>
  </si>
  <si>
    <t>Dianelys Prez Medina</t>
  </si>
  <si>
    <t>Madai Prez Carrillo</t>
  </si>
  <si>
    <t>Mara Prez</t>
  </si>
  <si>
    <t>Mercedes Isabel Prez Tigreros</t>
  </si>
  <si>
    <t>Naryury Alexandra Prez Revern</t>
  </si>
  <si>
    <t>Olaya Prez Pazo</t>
  </si>
  <si>
    <t>Paola Valentina Prez Sierra</t>
  </si>
  <si>
    <t>Paola Bibiana Prez Saquipay</t>
  </si>
  <si>
    <t>Yaime Prez Tellez</t>
  </si>
  <si>
    <t>Gabriela Perianu</t>
  </si>
  <si>
    <t>Alessandra Perilli</t>
  </si>
  <si>
    <t>Arianna Perilli</t>
  </si>
  <si>
    <t>Brooke Peris</t>
  </si>
  <si>
    <t>Sandra Perkovi</t>
  </si>
  <si>
    <t>Nataliya Andreyevna Perminova</t>
  </si>
  <si>
    <t>Kseniya Vitalyevna Perova</t>
  </si>
  <si>
    <t>Mariangela Perrupato</t>
  </si>
  <si>
    <t>Kasey Perry-Glass</t>
  </si>
  <si>
    <t>pela Pere</t>
  </si>
  <si>
    <t>Lee-Ann Persse</t>
  </si>
  <si>
    <t>Slaana Perunovi (-Pejovi-)</t>
  </si>
  <si>
    <t>Elisavet Pesiridou</t>
  </si>
  <si>
    <t>Mayssa Raquel de Oliveira Pessoa</t>
  </si>
  <si>
    <t>Tuuli Pauliina Petj (-Sirn)</t>
  </si>
  <si>
    <t>Carlota Petcham Bonastre</t>
  </si>
  <si>
    <t>Babett Peter</t>
  </si>
  <si>
    <t>Luisa Fatiaki Taitapu Peters</t>
  </si>
  <si>
    <t>Andrea Petkovic</t>
  </si>
  <si>
    <t>Tatyana Olegovna Petrenya</t>
  </si>
  <si>
    <t>Mihaela Petril</t>
  </si>
  <si>
    <t>Gabriela Petrova</t>
  </si>
  <si>
    <t>Mayya Andreyevna Petrova (Kaverina-)</t>
  </si>
  <si>
    <t>Stanimira Petrova</t>
  </si>
  <si>
    <t>Sonja Petrovi</t>
  </si>
  <si>
    <t>Suzann Pettersen</t>
  </si>
  <si>
    <t>Angela Kate "Angie" Petty (Smit-)</t>
  </si>
  <si>
    <t>Yekaterina Ilyinichna Petukhova</t>
  </si>
  <si>
    <t>Aglaia Mafalda Pezzato</t>
  </si>
  <si>
    <t>Melanie Pfeifer</t>
  </si>
  <si>
    <t>Dina Lebo Phalula</t>
  </si>
  <si>
    <t>Phan Th H Thanh</t>
  </si>
  <si>
    <t>Pornanong Phatlum</t>
  </si>
  <si>
    <t>Jinq En Phee</t>
  </si>
  <si>
    <t>Asha Solette Philip</t>
  </si>
  <si>
    <t>Elinah Amani Phillip</t>
  </si>
  <si>
    <t>Erin Victoria Phillips</t>
  </si>
  <si>
    <t>Jessica Phoenix</t>
  </si>
  <si>
    <t>Vinesh Phogat</t>
  </si>
  <si>
    <t>Laenly Phoutthavong</t>
  </si>
  <si>
    <t>Khatuna Phutkaradze-Narimanidze</t>
  </si>
  <si>
    <t>Sydney Pickrem</t>
  </si>
  <si>
    <t>Charline Picon</t>
  </si>
  <si>
    <t>Patrycja Piechowiak</t>
  </si>
  <si>
    <t>Daniela "Dani" de Oliveira Piedade</t>
  </si>
  <si>
    <t>Selena Piek</t>
  </si>
  <si>
    <t>Ccile Pieper</t>
  </si>
  <si>
    <t>Florina Pierdevar</t>
  </si>
  <si>
    <t>Judith Pietersen</t>
  </si>
  <si>
    <t>Emilia Pikkarainen (-Bottas)</t>
  </si>
  <si>
    <t>Daria Pikulik</t>
  </si>
  <si>
    <t>Anastasiya Olegovna Pilipenko (Vinogradova-)</t>
  </si>
  <si>
    <t>Gerina Michelle Piller (Mendoza-)</t>
  </si>
  <si>
    <t>Monica Fiorella Pimentel Rodriguez</t>
  </si>
  <si>
    <t>Allison Marie Pineau</t>
  </si>
  <si>
    <t>Diana Isabel Pineda Zuletra</t>
  </si>
  <si>
    <t>Mildrey Carolina Pineda Echeverra</t>
  </si>
  <si>
    <t xml:space="preserve">Yolymar Elizabeth Pineda Medina  Gmez </t>
  </si>
  <si>
    <t>Elisabeth "Eli" Pinedo Senz</t>
  </si>
  <si>
    <t>Tjaa Pintar</t>
  </si>
  <si>
    <t>Ammara Pinto</t>
  </si>
  <si>
    <t>Andreina del Valle Pinto Prez</t>
  </si>
  <si>
    <t>Tatjana Lofamakanda Pinto</t>
  </si>
  <si>
    <t>Beatriz Elizabeth Pirn Candelario</t>
  </si>
  <si>
    <t>Tsvetana Kirilova Pironkova</t>
  </si>
  <si>
    <t>Elena Sergeyevna Pirozhkova</t>
  </si>
  <si>
    <t>Stefania Pirozzi</t>
  </si>
  <si>
    <t>Valeriya Igorevna Pishchelina</t>
  </si>
  <si>
    <t>Manuela Pizzo</t>
  </si>
  <si>
    <t>Katarzyna Piocik-Klys</t>
  </si>
  <si>
    <t>Brbara Pla Vegu</t>
  </si>
  <si>
    <t>Celeste Plak</t>
  </si>
  <si>
    <t>Diamara Planell Cruz</t>
  </si>
  <si>
    <t>Evangelia Platanioti</t>
  </si>
  <si>
    <t>Anna Plichta</t>
  </si>
  <si>
    <t>Hanna Oleksandrivna Plotitsyna</t>
  </si>
  <si>
    <t>Katherine Plouffe</t>
  </si>
  <si>
    <t>Michelle Plouffe</t>
  </si>
  <si>
    <t>Femke Pluim</t>
  </si>
  <si>
    <t>Anfisa Sergiivna Pochkalova</t>
  </si>
  <si>
    <t>Darya Vatslavna Pochobut</t>
  </si>
  <si>
    <t>Olivia "Liv" Podmore</t>
  </si>
  <si>
    <t>Arleta Podolak</t>
  </si>
  <si>
    <t>Irina Dmitriyevna Podoynikova</t>
  </si>
  <si>
    <t>Sona Poghosyan</t>
  </si>
  <si>
    <t>Daria Pogorzelec</t>
  </si>
  <si>
    <t>Stephanie Pohl</t>
  </si>
  <si>
    <t>Nataliya Olehivna Pohrebniak</t>
  </si>
  <si>
    <t>Sofia Polcanova</t>
  </si>
  <si>
    <t>Poliana Barbosa Medeiros</t>
  </si>
  <si>
    <t>Alessia Polieri</t>
  </si>
  <si>
    <t>Greysia Polii</t>
  </si>
  <si>
    <t>Viktoriia Poliudina</t>
  </si>
  <si>
    <t>Amanda Polk</t>
  </si>
  <si>
    <t>Clare Elizabeth Polkinghorne</t>
  </si>
  <si>
    <t>Kim Polling</t>
  </si>
  <si>
    <t>Estavana Polman</t>
  </si>
  <si>
    <t>Marina Viktorovna Poltoran-Litvinchuk</t>
  </si>
  <si>
    <t>Francesca Pomeri</t>
  </si>
  <si>
    <t>Maritza Rafaela Poncio Tzul</t>
  </si>
  <si>
    <t>Ashwini Ponnappa</t>
  </si>
  <si>
    <t>pela Ponomarenko Jani</t>
  </si>
  <si>
    <t>Ctlina Ponor</t>
  </si>
  <si>
    <t>Allyson Ponson</t>
  </si>
  <si>
    <t>Emma Jane Pooley</t>
  </si>
  <si>
    <t>Poon Lok Yan</t>
  </si>
  <si>
    <t>Simona Pop (Deac-)</t>
  </si>
  <si>
    <t>Iuliana Popa</t>
  </si>
  <si>
    <t>Yekatarina Viktorovna Poplavskaya</t>
  </si>
  <si>
    <t>Nadezhda Mikhaylovna Popok-Lepeshko</t>
  </si>
  <si>
    <t>Iryna Olehivna Popova</t>
  </si>
  <si>
    <t>Mariya Vladimirovna Popova</t>
  </si>
  <si>
    <t>Veronika Andreyevna Popova</t>
  </si>
  <si>
    <t>Bojana Popovi (Petrovi-)</t>
  </si>
  <si>
    <t>Silvija Popovi</t>
  </si>
  <si>
    <t>Marika Popowicz-Drapaa</t>
  </si>
  <si>
    <t>Alexandra Popp</t>
  </si>
  <si>
    <t>Maria de Lourdes Mazzoleni Portela</t>
  </si>
  <si>
    <t>Teresa do Rosrio Afonso Portela</t>
  </si>
  <si>
    <t>Mara Teresa Portela Rivas</t>
  </si>
  <si>
    <t>Tiffany Adaez Porter (Ofili-)</t>
  </si>
  <si>
    <t>Alise Rose Post</t>
  </si>
  <si>
    <t>Georgina Pta</t>
  </si>
  <si>
    <t>Yelena Potapenko</t>
  </si>
  <si>
    <t>Daniela Potapova</t>
  </si>
  <si>
    <t>Mira Potkonen</t>
  </si>
  <si>
    <t>Beth Potter</t>
  </si>
  <si>
    <t>Jillion Paige  Potter</t>
  </si>
  <si>
    <t>Pauline Pousse</t>
  </si>
  <si>
    <t>Machettira Raju "M.R." Povamma</t>
  </si>
  <si>
    <t>Liadagmis Povea Rodrguez</t>
  </si>
  <si>
    <t>Mariya Mykolavna Povkh</t>
  </si>
  <si>
    <t>Olesia Ivanivna Povkh</t>
  </si>
  <si>
    <t>Natalie Powell</t>
  </si>
  <si>
    <t>Olivia Elizabeth "Polly" Powrie</t>
  </si>
  <si>
    <t>Nikki Pradhan</t>
  </si>
  <si>
    <t>Jenna Prandini</t>
  </si>
  <si>
    <t>Kayla Pratt</t>
  </si>
  <si>
    <t>Aisha Praught (-Leer)</t>
  </si>
  <si>
    <t>Grace Prendergast</t>
  </si>
  <si>
    <t>Nzingha Prescod</t>
  </si>
  <si>
    <t>Irene Prescott</t>
  </si>
  <si>
    <t>Christen Annemarie Press</t>
  </si>
  <si>
    <t>Maria Prevolaraki</t>
  </si>
  <si>
    <t>DeAnna Marie Price</t>
  </si>
  <si>
    <t>Nadja Pries</t>
  </si>
  <si>
    <t>Danielle Mia Prince</t>
  </si>
  <si>
    <t>Nichelle Prince</t>
  </si>
  <si>
    <t>Lynique Prinsloo</t>
  </si>
  <si>
    <t>Natalia Pricepa</t>
  </si>
  <si>
    <t>Aleksandra Valentinovna Privalova</t>
  </si>
  <si>
    <t>Shara Nerissa Proctor</t>
  </si>
  <si>
    <t>Yekaterina Valeryevna Prokofyeva</t>
  </si>
  <si>
    <t>Yelena Gennadyevna Prokofyeva</t>
  </si>
  <si>
    <t>Yuliya Anatolivna Prokopchuk</t>
  </si>
  <si>
    <t>Nadiya Ivanivna Prokopuk-Borovska</t>
  </si>
  <si>
    <t>Kristina Pronzhenko</t>
  </si>
  <si>
    <t>Marie Prouvensier</t>
  </si>
  <si>
    <t>Briana Provancha</t>
  </si>
  <si>
    <t>Tanyaporn Prucksakorn</t>
  </si>
  <si>
    <t>Nataliya Oleksandrivna Pryshchepa</t>
  </si>
  <si>
    <t>Evangelia Psarra</t>
  </si>
  <si>
    <t>Jiina Ptnkov (-Svobodov-)</t>
  </si>
  <si>
    <t>Marta Puda</t>
  </si>
  <si>
    <t>Mallory Diane Pugh</t>
  </si>
  <si>
    <t>Monica Puig Marchn</t>
  </si>
  <si>
    <t>Bernadette Pujals Cavallo</t>
  </si>
  <si>
    <t>Sushila Chanu Pukhrambam</t>
  </si>
  <si>
    <t>Savita Punia</t>
  </si>
  <si>
    <t>Anita Punt-McLaren</t>
  </si>
  <si>
    <t>Tina Punzel</t>
  </si>
  <si>
    <t>Prevdorjiin Orkhon</t>
  </si>
  <si>
    <t>Prevjargalyn Lkhamdegd</t>
  </si>
  <si>
    <t>Sanita Pupure</t>
  </si>
  <si>
    <t>Iveta Putalov</t>
  </si>
  <si>
    <t>Ingrid Puusta</t>
  </si>
  <si>
    <t>Anastasiya Sergeyevna Puzakova</t>
  </si>
  <si>
    <t>Qi Yuhong</t>
  </si>
  <si>
    <t>Qieyang Shenjie</t>
  </si>
  <si>
    <t>Fan "Esther" Qin</t>
  </si>
  <si>
    <t>Quah Ting Wen</t>
  </si>
  <si>
    <t>Elisa Queirolo</t>
  </si>
  <si>
    <t>Samantha Ann "Sam" Quek</t>
  </si>
  <si>
    <t>Alejandra Quereda Flores</t>
  </si>
  <si>
    <t>Laura Quevedo Caizares</t>
  </si>
  <si>
    <t>Colleen Quigley</t>
  </si>
  <si>
    <t>Jasmine Camacho-Quinn</t>
  </si>
  <si>
    <t>Rebecca Quinn</t>
  </si>
  <si>
    <t>Jssica da Silva Quintino</t>
  </si>
  <si>
    <t>Alicia Quirk</t>
  </si>
  <si>
    <t>Rosmery Quispe Guarachi</t>
  </si>
  <si>
    <t>Yekaterina Borisovna Rabaya</t>
  </si>
  <si>
    <t>Aina Estellah Rabetsara</t>
  </si>
  <si>
    <t>Mari Rabie</t>
  </si>
  <si>
    <t>Federica Radicchi</t>
  </si>
  <si>
    <t>Jovanka "Jova" Radievi</t>
  </si>
  <si>
    <t>Tamara Radoaj</t>
  </si>
  <si>
    <t>Agnieszka Roma Radwaska</t>
  </si>
  <si>
    <t>Svetlana Mikhaylovna Radzivil</t>
  </si>
  <si>
    <t>Rafaelle Leone Carvalho de Souza</t>
  </si>
  <si>
    <t>Erin Rafuse</t>
  </si>
  <si>
    <t>Kimiko Shihara Raheem</t>
  </si>
  <si>
    <t>Paige Railey</t>
  </si>
  <si>
    <t>Folade Nayo Raincock-Ekunwe</t>
  </si>
  <si>
    <t>Alexandra Rose "Aly" Raisman</t>
  </si>
  <si>
    <t>Leyla Rajabi</t>
  </si>
  <si>
    <t>Bogaha Kotuwe Gedara Niluka Geethani Rajasekara</t>
  </si>
  <si>
    <t>Yuliya Rakhmanova</t>
  </si>
  <si>
    <t>Glencora Ralph</t>
  </si>
  <si>
    <t>Urata Rama</t>
  </si>
  <si>
    <t>Lebohang Ester Ramalepe</t>
  </si>
  <si>
    <t>Mariana Barbosa Ramalho</t>
  </si>
  <si>
    <t>Juliette Fanny Henriette Ramel</t>
  </si>
  <si>
    <t>Ana Catalina Ramrez Talero</t>
  </si>
  <si>
    <t>Estefana Ramrez Castillo</t>
  </si>
  <si>
    <t>Beverly Sue Ramos</t>
  </si>
  <si>
    <t>Joana Isabel Ventura Ramos</t>
  </si>
  <si>
    <t>Rani Rampal</t>
  </si>
  <si>
    <t>Ema Ramusovi</t>
  </si>
  <si>
    <t>Marie Hanitra Roilya Ranaivosoa</t>
  </si>
  <si>
    <t>Nina Georgieva Rangelova</t>
  </si>
  <si>
    <t>Poonam Rani</t>
  </si>
  <si>
    <t>Megan Anna Rapinoe</t>
  </si>
  <si>
    <t>Raquel Fernandes dos Santos</t>
  </si>
  <si>
    <t>Milena Rai</t>
  </si>
  <si>
    <t>Juliane Elander Rasmussen</t>
  </si>
  <si>
    <t>Hedvig Lrke Berg Rasmussen</t>
  </si>
  <si>
    <t>Martina "Martinka" Ratej</t>
  </si>
  <si>
    <t>Claudia Rath (-Salman)</t>
  </si>
  <si>
    <t>Asaramanitra Ratiarison</t>
  </si>
  <si>
    <t>Yuliya Ratkevi</t>
  </si>
  <si>
    <t>lodie Ravera-Scaramozzino</t>
  </si>
  <si>
    <t>Timaima Rosi Lulutai "Tima" Ravisa</t>
  </si>
  <si>
    <t>Elisa Vania Ravololoniaina</t>
  </si>
  <si>
    <t>Nisha Rawal</t>
  </si>
  <si>
    <t>Chloe Rayner</t>
  </si>
  <si>
    <t>Aleksandra Germanovna Razaryonova</t>
  </si>
  <si>
    <t>Bianca Denisa Rzor</t>
  </si>
  <si>
    <t>Carla Rebecchi</t>
  </si>
  <si>
    <t>Rita Rcsei</t>
  </si>
  <si>
    <t>Brittney Davon Reese</t>
  </si>
  <si>
    <t>Emily Regan</t>
  </si>
  <si>
    <t>Nicole Regnier Palacios</t>
  </si>
  <si>
    <t>Maya Rehberg</t>
  </si>
  <si>
    <t>Grace Reid</t>
  </si>
  <si>
    <t>Julia Reinprecht</t>
  </si>
  <si>
    <t>Katherine "Katie" Reinprecht</t>
  </si>
  <si>
    <t>Lauren Rembi</t>
  </si>
  <si>
    <t>Ins Remersaro Coronel</t>
  </si>
  <si>
    <t>Doreen Remour Nziwa</t>
  </si>
  <si>
    <t>Ourania Rempouli</t>
  </si>
  <si>
    <t>Ren Cancan</t>
  </si>
  <si>
    <t>Ren Mengqian</t>
  </si>
  <si>
    <t>Ren Qian</t>
  </si>
  <si>
    <t>Ren Wenjun</t>
  </si>
  <si>
    <t>Wendie Thrse Renard</t>
  </si>
  <si>
    <t>Ana Mara Rendn Martnez</t>
  </si>
  <si>
    <t>Els Rens</t>
  </si>
  <si>
    <t>Molly Renshaw</t>
  </si>
  <si>
    <t>Ana Patrcia Robert de Oliveira Rente</t>
  </si>
  <si>
    <t>Jackeline Rentera Castillo</t>
  </si>
  <si>
    <t>Polina Viktorovna Repina</t>
  </si>
  <si>
    <t>Paula Reto</t>
  </si>
  <si>
    <t>Cllia Reuse-Rard</t>
  </si>
  <si>
    <t>Diana Carolina Reyes Cruz</t>
  </si>
  <si>
    <t>Judy Reynolds</t>
  </si>
  <si>
    <t>Kristina Joana Reynolds</t>
  </si>
  <si>
    <t>Lauren Reynolds</t>
  </si>
  <si>
    <t>Kimberly Susan "Kim" Rhode (-Harryman)</t>
  </si>
  <si>
    <t>Ri Mi-Gyong</t>
  </si>
  <si>
    <t>Ri Myong-Sun</t>
  </si>
  <si>
    <t>Hla Riabi</t>
  </si>
  <si>
    <t>Ana Vanesa Rial Lpez</t>
  </si>
  <si>
    <t>Aona Ribakova</t>
  </si>
  <si>
    <t>Mara Ribera Garca</t>
  </si>
  <si>
    <t>Jonelle Richards-Price</t>
  </si>
  <si>
    <t>Alice Peta Richardson</t>
  </si>
  <si>
    <t>Helen Richardson-Walsh</t>
  </si>
  <si>
    <t>Kathrin Louise "Kate" Richardson-Walsh</t>
  </si>
  <si>
    <t>Linn-Kristin Ullevoldster Riegelhuth Koren</t>
  </si>
  <si>
    <t>Mariya Vitalivna Riemien</t>
  </si>
  <si>
    <t>Lola Riera Zuzuarregui</t>
  </si>
  <si>
    <t>Sofia Riga</t>
  </si>
  <si>
    <t>Elisa Rigaudo</t>
  </si>
  <si>
    <t>Alexandra Lowe "Ali" Riley</t>
  </si>
  <si>
    <t>Rim Jong-Sim</t>
  </si>
  <si>
    <t>Donata Rimait</t>
  </si>
  <si>
    <t>Anne-Marie Rindom</t>
  </si>
  <si>
    <t>Pandelela Rinong anak Pamg</t>
  </si>
  <si>
    <t>Marie Riou</t>
  </si>
  <si>
    <t>Shira Rishony</t>
  </si>
  <si>
    <t>Jenny Rissveds</t>
  </si>
  <si>
    <t>va Risztov</t>
  </si>
  <si>
    <t>Sofia Julia Rito Enocksson</t>
  </si>
  <si>
    <t>Martina Ritter</t>
  </si>
  <si>
    <t>Claudia Rivas Vega</t>
  </si>
  <si>
    <t>Lina Marcela Rivas Ordez</t>
  </si>
  <si>
    <t>Evelin Rivera Blanquet</t>
  </si>
  <si>
    <t>Brbara Catalina Riveros Daz</t>
  </si>
  <si>
    <t>Karen Nathalia Riveros Schulz</t>
  </si>
  <si>
    <t>Neta Rivkin</t>
  </si>
  <si>
    <t>Viniana Naisaluwaki Riwai</t>
  </si>
  <si>
    <t>Hanna Serhivna Rizatdinova</t>
  </si>
  <si>
    <t>Martina Rizzelli</t>
  </si>
  <si>
    <t>Tatiana Soledad Rizzo</t>
  </si>
  <si>
    <t>Karien Robbers</t>
  </si>
  <si>
    <t>Mlina Robert-Michon</t>
  </si>
  <si>
    <t>Jamina Caroline Roberts</t>
  </si>
  <si>
    <t>Kelsey-Lee Roberts</t>
  </si>
  <si>
    <t>Samantha Roberts</t>
  </si>
  <si>
    <t>Emma Robinson</t>
  </si>
  <si>
    <t>Kathryn Robinson</t>
  </si>
  <si>
    <t>Kelsey Robinson</t>
  </si>
  <si>
    <t>Sarah Elizabeth Robles</t>
  </si>
  <si>
    <t>Carla Salom Rocha</t>
  </si>
  <si>
    <t>Francielle Gomes da Rocha</t>
  </si>
  <si>
    <t>Samira Pereira da Silva Rocha</t>
  </si>
  <si>
    <t>Tas de Morais Rochel</t>
  </si>
  <si>
    <t>Ika Yuliana Rochmawati</t>
  </si>
  <si>
    <t>Ana Veronica Rodean</t>
  </si>
  <si>
    <t>Valentina Rodini</t>
  </si>
  <si>
    <t>Anastasia Rodionova</t>
  </si>
  <si>
    <t>Arina Rodionova</t>
  </si>
  <si>
    <t>Joice Rodrigues de Souza</t>
  </si>
  <si>
    <t>Carolina Rodrguez Gutirrez</t>
  </si>
  <si>
    <t>Carolina Rodrguez Ballesteros</t>
  </si>
  <si>
    <t>Dborah Lizeth Rodrguez Guelmo</t>
  </si>
  <si>
    <t>Elvismar Nicanor Rodrguez Ruiz</t>
  </si>
  <si>
    <t>Katherine Julissa Rodrguez Peguero</t>
  </si>
  <si>
    <t>Leonor Rodrguez Manso</t>
  </si>
  <si>
    <t>Marina de la Caridad Rodrguez Mitjan</t>
  </si>
  <si>
    <t>Rosa Andrena Rodrguez Pargas</t>
  </si>
  <si>
    <t>Yorgelis Rodrguez Garca</t>
  </si>
  <si>
    <t>Brittany Rogers</t>
  </si>
  <si>
    <t>Emily Mei Ling Rogers</t>
  </si>
  <si>
    <t>Brenda Rojas</t>
  </si>
  <si>
    <t>Yulimar del Valle Rojas Rodrguez</t>
  </si>
  <si>
    <t>Monica Rokhman</t>
  </si>
  <si>
    <t>Asena Rokomarama</t>
  </si>
  <si>
    <t>Cindy Roleder</t>
  </si>
  <si>
    <t>Fridolina Rolf</t>
  </si>
  <si>
    <t>Brianna Rollins</t>
  </si>
  <si>
    <t>Annika Roloff</t>
  </si>
  <si>
    <t>Ada Nabila Romn Arroyo</t>
  </si>
  <si>
    <t>Lisa Roman</t>
  </si>
  <si>
    <t>Maria Romanjuk</t>
  </si>
  <si>
    <t>Aleksandra Valeryevna Romanova</t>
  </si>
  <si>
    <t>Svetlana Alekseyevna Romashina</t>
  </si>
  <si>
    <t>Isabel Cristina Romero Benitez</t>
  </si>
  <si>
    <t>Leticia Romero Gonzlez</t>
  </si>
  <si>
    <t>Marisol Guadalupe Romero Rosales</t>
  </si>
  <si>
    <t>Natalia del Carmen Romero Jaramillo</t>
  </si>
  <si>
    <t>Gabrielle Gonalves Roncatto</t>
  </si>
  <si>
    <t>Natalie Rooney</t>
  </si>
  <si>
    <t>Anna Angelica Ulrika Roos</t>
  </si>
  <si>
    <t>Christine Roper</t>
  </si>
  <si>
    <t>Miryam Roper (-Yearwood)</t>
  </si>
  <si>
    <t>Ana Maria Roqica</t>
  </si>
  <si>
    <t>Vitria Cristina Silva Rosa</t>
  </si>
  <si>
    <t>Yarimar Rosa Adorno</t>
  </si>
  <si>
    <t>Marie-Sadio Beatrice Rosch</t>
  </si>
  <si>
    <t>Deanne Rose</t>
  </si>
  <si>
    <t>Eva Rsken</t>
  </si>
  <si>
    <t>April Elizabeth Ross</t>
  </si>
  <si>
    <t>Jessica Rossi</t>
  </si>
  <si>
    <t>Desiree Rossit</t>
  </si>
  <si>
    <t>Marta Rostoburova</t>
  </si>
  <si>
    <t>Alina Rotaru</t>
  </si>
  <si>
    <t>Lydia Chebet Rotich</t>
  </si>
  <si>
    <t>Amina Rouba</t>
  </si>
  <si>
    <t>Carolina "Carol" Routier Caigueral</t>
  </si>
  <si>
    <t>Shannon Nicole Rowbury</t>
  </si>
  <si>
    <t>Joanna Katie Rowsell Shand</t>
  </si>
  <si>
    <t>Lady Yavelly Ruano Pinilla</t>
  </si>
  <si>
    <t>Elin Ingrid Johanna Rubensson</t>
  </si>
  <si>
    <t>Anneliese "Annie" Rubie</t>
  </si>
  <si>
    <t>Taylor Madison Ruck</t>
  </si>
  <si>
    <t>Yekaterina Olegovna Rudenko</t>
  </si>
  <si>
    <t>Hannah Amuchechi Rueben</t>
  </si>
  <si>
    <t>Flor Denis Ruz Hurtado</t>
  </si>
  <si>
    <t>Cierra Runge</t>
  </si>
  <si>
    <t>Nicol Ruprecht</t>
  </si>
  <si>
    <t>Noora Ruskola</t>
  </si>
  <si>
    <t>Janieve Russell</t>
  </si>
  <si>
    <t>Kelly Russell</t>
  </si>
  <si>
    <t>Fernanda Mara Russo</t>
  </si>
  <si>
    <t>Lies Rustenburg</t>
  </si>
  <si>
    <t>Sally Rutherford</t>
  </si>
  <si>
    <t>Natalia Rutkowska</t>
  </si>
  <si>
    <t>Dalma Ruii-Benedek</t>
  </si>
  <si>
    <t>elena Rabowa</t>
  </si>
  <si>
    <t>Caitlin Ryan</t>
  </si>
  <si>
    <t>Jaime Ryan</t>
  </si>
  <si>
    <t>Olga Sergeyevna Rypakova (Alekseyeva-)</t>
  </si>
  <si>
    <t>Yuliya Sergeyevna Rytikova (Dureyko-)</t>
  </si>
  <si>
    <t>Elizaveta Vladimirova "Lisa" Ryzih</t>
  </si>
  <si>
    <t>Nada Nabil Mohamed Elsayed Saafan</t>
  </si>
  <si>
    <t>Nehal Nabil Mohamed Elsayed Saafan</t>
  </si>
  <si>
    <t>Oleksandra Dmytrivna Sabada</t>
  </si>
  <si>
    <t>Nur Dhabitah Sabri</t>
  </si>
  <si>
    <t>Grit adeiko</t>
  </si>
  <si>
    <t>Besu Sado Beko</t>
  </si>
  <si>
    <t>Kateryna Serhivna Sadurska</t>
  </si>
  <si>
    <t>Alia Saeed Mohammed</t>
  </si>
  <si>
    <t>Lucie afov</t>
  </si>
  <si>
    <t>Dewi Safitri</t>
  </si>
  <si>
    <t>Kateina afrnkov</t>
  </si>
  <si>
    <t>Clarisa Sagarda</t>
  </si>
  <si>
    <t>Khadijatou  Victoria "Khaddi" Sagnia</t>
  </si>
  <si>
    <t>Mariana Sahakian</t>
  </si>
  <si>
    <t>Hafize ahin</t>
  </si>
  <si>
    <t>Marie Eliane Saholinirina</t>
  </si>
  <si>
    <t>Tue ahutolu</t>
  </si>
  <si>
    <t>Luiza Saidiyeva</t>
  </si>
  <si>
    <t>Betsy Saina</t>
  </si>
  <si>
    <t>Maki Sakaguchi</t>
  </si>
  <si>
    <t>Natsumi Sakai</t>
  </si>
  <si>
    <t>Gbahi Gwladys Sakoa</t>
  </si>
  <si>
    <t>Saori Sakoda</t>
  </si>
  <si>
    <t>Olha Valerivna Saladukha (-Kostyuk)</t>
  </si>
  <si>
    <t>Tamara Salaki</t>
  </si>
  <si>
    <t>Liana Milena Salazar Vergara</t>
  </si>
  <si>
    <t>Laura Salls Lpez</t>
  </si>
  <si>
    <t>Katja Steen Salskov-Iversen</t>
  </si>
  <si>
    <t>Lina altyt</t>
  </si>
  <si>
    <t>Nino Salukvadze (-Machavariani)</t>
  </si>
  <si>
    <t>Luciana Yael Salvad</t>
  </si>
  <si>
    <t>Carola Salvatella Pans</t>
  </si>
  <si>
    <t>Elizabeta Samara</t>
  </si>
  <si>
    <t>Stavroula Samara</t>
  </si>
  <si>
    <t>Matea Samardi</t>
  </si>
  <si>
    <t>Fatoumata Samasskou</t>
  </si>
  <si>
    <t>Isabelle Sambou</t>
  </si>
  <si>
    <t>Sara Ahmed Samir</t>
  </si>
  <si>
    <t>Anastasiya Sergeyevna Samoylenko (Shlyakhovaya-)</t>
  </si>
  <si>
    <t>Jamile Sara Samuel</t>
  </si>
  <si>
    <t>Daniele "Dani" Samuels (-Stevens)</t>
  </si>
  <si>
    <t>Nicky Samuels</t>
  </si>
  <si>
    <t>Sonia Samuels</t>
  </si>
  <si>
    <t>Jessica Eva Katarina Samuelsson</t>
  </si>
  <si>
    <t>Anastasiya Valeryevna Samusevich-Prokopenko</t>
  </si>
  <si>
    <t>Ana Cristina Sanabria Snchez</t>
  </si>
  <si>
    <t>Etel Snchez</t>
  </si>
  <si>
    <t>Mara Guadalupe Snchez Magaa</t>
  </si>
  <si>
    <t>Mariely Snchez Hichez</t>
  </si>
  <si>
    <t>Natalia Snchez Echeverri</t>
  </si>
  <si>
    <t>Roco Mara Snchez Moccia</t>
  </si>
  <si>
    <t>Sofa Snchez</t>
  </si>
  <si>
    <t>Louise Nelum Sandamali Sand</t>
  </si>
  <si>
    <t>Linda Maria Sandblom</t>
  </si>
  <si>
    <t>Gillian Sanders</t>
  </si>
  <si>
    <t>LaToya Antoinette "Lara" Sanders (Pringle-)</t>
  </si>
  <si>
    <t>Stefan Bellore Sangala</t>
  </si>
  <si>
    <t>Jamila Keizia Sanmoogan</t>
  </si>
  <si>
    <t>Macarena Sans</t>
  </si>
  <si>
    <t>Anna Santamans</t>
  </si>
  <si>
    <t>Daly Elis Santana Morales</t>
  </si>
  <si>
    <t>Graciete Feira de Santana</t>
  </si>
  <si>
    <t>Ane Santesteban Gonzlez</t>
  </si>
  <si>
    <t>Edna Santini</t>
  </si>
  <si>
    <t>Yusneysi Santiusti Caballero</t>
  </si>
  <si>
    <t>Juliana Esteves dos Santos</t>
  </si>
  <si>
    <t>Juliana Paula Gomes dos Santos (de Azevedo-)</t>
  </si>
  <si>
    <t>Leicy Maria Santos Herrera</t>
  </si>
  <si>
    <t>Rosane dos Reis Santos</t>
  </si>
  <si>
    <t>Rosangela Cristina Oliveira Santos</t>
  </si>
  <si>
    <t>Telma Isabel da Silva Santos</t>
  </si>
  <si>
    <t>Flvia Lopes Saraiva</t>
  </si>
  <si>
    <t>Jlia Albino Sard</t>
  </si>
  <si>
    <t>Caitlin Sargent-Jones</t>
  </si>
  <si>
    <t>Laura Srosi</t>
  </si>
  <si>
    <t>Patricia Sarrapio Martn</t>
  </si>
  <si>
    <t>Guendalina Sartori</t>
  </si>
  <si>
    <t>Mathlynn Langtor "Mattie" Sasser</t>
  </si>
  <si>
    <t>Marianna Sastin</t>
  </si>
  <si>
    <t>Ana Stila Vieira Vargas</t>
  </si>
  <si>
    <t>Akiko Sato</t>
  </si>
  <si>
    <t>Arisa Sato</t>
  </si>
  <si>
    <t>Yuka Sato</t>
  </si>
  <si>
    <t>Rebecca Elizabeth "Becky" Sauerbrunn</t>
  </si>
  <si>
    <t>Raven Saunders</t>
  </si>
  <si>
    <t>Katerine Savard</t>
  </si>
  <si>
    <t>Anastasiya Hennadivna Savchuk</t>
  </si>
  <si>
    <t>Olha Mykolavna Savchuk</t>
  </si>
  <si>
    <t>Tessie Savelkouls</t>
  </si>
  <si>
    <t>Chlo Marie Hlne Savourel</t>
  </si>
  <si>
    <t>Louisa Jane Sawers-Gurski</t>
  </si>
  <si>
    <t>Suthasini Sawettabut</t>
  </si>
  <si>
    <t>Jazmin Jayne Sawyers</t>
  </si>
  <si>
    <t>Kayra Sayt</t>
  </si>
  <si>
    <t>Irina Sazonova</t>
  </si>
  <si>
    <t>Laetisha Scanlan</t>
  </si>
  <si>
    <t>Emily Beth Scarratt</t>
  </si>
  <si>
    <t>Haline Leme Scatrut</t>
  </si>
  <si>
    <t>Denisa erbova-Rosolov</t>
  </si>
  <si>
    <t>Carolin Schfer</t>
  </si>
  <si>
    <t>Pauline Sieglinde Schfer</t>
  </si>
  <si>
    <t>Sophie Celina Scheder</t>
  </si>
  <si>
    <t>Charlotta Eva "Lotta" Schelin</t>
  </si>
  <si>
    <t>Jeanelle Scheper</t>
  </si>
  <si>
    <t>Sarah Scherer</t>
  </si>
  <si>
    <t>Anja Scherl</t>
  </si>
  <si>
    <t>Dafne Schippers</t>
  </si>
  <si>
    <t>Arianna Schivo</t>
  </si>
  <si>
    <t>Alice Schlesinger</t>
  </si>
  <si>
    <t>Annika Schleu</t>
  </si>
  <si>
    <t>Fabienne Schlumpf</t>
  </si>
  <si>
    <t>Lauren Schmetterling</t>
  </si>
  <si>
    <t>Lisa Schmidla</t>
  </si>
  <si>
    <t>Paloma Schmidt Gutirrez</t>
  </si>
  <si>
    <t>Sophie Diana Schmidt</t>
  </si>
  <si>
    <t>Paulina Schmiedel</t>
  </si>
  <si>
    <t>Anna Karolna Schmiedlov</t>
  </si>
  <si>
    <t>Allison Rodgers Schmitt</t>
  </si>
  <si>
    <t>Karin Schnaase</t>
  </si>
  <si>
    <t>Dorothee Schneider (-Krumhoff)</t>
  </si>
  <si>
    <t>Lena Schneborn</t>
  </si>
  <si>
    <t>Myrthe Schoot</t>
  </si>
  <si>
    <t>Olivia Alma Charlotta Schough</t>
  </si>
  <si>
    <t>Anne Schrder</t>
  </si>
  <si>
    <t>Beate Schrott</t>
  </si>
  <si>
    <t>Almuth Schult</t>
  </si>
  <si>
    <t>Jodie Lauren Schulz-Kenny</t>
  </si>
  <si>
    <t>Yvonne Schuring</t>
  </si>
  <si>
    <t>Lisa Schtze</t>
  </si>
  <si>
    <t>Christina Schwanitz</t>
  </si>
  <si>
    <t>Viktoria "Vicki" Schwarz</t>
  </si>
  <si>
    <t>Desiree Rose Marie Scott</t>
  </si>
  <si>
    <t>Dominique Scott</t>
  </si>
  <si>
    <t>Emily Scott</t>
  </si>
  <si>
    <t>Sharolyn Shantell Scott Norman</t>
  </si>
  <si>
    <t>Rebecca Scown</t>
  </si>
  <si>
    <t>Helena Scutt</t>
  </si>
  <si>
    <t>Katy Sealy</t>
  </si>
  <si>
    <t>Julia Sebastin</t>
  </si>
  <si>
    <t>Dalma Sebestyn</t>
  </si>
  <si>
    <t>Golnoush Sebghatollahi</t>
  </si>
  <si>
    <t>Andrea Seccafien</t>
  </si>
  <si>
    <t>Naomi Sedney</t>
  </si>
  <si>
    <t>Anna Sergeyevna Sedoykina</t>
  </si>
  <si>
    <t>Emily Jane Seebohm</t>
  </si>
  <si>
    <t>Barbora Seemanov</t>
  </si>
  <si>
    <t>Janja egel</t>
  </si>
  <si>
    <t>Sara Caroline Seger</t>
  </si>
  <si>
    <t>Laraba Gnon Cessy Seibou</t>
  </si>
  <si>
    <t>Melissa Seidemann</t>
  </si>
  <si>
    <t>Debora Louise Seilhamer Anadon</t>
  </si>
  <si>
    <t>Elisabeth Seitz</t>
  </si>
  <si>
    <t>Hanami Sekine</t>
  </si>
  <si>
    <t>Maria Selmaier</t>
  </si>
  <si>
    <t>Erika Seltenreich-Hodgson</t>
  </si>
  <si>
    <t>Linda Birgitta Sembrant</t>
  </si>
  <si>
    <t>Mokgadi Caster Semenya</t>
  </si>
  <si>
    <t>Dara Semonowa</t>
  </si>
  <si>
    <t>Anna Sergeyevna Sen</t>
  </si>
  <si>
    <t>Zinaida Sendrit</t>
  </si>
  <si>
    <t>Amy Sne</t>
  </si>
  <si>
    <t>Olqa Senyuk</t>
  </si>
  <si>
    <t>Tilbe enyrek</t>
  </si>
  <si>
    <t>Seo Ji-Yeon</t>
  </si>
  <si>
    <t>Seo Jung-Eun</t>
  </si>
  <si>
    <t>Seong Ji-Hyeon</t>
  </si>
  <si>
    <t>Jermaine Seoposenwe</t>
  </si>
  <si>
    <t>Anna Maria Sepp</t>
  </si>
  <si>
    <t>Hanna-Maria Seppl</t>
  </si>
  <si>
    <t>Sandra Milena Seplveda Lopera</t>
  </si>
  <si>
    <t>Xiang Wei "Jasmine" Ser</t>
  </si>
  <si>
    <t>Ieva Serapinait</t>
  </si>
  <si>
    <t>Anastasiya Serdyukova</t>
  </si>
  <si>
    <t>Giulia Sergas</t>
  </si>
  <si>
    <t>Olga Aleksandrovna Sergeyenko-Sudareva</t>
  </si>
  <si>
    <t>Nataliya Olegovna Sergeyeva</t>
  </si>
  <si>
    <t>Dawit Seyaum Biratu</t>
  </si>
  <si>
    <t>Pedrya Seymour</t>
  </si>
  <si>
    <t>Tanya Karen Seymour</t>
  </si>
  <si>
    <t>Sara Sgarzi</t>
  </si>
  <si>
    <t>Neda Shahsavari</t>
  </si>
  <si>
    <t>Mona Shaito</t>
  </si>
  <si>
    <t>Aminath Shajan</t>
  </si>
  <si>
    <t>Dariga Shakimova</t>
  </si>
  <si>
    <t>Albina Ildusovna Shakirova</t>
  </si>
  <si>
    <t>Kristen Shaldybin</t>
  </si>
  <si>
    <t>Xiaona Shan</t>
  </si>
  <si>
    <t>Aida Vladimirovna Shanayeva</t>
  </si>
  <si>
    <t>Shang Chunsong</t>
  </si>
  <si>
    <t>Shang Rong</t>
  </si>
  <si>
    <t>Shao Jieni</t>
  </si>
  <si>
    <t>Shao Ting</t>
  </si>
  <si>
    <t>Tatyana Valeryevna Sharakova</t>
  </si>
  <si>
    <t>Kathleen Sharkey</t>
  </si>
  <si>
    <t>Kayla Marie Sharland-Whitelock</t>
  </si>
  <si>
    <t>Amaliya Sharoyan</t>
  </si>
  <si>
    <t>Alena Sharp</t>
  </si>
  <si>
    <t>Lynsey Sharp</t>
  </si>
  <si>
    <t>Mariya Yurivna Shatalova</t>
  </si>
  <si>
    <t>Bryony Elisabeth Shaw</t>
  </si>
  <si>
    <t>Yana Valeryevna Shcherban</t>
  </si>
  <si>
    <t>Racquel Sheath</t>
  </si>
  <si>
    <t>Cristina Sheehan</t>
  </si>
  <si>
    <t>Enkelejda Shehu (-Xhakaj, -Bekurti)</t>
  </si>
  <si>
    <t>Sheilla Tavares de Castro Blassioli</t>
  </si>
  <si>
    <t>Zhayna Shekerbekova</t>
  </si>
  <si>
    <t>Yana Volodymyrivna Shemiakina</t>
  </si>
  <si>
    <t>Shen Chen</t>
  </si>
  <si>
    <t>Shen Duo</t>
  </si>
  <si>
    <t>Yanfei Shen Zhang</t>
  </si>
  <si>
    <t>Shi Jinglin</t>
  </si>
  <si>
    <t>Shi Tingmao</t>
  </si>
  <si>
    <t>Akane Shibata</t>
  </si>
  <si>
    <t>Claressa Maria Shields</t>
  </si>
  <si>
    <t>Zohar Hen Shikler</t>
  </si>
  <si>
    <t>Haruyo Shimamura</t>
  </si>
  <si>
    <t>Minami Shimizu</t>
  </si>
  <si>
    <t>Pilar Shimizu</t>
  </si>
  <si>
    <t>Sakiko Shimizu</t>
  </si>
  <si>
    <t>Shin Seung-Chan</t>
  </si>
  <si>
    <t>Alla Anatolyevna Shishkina</t>
  </si>
  <si>
    <t>Oksana Yurivna Shkurat</t>
  </si>
  <si>
    <t>Darya Mikhaylovna Shmelyova</t>
  </si>
  <si>
    <t>Mariya Sergeyevna Shorets</t>
  </si>
  <si>
    <t>Shu Siyao</t>
  </si>
  <si>
    <t>Liubov Valerivna Shulika</t>
  </si>
  <si>
    <t>Mariya Vladimirovna Shurochkina</t>
  </si>
  <si>
    <t>Lyubov Andreyevna Shutova</t>
  </si>
  <si>
    <t>Yaroslava Vyacheslavovna Shvedova</t>
  </si>
  <si>
    <t>Si Yajie</t>
  </si>
  <si>
    <t>Lidiya Yurivna Sichenikova</t>
  </si>
  <si>
    <t>Silvia Sicouri</t>
  </si>
  <si>
    <t>Heena Sidhu</t>
  </si>
  <si>
    <t>Fadwa Sidi Madane</t>
  </si>
  <si>
    <t>Keren Michaela Siebner</t>
  </si>
  <si>
    <t>Laura Natalie Siegemund</t>
  </si>
  <si>
    <t>Maja Siegenthaler</t>
  </si>
  <si>
    <t>Arlenis Sierra Caadilla</t>
  </si>
  <si>
    <t>Nicole Sifuentes (Edwards-)</t>
  </si>
  <si>
    <t>Clemilda Fernandes Silva</t>
  </si>
  <si>
    <t>Joice Souza da Silva</t>
  </si>
  <si>
    <t>Lia Henrique da Silva Nicolosi</t>
  </si>
  <si>
    <t>Mariana dos Santos Silva</t>
  </si>
  <si>
    <t>Rafaela Lopes Silva</t>
  </si>
  <si>
    <t>Yadira Silva Llorente</t>
  </si>
  <si>
    <t>Yarisley Silva Rodrguez</t>
  </si>
  <si>
    <t>Sim Hae-In</t>
  </si>
  <si>
    <t>Anastasiya Dmitriyevna Simanovich</t>
  </si>
  <si>
    <t>Amanda Netto Simeo</t>
  </si>
  <si>
    <t>Ana imi</t>
  </si>
  <si>
    <t>Mateja imic</t>
  </si>
  <si>
    <t>Georgia Simmerling</t>
  </si>
  <si>
    <t>Kerry Simmonds</t>
  </si>
  <si>
    <t>Megan Simmonds</t>
  </si>
  <si>
    <t>Ashleigh Ann Simon</t>
  </si>
  <si>
    <t>Kyah Pam Simon</t>
  </si>
  <si>
    <t>Rebeka "Rebii" Simon</t>
  </si>
  <si>
    <t>Jacqueline Simoneau</t>
  </si>
  <si>
    <t>Katarina Saa Simonovi</t>
  </si>
  <si>
    <t>Sin A-Lam</t>
  </si>
  <si>
    <t>Christine Margaret Sinclair</t>
  </si>
  <si>
    <t>Kenia Marsha Sinclair</t>
  </si>
  <si>
    <t>Pusarla Venkata "P. V." Sindhu</t>
  </si>
  <si>
    <t>Iris Silva Tang Sing</t>
  </si>
  <si>
    <t>Gaurika Singh</t>
  </si>
  <si>
    <t>Sudha Singh</t>
  </si>
  <si>
    <t>Nataliya Siniin</t>
  </si>
  <si>
    <t>Alice Sinno</t>
  </si>
  <si>
    <t>Pimsiri Sirikaew</t>
  </si>
  <si>
    <t>Sarah Frederica Sjstrm</t>
  </si>
  <si>
    <t>Tina Re Skaar</t>
  </si>
  <si>
    <t>Angeliki "Gelly" Skarlatou</t>
  </si>
  <si>
    <t>Marianne Skarpnord</t>
  </si>
  <si>
    <t>Anna Skidan</t>
  </si>
  <si>
    <t>Catherine Skinner</t>
  </si>
  <si>
    <t>Sofie Natalie Skoog</t>
  </si>
  <si>
    <t>Galle Skrela</t>
  </si>
  <si>
    <t>Darya Sergeyevna Skrypnik</t>
  </si>
  <si>
    <t>Agnieszka Skrzypulec</t>
  </si>
  <si>
    <t>Kathryn Slattery</t>
  </si>
  <si>
    <t>Lonneke Sletjes</t>
  </si>
  <si>
    <t>Sara Slott-Bruun Petersen</t>
  </si>
  <si>
    <t>Markta Slukov</t>
  </si>
  <si>
    <t>Leandra Wiloma Smeda</t>
  </si>
  <si>
    <t>Martine Smeets</t>
  </si>
  <si>
    <t>Anabelle Smith</t>
  </si>
  <si>
    <t>Carrie Smith</t>
  </si>
  <si>
    <t>Emily Smith</t>
  </si>
  <si>
    <t>Kelsey Smith</t>
  </si>
  <si>
    <t>Kierra Smith</t>
  </si>
  <si>
    <t>Lauren Smith</t>
  </si>
  <si>
    <t>Leah Smith</t>
  </si>
  <si>
    <t>Kimberly Ann "Kim" Smith-Gaucher</t>
  </si>
  <si>
    <t>Olivia Smoliga</t>
  </si>
  <si>
    <t>Irina Smolnikova</t>
  </si>
  <si>
    <t>Laura Smulders</t>
  </si>
  <si>
    <t>Nekoda Anitia K. Smythe-Davis</t>
  </si>
  <si>
    <t>Danick Snelder</t>
  </si>
  <si>
    <t>Katelin Snyder (-Guregian)</t>
  </si>
  <si>
    <t>Yekaterina Andreyevna Snytina</t>
  </si>
  <si>
    <t>Nbia Aparecida Soares</t>
  </si>
  <si>
    <t>Yelena Soboleva (Novogrodskaya-)</t>
  </si>
  <si>
    <t>Yevgeniya Viktorovna Soboleva-Khokhriakova</t>
  </si>
  <si>
    <t>Manuela Soccol</t>
  </si>
  <si>
    <t>Aleksandra Anna Socha (-Szelagowski)</t>
  </si>
  <si>
    <t>Minhal Sohail</t>
  </si>
  <si>
    <t>Sol Kyong</t>
  </si>
  <si>
    <t>Sanna Charlotte Solberg</t>
  </si>
  <si>
    <t>Leydi Yesenia Sols Arboleda</t>
  </si>
  <si>
    <t>Petrissa Solja</t>
  </si>
  <si>
    <t>Hope Amelia Solo (-Stevens)</t>
  </si>
  <si>
    <t>Hanna Mykolavna Solovei</t>
  </si>
  <si>
    <t>Joyce Sombroek</t>
  </si>
  <si>
    <t>Son Yeon-Jae</t>
  </si>
  <si>
    <t>Son Young-Hee</t>
  </si>
  <si>
    <t>Song Donglun</t>
  </si>
  <si>
    <t>Song Hai-Rim</t>
  </si>
  <si>
    <t>Song Qingling</t>
  </si>
  <si>
    <t>Jannah Sonnenschein</t>
  </si>
  <si>
    <t>Sorn Seavmey</t>
  </si>
  <si>
    <t>Tetiana Heorhivna Sorochynska-Bilenko</t>
  </si>
  <si>
    <t>Soronzonboldyn Battsetseg</t>
  </si>
  <si>
    <t>Emilce Sosa</t>
  </si>
  <si>
    <t>Alice Sotero</t>
  </si>
  <si>
    <t>Nercelys Desire Soto Soto</t>
  </si>
  <si>
    <t>Joelma das Neves Sousa</t>
  </si>
  <si>
    <t>Ashleigh "Ash" Southern</t>
  </si>
  <si>
    <t>Anna Sarah "Sophie" Souwer</t>
  </si>
  <si>
    <t>Yanet Ursula Sovero Nio</t>
  </si>
  <si>
    <t>Mariama Djould Sow</t>
  </si>
  <si>
    <t>Maria Enrica Spacca</t>
  </si>
  <si>
    <t>Ivana panovi</t>
  </si>
  <si>
    <t>Anastasiya Yurivna Spas</t>
  </si>
  <si>
    <t>Ruth Sophia Spelmeyer</t>
  </si>
  <si>
    <t>Ashley Spencer</t>
  </si>
  <si>
    <t>Levern Donaline Spencer</t>
  </si>
  <si>
    <t>Klra Spilkov</t>
  </si>
  <si>
    <t>Vanessa Chefer Spnola</t>
  </si>
  <si>
    <t>Darya Sergeyevna Spiridonova</t>
  </si>
  <si>
    <t>Nicola Spirig Hug</t>
  </si>
  <si>
    <t>Sabine Spitz</t>
  </si>
  <si>
    <t>Barbora potkov</t>
  </si>
  <si>
    <t>Amanda Spratt</t>
  </si>
  <si>
    <t>Maria Springwald</t>
  </si>
  <si>
    <t>Annika Sprink</t>
  </si>
  <si>
    <t>Ellen Sprunger</t>
  </si>
  <si>
    <t>Janika Sprunger</t>
  </si>
  <si>
    <t>La Sprunger</t>
  </si>
  <si>
    <t>Sukanya Srisurat</t>
  </si>
  <si>
    <t>Fabienne Aline St Louis</t>
  </si>
  <si>
    <t>Khalifa St. Fort</t>
  </si>
  <si>
    <t>Amber Rose Kelsey Stackpole</t>
  </si>
  <si>
    <t>Alina V'iachelsavivna Stadnik (Makhynia-)</t>
  </si>
  <si>
    <t>Mariya Stadnik</t>
  </si>
  <si>
    <t>Gabriela Stafford</t>
  </si>
  <si>
    <t>Linda Stahl</t>
  </si>
  <si>
    <t>Esther Stam</t>
  </si>
  <si>
    <t>Debby Stam-Pilon</t>
  </si>
  <si>
    <t>Non Rhiannydd Stanford</t>
  </si>
  <si>
    <t>Svitlana Oleksandrivna Stanko (Klymenko-)</t>
  </si>
  <si>
    <t>Dragana Stankovi</t>
  </si>
  <si>
    <t>Heather Mary Stanning</t>
  </si>
  <si>
    <t>Melitina Dmitriyevna Stanyuta</t>
  </si>
  <si>
    <t>Charlotte Stapenhorst</t>
  </si>
  <si>
    <t>Agnieszka Staro-Nagay</t>
  </si>
  <si>
    <t>Milica Starovi</t>
  </si>
  <si>
    <t>Anastasiya Nikolayevna Starovoytova-Ivanova</t>
  </si>
  <si>
    <t>Julia Stavickaja</t>
  </si>
  <si>
    <t>Ashley Steacy</t>
  </si>
  <si>
    <t>Heather Steacy</t>
  </si>
  <si>
    <t>Marrit Steenbergen</t>
  </si>
  <si>
    <t>Quinta Steenbergen</t>
  </si>
  <si>
    <t>Claudia Nicoleta tef (Iovan-)</t>
  </si>
  <si>
    <t>Aikaterini "Ekaterini" Stefanidi</t>
  </si>
  <si>
    <t>Margaret Ann "Maggie" Steffens</t>
  </si>
  <si>
    <t>Jrdis Steinegger</t>
  </si>
  <si>
    <t>Giulia Steingruber</t>
  </si>
  <si>
    <t>Marlene Steinherr</t>
  </si>
  <si>
    <t>Hilary Stellingwerff (Edmondson-)</t>
  </si>
  <si>
    <t>Linnea Stensils</t>
  </si>
  <si>
    <t>Daryna Viktorivna "Dar'ia" Stepaniuk</t>
  </si>
  <si>
    <t>Inna Yakovlevna Stepanova</t>
  </si>
  <si>
    <t>Kira Valeryevna Stepanova</t>
  </si>
  <si>
    <t>Lucy Stephan</t>
  </si>
  <si>
    <t>Richelle Stephens</t>
  </si>
  <si>
    <t>Sloane Stephens</t>
  </si>
  <si>
    <t>Jovana Stevanovi</t>
  </si>
  <si>
    <t>Deajah Stevens</t>
  </si>
  <si>
    <t>Evelyn Lee Stevens (-Baker)</t>
  </si>
  <si>
    <t>Zoe Stevenson</t>
  </si>
  <si>
    <t>Breanna Mackenzie Stewart</t>
  </si>
  <si>
    <t>Grace Stewart</t>
  </si>
  <si>
    <t>Sarah Steyaert</t>
  </si>
  <si>
    <t>Gudrun Stock</t>
  </si>
  <si>
    <t>Ashley Stoddart</t>
  </si>
  <si>
    <t>Gabriela Stoeva</t>
  </si>
  <si>
    <t>Stefani Stoeva</t>
  </si>
  <si>
    <t>Aurelia Stoica-Brdeanu</t>
  </si>
  <si>
    <t>Femke Stoltenborg</t>
  </si>
  <si>
    <t>Genevra "Gevvie" Stone</t>
  </si>
  <si>
    <t>Signe Marie Fidje Store</t>
  </si>
  <si>
    <t>Samantha Jane Stosur</t>
  </si>
  <si>
    <t>Rebekah Ashley Stott</t>
  </si>
  <si>
    <t>Anthonique Strachan</t>
  </si>
  <si>
    <t>Valeria Straneo</t>
  </si>
  <si>
    <t>Brooke Stratton</t>
  </si>
  <si>
    <t>Nataliya Yevhenivna Strohova</t>
  </si>
  <si>
    <t>Carin Strmberg</t>
  </si>
  <si>
    <t>Ioana Strungaru (Crciun-)</t>
  </si>
  <si>
    <t>Martina Strutz</t>
  </si>
  <si>
    <t>Barbora Strcov (-Zhlavov)</t>
  </si>
  <si>
    <t>Jennifer "Jenn" Stuczynski-Suhr</t>
  </si>
  <si>
    <t>Ronja Fini Sturm</t>
  </si>
  <si>
    <t>Khrystyna Petrivna Stuy</t>
  </si>
  <si>
    <t>Su Xinyue</t>
  </si>
  <si>
    <t>Carla Surez Navarro</t>
  </si>
  <si>
    <t>Jamie Chen Subandhi</t>
  </si>
  <si>
    <t>Nora Subschinski</t>
  </si>
  <si>
    <t>Mara Beln Succi</t>
  </si>
  <si>
    <t>Marina Vladimirovna Sudakova (Yartseva-)</t>
  </si>
  <si>
    <t>Aiko Sugihara</t>
  </si>
  <si>
    <t>Sayuri Sugimoto</t>
  </si>
  <si>
    <t>Suh Hyo-Won</t>
  </si>
  <si>
    <t>Diana Sujew</t>
  </si>
  <si>
    <t>Monique Sullivan</t>
  </si>
  <si>
    <t>Faye Sultan Hussain</t>
  </si>
  <si>
    <t>Eunice Jepkoech Sum</t>
  </si>
  <si>
    <t>Jemima Jelagat Sumgong</t>
  </si>
  <si>
    <t>Laura Ann Summerton-Hodges</t>
  </si>
  <si>
    <t>Sun Meichen</t>
  </si>
  <si>
    <t>Sun Mengran</t>
  </si>
  <si>
    <t>Sun Mengxin</t>
  </si>
  <si>
    <t>Sun Wenyan</t>
  </si>
  <si>
    <t>Sun Xiao</t>
  </si>
  <si>
    <t>Sun Yanan</t>
  </si>
  <si>
    <t>Sun Yating</t>
  </si>
  <si>
    <t>Sun Yiwen</t>
  </si>
  <si>
    <t>Sun Yujie</t>
  </si>
  <si>
    <t>Puttita Supajirakul</t>
  </si>
  <si>
    <t>Dimitriana Surdu</t>
  </si>
  <si>
    <t>Debby Susanto</t>
  </si>
  <si>
    <t>Tina utej</t>
  </si>
  <si>
    <t>Charlotte Sutherland</t>
  </si>
  <si>
    <t>Taryn Suttie</t>
  </si>
  <si>
    <t>Ayaka Suzuki</t>
  </si>
  <si>
    <t>Ayuko Suzuki</t>
  </si>
  <si>
    <t>Satomi Suzuki</t>
  </si>
  <si>
    <t>Lucie Svcen</t>
  </si>
  <si>
    <t>Anna Malvina Svennung</t>
  </si>
  <si>
    <t>Elina Mykhailivna Svitolina</t>
  </si>
  <si>
    <t>Isabel Marques Swan</t>
  </si>
  <si>
    <t>Lianna Catherine Swan</t>
  </si>
  <si>
    <t>Polly Ann M. Swann</t>
  </si>
  <si>
    <t>Brooke Sweat (Youngquist-)</t>
  </si>
  <si>
    <t>Kirsten Sweetland</t>
  </si>
  <si>
    <t>Justyna wity</t>
  </si>
  <si>
    <t>Ewa Nikola Swoboda</t>
  </si>
  <si>
    <t>Mame-Marie Sy-Diop</t>
  </si>
  <si>
    <t>Kseniya Volodymyrivna Sydorenko</t>
  </si>
  <si>
    <t>Adla Skorov-Bruns</t>
  </si>
  <si>
    <t>Miriam Fatime Sylla</t>
  </si>
  <si>
    <t>Elmira Anuarbekovna Syzdykova</t>
  </si>
  <si>
    <t>Barbara Szab</t>
  </si>
  <si>
    <t>Gabriella Timea Szab</t>
  </si>
  <si>
    <t>Tnde Szab</t>
  </si>
  <si>
    <t>Emese Judit Szsz</t>
  </si>
  <si>
    <t>Sze Hang Yu</t>
  </si>
  <si>
    <t>Lilina Szilgyi</t>
  </si>
  <si>
    <t>Matylda Szlzak-Kowal</t>
  </si>
  <si>
    <t>Bernadette-Cynthia Szcs</t>
  </si>
  <si>
    <t>Szandra Szgedi</t>
  </si>
  <si>
    <t>Anna Sztankovics</t>
  </si>
  <si>
    <t>Gabriella Szcs</t>
  </si>
  <si>
    <t>Gabriella Ibolya Szcs</t>
  </si>
  <si>
    <t>Agnieszka Szwarng</t>
  </si>
  <si>
    <t>T  Thanh Huyn</t>
  </si>
  <si>
    <t>Marie-Jose Ta Lou</t>
  </si>
  <si>
    <t>Mary Joy Tabal</t>
  </si>
  <si>
    <t>Chiara Tabani</t>
  </si>
  <si>
    <t>Haruka Tachimoto</t>
  </si>
  <si>
    <t>Patricia Nooroa "Pat" Taea</t>
  </si>
  <si>
    <t>Sapsiree Taerattanachai</t>
  </si>
  <si>
    <t>Tai Tzu-Ying</t>
  </si>
  <si>
    <t>Jlia Takcs Nyerges</t>
  </si>
  <si>
    <t>Orsolya Takcs</t>
  </si>
  <si>
    <t>Maki Takada</t>
  </si>
  <si>
    <t>Tammy Galera Takagi</t>
  </si>
  <si>
    <t>Ayaka Takahashi</t>
  </si>
  <si>
    <t>Bruna Takahashi</t>
  </si>
  <si>
    <t>Miho Takahashi</t>
  </si>
  <si>
    <t>Anju Takamizawa</t>
  </si>
  <si>
    <t>Sena Takano</t>
  </si>
  <si>
    <t>Yuka Takashima</t>
  </si>
  <si>
    <t>Reiko Takeda</t>
  </si>
  <si>
    <t>Aya Takeuchi</t>
  </si>
  <si>
    <t>Darya Talanova</t>
  </si>
  <si>
    <t>Alina Gennadyevna Talay</t>
  </si>
  <si>
    <t>Stephanie Talbot</t>
  </si>
  <si>
    <t>Talita Antunes da Rocha</t>
  </si>
  <si>
    <t>Rachel Tallent</t>
  </si>
  <si>
    <t>Tamara Cssia Dias Gomes</t>
  </si>
  <si>
    <t>Noora Tamminen</t>
  </si>
  <si>
    <t>Ktlin Tammiste</t>
  </si>
  <si>
    <t>Timaima "Tima" Tamoi</t>
  </si>
  <si>
    <t>Tan Jiaxin</t>
  </si>
  <si>
    <t>Kelly Tan</t>
  </si>
  <si>
    <t>Lianne Nathanaele Tan</t>
  </si>
  <si>
    <t>Tan Ruyin</t>
  </si>
  <si>
    <t>Li Ching Sara Tan</t>
  </si>
  <si>
    <t>Tan Ya-Ting</t>
  </si>
  <si>
    <t>Tomomi Tanaka</t>
  </si>
  <si>
    <t>Sopita Tanasan</t>
  </si>
  <si>
    <t>Melissa Palma Julie Tancredi</t>
  </si>
  <si>
    <t>Tang Mengni</t>
  </si>
  <si>
    <t>Tang Yi</t>
  </si>
  <si>
    <t>Tang Yuanting</t>
  </si>
  <si>
    <t>Noriko Taniguchi</t>
  </si>
  <si>
    <t>Melissa Tapper</t>
  </si>
  <si>
    <t>Aleksandra Yevgenyevna Tarasova</t>
  </si>
  <si>
    <t>Yuliya Aleksandrovna Tarasova</t>
  </si>
  <si>
    <t>Roser Tarrag Aymerich</t>
  </si>
  <si>
    <t>Flavia Tartaglini</t>
  </si>
  <si>
    <t>Kanami Tashiro</t>
  </si>
  <si>
    <t>Miku Tashiro</t>
  </si>
  <si>
    <t>Karoline Lusitania Tatafu</t>
  </si>
  <si>
    <t>Nur Tatar</t>
  </si>
  <si>
    <t>Anastasiya Alekseyevna Tatareva</t>
  </si>
  <si>
    <t>Tamara T. Tatham</t>
  </si>
  <si>
    <t>Gemma Tattersall</t>
  </si>
  <si>
    <t>Diana Lurena Taurasi</t>
  </si>
  <si>
    <t>Maria Leonor Ribeiro Tavares</t>
  </si>
  <si>
    <t>Alexandra Tavernier</t>
  </si>
  <si>
    <t>Rebecca Tavo</t>
  </si>
  <si>
    <t>Charlotte Louise Taylor</t>
  </si>
  <si>
    <t>Kathleen "Katie" Taylor</t>
  </si>
  <si>
    <t>Penelope Jane "Penny" Taylor (-Gil-)</t>
  </si>
  <si>
    <t>Audrey Tcheumo</t>
  </si>
  <si>
    <t>Alicja Maria Tchrz</t>
  </si>
  <si>
    <t>Christelle Nana Tchoudjang</t>
  </si>
  <si>
    <t>Talita Marie Te Flan</t>
  </si>
  <si>
    <t>Terina Lily Te Tamaki</t>
  </si>
  <si>
    <t>Laura Teani</t>
  </si>
  <si>
    <t>Karen Tebar (Schetter-)</t>
  </si>
  <si>
    <t>Tee Jing Yi</t>
  </si>
  <si>
    <t>Senbere Teferi</t>
  </si>
  <si>
    <t>Frida Tegstedt</t>
  </si>
  <si>
    <t>Janice Gil Teixeira</t>
  </si>
  <si>
    <t>Lara Puglia Teixeira Cianciarulo</t>
  </si>
  <si>
    <t>Gladys Lucy Tejeda Pucuhuaranga</t>
  </si>
  <si>
    <t>Mara Tejerina Mackern</t>
  </si>
  <si>
    <t>Cludia Jaqueline Lopes Teles</t>
  </si>
  <si>
    <t>Mariya Telushkina</t>
  </si>
  <si>
    <t>Tuula Tenkanen</t>
  </si>
  <si>
    <t>ngela Gabriela Tenorio Micolta</t>
  </si>
  <si>
    <t>Teo Shun Xie</t>
  </si>
  <si>
    <t>Asuka Teramoto</t>
  </si>
  <si>
    <t>Miho Teramura</t>
  </si>
  <si>
    <t>Alejandra Tern Eligio</t>
  </si>
  <si>
    <t>Anne Terpstra</t>
  </si>
  <si>
    <t>Amela Terzi</t>
  </si>
  <si>
    <t>Jovana Terzi</t>
  </si>
  <si>
    <t>Jana Teschke</t>
  </si>
  <si>
    <t>Erin Teschuk</t>
  </si>
  <si>
    <t>Irma Testa</t>
  </si>
  <si>
    <t>Ievgenia Tetelbaum</t>
  </si>
  <si>
    <t>Ruby Tew</t>
  </si>
  <si>
    <t>Karitaake Tewaaki</t>
  </si>
  <si>
    <t>Thasa Daher de Menezes</t>
  </si>
  <si>
    <t>Thaisa de Moraes Rosa Morenio</t>
  </si>
  <si>
    <t>Deepika Thakur</t>
  </si>
  <si>
    <t>Natthaya Thanaronnawat</t>
  </si>
  <si>
    <t>Brianne Theisen-Eaton</t>
  </si>
  <si>
    <t>Nafissatou "Nafi" Thiam</t>
  </si>
  <si>
    <t>Oumoul Khairy Thiam</t>
  </si>
  <si>
    <t>Ysaora Jennifer Thibus</t>
  </si>
  <si>
    <t>Annekatrin Thiele</t>
  </si>
  <si>
    <t>Georcy-Stphanie Thiffeault Picard</t>
  </si>
  <si>
    <t>Tsholofelo Thipe (Selemela-)</t>
  </si>
  <si>
    <t>Anuradha Devi Thokchom</t>
  </si>
  <si>
    <t>Danniel Thomas (-Dodd)</t>
  </si>
  <si>
    <t>Karine Thomas</t>
  </si>
  <si>
    <t>Noemie Thomas</t>
  </si>
  <si>
    <t>Reyare Thomas</t>
  </si>
  <si>
    <t>Rose Thomas</t>
  </si>
  <si>
    <t>Shanieka Thomas (-Ricketts)</t>
  </si>
  <si>
    <t>Prarthana Gulabrao Thombare</t>
  </si>
  <si>
    <t>lodie Ginette Thomis</t>
  </si>
  <si>
    <t>Amie Viveca Margaret Thompson</t>
  </si>
  <si>
    <t>Brenessa Thompson</t>
  </si>
  <si>
    <t>Courtney Lynn Thompson</t>
  </si>
  <si>
    <t>Elaine Thompson</t>
  </si>
  <si>
    <t>Alexis "Lexi" Thompson</t>
  </si>
  <si>
    <t>Elizabeth "Liz" Thompson</t>
  </si>
  <si>
    <t>Lesley Allison Thompson-Willie</t>
  </si>
  <si>
    <t>Amalie Ringtved Thomsen</t>
  </si>
  <si>
    <t>Anne Lolk Thomsen</t>
  </si>
  <si>
    <t>Shona Louise Thorburn</t>
  </si>
  <si>
    <t>Victoria Thornley</t>
  </si>
  <si>
    <t>Jessica "Jess" Thornton</t>
  </si>
  <si>
    <t>Micheen Barbara Thornycroft</t>
  </si>
  <si>
    <t>Eythora Elisabet Thorsdottir</t>
  </si>
  <si>
    <t>Virginia "Ginny" Thrasher</t>
  </si>
  <si>
    <t>Brianna Throssell</t>
  </si>
  <si>
    <t>Saskia Tidey</t>
  </si>
  <si>
    <t>Tie Ya Na</t>
  </si>
  <si>
    <t>Askale Tiksa Benti</t>
  </si>
  <si>
    <t>Rebekah Jade Tiler</t>
  </si>
  <si>
    <t>Anna Viktorovna Timofeyeva</t>
  </si>
  <si>
    <t>Yuliya Vladimirovna Timoshinina</t>
  </si>
  <si>
    <t>Lavenia Tinai</t>
  </si>
  <si>
    <t>Amy Tinkler</t>
  </si>
  <si>
    <t>Chloe Tipple</t>
  </si>
  <si>
    <t>Stphanie Tirode</t>
  </si>
  <si>
    <t>Margarita Grigoryevna Tishkevich-Makhneva</t>
  </si>
  <si>
    <t>Luisa Tisolo</t>
  </si>
  <si>
    <t>Hanna Serhivna Titimets</t>
  </si>
  <si>
    <t>Maor Tiyouri</t>
  </si>
  <si>
    <t>Viktoriya Viktorivna Tkachuk</t>
  </si>
  <si>
    <t>Sina Tkaltschewitsch</t>
  </si>
  <si>
    <t>Renta Tobai Sike</t>
  </si>
  <si>
    <t>Paula Claudia Todoran</t>
  </si>
  <si>
    <t>Anastasiya Ihorivna Todorova</t>
  </si>
  <si>
    <t>Hristiana Todorova</t>
  </si>
  <si>
    <t>Ramu Tokashiki</t>
  </si>
  <si>
    <t>Julieta Isabel Toledo Ames</t>
  </si>
  <si>
    <t>Mariya Yuryevna Tolkachova</t>
  </si>
  <si>
    <t>Kati Tolmoff</t>
  </si>
  <si>
    <t>Marianna Tolo</t>
  </si>
  <si>
    <t>Dragana Tomaevi</t>
  </si>
  <si>
    <t>Ellen Tomek</t>
  </si>
  <si>
    <t>Chiaki Tomita</t>
  </si>
  <si>
    <t>Makiko Tomita</t>
  </si>
  <si>
    <t>Natsumi Tomonaga</t>
  </si>
  <si>
    <t>Emma Kate Tonegato</t>
  </si>
  <si>
    <t>Rechael Tonjor</t>
  </si>
  <si>
    <t>Tia-Clair Toomey</t>
  </si>
  <si>
    <t>Gelena Dmitriyevna Topilina</t>
  </si>
  <si>
    <t>Miroslava "Mirka" Topinkov Knapkov</t>
  </si>
  <si>
    <t>Namita Toppo</t>
  </si>
  <si>
    <t>Edwina Tops-Alexander</t>
  </si>
  <si>
    <t>Marina Toribiong</t>
  </si>
  <si>
    <t>Alba Torrens Salom</t>
  </si>
  <si>
    <t>Marestella Torres</t>
  </si>
  <si>
    <t>Dalia Masiel Trrez Zamora</t>
  </si>
  <si>
    <t>Karen Milenka Torrez Guzman</t>
  </si>
  <si>
    <t>Linnea Maria Torstenson</t>
  </si>
  <si>
    <t>Eri Tosaka</t>
  </si>
  <si>
    <t>Buse Tosun</t>
  </si>
  <si>
    <t>Ildik Tth</t>
  </si>
  <si>
    <t>Lois Mae Toulson</t>
  </si>
  <si>
    <t>Oumou Kalsoum Tour</t>
  </si>
  <si>
    <t>Alexandra Touretski</t>
  </si>
  <si>
    <t>Kira Toussaint</t>
  </si>
  <si>
    <t>Susannah Townsend</t>
  </si>
  <si>
    <t>Ristananna Tracey</t>
  </si>
  <si>
    <t>Martyna Trajdos</t>
  </si>
  <si>
    <t>Astou Traor</t>
  </si>
  <si>
    <t>Aya Traor</t>
  </si>
  <si>
    <t>Victoria Travascio</t>
  </si>
  <si>
    <t>Inna Vyacheslavovna Trazhukova</t>
  </si>
  <si>
    <t>Sara Louise Treacy</t>
  </si>
  <si>
    <t>Alyxandria Treasure</t>
  </si>
  <si>
    <t>Jessy Trmoulire</t>
  </si>
  <si>
    <t>Jessica Trengove</t>
  </si>
  <si>
    <t>Yvonne Trevino Hayek</t>
  </si>
  <si>
    <t>Sarah Troel</t>
  </si>
  <si>
    <t>Stina Troest</t>
  </si>
  <si>
    <t>Tatyana Vladimirovna Troina</t>
  </si>
  <si>
    <t>Luisa Trombetti</t>
  </si>
  <si>
    <t>Jennifer Troncy</t>
  </si>
  <si>
    <t>Alessia Trost</t>
  </si>
  <si>
    <t>Laura Rebecca Trott (-Kenny)</t>
  </si>
  <si>
    <t>Tina Trstenjak</t>
  </si>
  <si>
    <t>Valentina Truppa</t>
  </si>
  <si>
    <t>Belinda Kim Trussell</t>
  </si>
  <si>
    <t>Katarzyna Trzopek</t>
  </si>
  <si>
    <t>Deborah Jiahui Tsai</t>
  </si>
  <si>
    <t>Evelyne Tschopp</t>
  </si>
  <si>
    <t>Tse Ying Suet</t>
  </si>
  <si>
    <t>Tsedevsurengiin Mnkhzaya</t>
  </si>
  <si>
    <t>Gudaf Tsegay Desta</t>
  </si>
  <si>
    <t>Tirfi Tsegaye Beyene</t>
  </si>
  <si>
    <t>Tsend-Ayushiin Naranjargal</t>
  </si>
  <si>
    <t>Panagiota Tsinopoulou</t>
  </si>
  <si>
    <t>Arina Aleksandrovna Tsitsilina</t>
  </si>
  <si>
    <t>Tsogbadrakhyn Mnkhzul</t>
  </si>
  <si>
    <t>Sakura Tsukagoshi</t>
  </si>
  <si>
    <t>Ruslana Petrivna Tsykhotska</t>
  </si>
  <si>
    <t>Helen Rebecca Tucker-Jenkins</t>
  </si>
  <si>
    <t>Regine Tugade</t>
  </si>
  <si>
    <t>Ruby Tui</t>
  </si>
  <si>
    <t>Kavita Maheshkumar Tungar (Raut-)</t>
  </si>
  <si>
    <t>Viktoriya Viktorivna Turks</t>
  </si>
  <si>
    <t>Amy Turner</t>
  </si>
  <si>
    <t>Frances "Francie" Turner</t>
  </si>
  <si>
    <t>Nigora Tursunkulova</t>
  </si>
  <si>
    <t>Daiva Tulait</t>
  </si>
  <si>
    <t>Seda Gurgenovna Tutkhalyan</t>
  </si>
  <si>
    <t>Chlo Marianne  Tutton</t>
  </si>
  <si>
    <t>Stephanie April Twell</t>
  </si>
  <si>
    <t>Emma Twigg</t>
  </si>
  <si>
    <t>Georgina Sophie "Georgie" Twigg</t>
  </si>
  <si>
    <t>Aysuluu Tynybekova</t>
  </si>
  <si>
    <t>Anastasiya Tyurina</t>
  </si>
  <si>
    <t>Miki Uchida</t>
  </si>
  <si>
    <t>Yuki Uchiyama</t>
  </si>
  <si>
    <t>Ai Ueda</t>
  </si>
  <si>
    <t>Miyuki Uehara</t>
  </si>
  <si>
    <t>Lorraine Efe Ugen</t>
  </si>
  <si>
    <t>Maria Ugolkova</t>
  </si>
  <si>
    <t>Chierika Ukogu</t>
  </si>
  <si>
    <t>Yevgeniya Nikolayevna Ukolova</t>
  </si>
  <si>
    <t>Mariya Viktorivna Ulitina</t>
  </si>
  <si>
    <t>Olga Vladimirovna Umaraliyeva</t>
  </si>
  <si>
    <t>Mami Umeki</t>
  </si>
  <si>
    <t>Elena Monica Ungureanu</t>
  </si>
  <si>
    <t>Paula-Claudia Ungureanu (Rdulescu-)</t>
  </si>
  <si>
    <t>Lisa Unruh</t>
  </si>
  <si>
    <t>Laura Emma Unsworth</t>
  </si>
  <si>
    <t>Kathrin Unterwurzacher</t>
  </si>
  <si>
    <t>Dilara Uralp</t>
  </si>
  <si>
    <t>Aleksandra Urbaczyk-Olejarczyk</t>
  </si>
  <si>
    <t>Lena Urbaniak</t>
  </si>
  <si>
    <t>Danuta Urbanik</t>
  </si>
  <si>
    <t>Marian Urdabayeva</t>
  </si>
  <si>
    <t>Mara Jos "Marajo" Uribe Durn</t>
  </si>
  <si>
    <t>Yosiry Urrutia Chaverra</t>
  </si>
  <si>
    <t>Viktoriya Volodymyrivna Us</t>
  </si>
  <si>
    <t>Mariam Usman</t>
  </si>
  <si>
    <t>Mara Catalina Usme Pineda</t>
  </si>
  <si>
    <t>Darya Konstantinovna Ustinova</t>
  </si>
  <si>
    <t>Nida Eliz stnda</t>
  </si>
  <si>
    <t>Anna Vladimirovna Ustyukhina</t>
  </si>
  <si>
    <t>Sanni Marja Anniina Utriainen</t>
  </si>
  <si>
    <t>Elsie Uwamahoro</t>
  </si>
  <si>
    <t>Iveta Vacenovsk</t>
  </si>
  <si>
    <t>Lara Vadlau</t>
  </si>
  <si>
    <t>ivil Vaiciukeviit</t>
  </si>
  <si>
    <t>Nanna Vainio</t>
  </si>
  <si>
    <t>Apolonia Vaivai</t>
  </si>
  <si>
    <t>Donna Marie Vakalis</t>
  </si>
  <si>
    <t>Milda Valiukait</t>
  </si>
  <si>
    <t>Mara Fernanda Valds Paris</t>
  </si>
  <si>
    <t>Alejandra Valencia Trujillo</t>
  </si>
  <si>
    <t>Ingrit Lorena Valencia Victoria</t>
  </si>
  <si>
    <t>Ailen Valente</t>
  </si>
  <si>
    <t>Jennifer Valente</t>
  </si>
  <si>
    <t>Lidia Valentn Prez</t>
  </si>
  <si>
    <t>Natalia Cristina Valentn Len</t>
  </si>
  <si>
    <t>Manon Valentino</t>
  </si>
  <si>
    <t>Albane Valenzuela</t>
  </si>
  <si>
    <t>Kristina Valjas</t>
  </si>
  <si>
    <t>Yekaterina Igorevna Valkova</t>
  </si>
  <si>
    <t>Jessica Vall Montero</t>
  </si>
  <si>
    <t>Camila Valle Granados</t>
  </si>
  <si>
    <t>Ubaldina Valoyes Cuesta</t>
  </si>
  <si>
    <t>Silvia Valsecchi</t>
  </si>
  <si>
    <t>Vn Ngc T</t>
  </si>
  <si>
    <t>Philipine van Aanholt</t>
  </si>
  <si>
    <t>Evi Van Acker</t>
  </si>
  <si>
    <t>Naomi Frances van As</t>
  </si>
  <si>
    <t>Merle van Benthem</t>
  </si>
  <si>
    <t>Martina Eva van Berkel</t>
  </si>
  <si>
    <t>Lucy Van Dalen-Oliver</t>
  </si>
  <si>
    <t>Anna van der Breggen</t>
  </si>
  <si>
    <t>Laura van der Heijden</t>
  </si>
  <si>
    <t>Maud van der Meer</t>
  </si>
  <si>
    <t>Nicole van der Velden</t>
  </si>
  <si>
    <t>Jantine van der Vlist</t>
  </si>
  <si>
    <t>Eleonora Maria "Ellen" van Dijk</t>
  </si>
  <si>
    <t>Wianka van Dorp</t>
  </si>
  <si>
    <t>Emily Louise Van Egmond</t>
  </si>
  <si>
    <t>Anicka van Emden</t>
  </si>
  <si>
    <t>Saskia Loretta van Erven Garca</t>
  </si>
  <si>
    <t>Margot van Geffen</t>
  </si>
  <si>
    <t>Cline Henriette van Gerner</t>
  </si>
  <si>
    <t>Sophie Johanna van Gestel</t>
  </si>
  <si>
    <t>Marleen Maria van Iersel (-Ramond)</t>
  </si>
  <si>
    <t>Chantal Jean Van Landeghem</t>
  </si>
  <si>
    <t>Nicky van Leuveren</t>
  </si>
  <si>
    <t>Caia Jaqueline van Maasakker</t>
  </si>
  <si>
    <t>Kitty van Male</t>
  </si>
  <si>
    <t>Sanne van Olphen</t>
  </si>
  <si>
    <t>Vera Dorothea Wilhelmina van Pol</t>
  </si>
  <si>
    <t>Laurine van Riessen</t>
  </si>
  <si>
    <t>Olivia van Rooijen</t>
  </si>
  <si>
    <t>Sharon van Rouwendaal</t>
  </si>
  <si>
    <t>Tessa Johanna van Schagen</t>
  </si>
  <si>
    <t>Caitlin Van Sickle</t>
  </si>
  <si>
    <t>Charline Van Snick</t>
  </si>
  <si>
    <t>Anneloes van Veen</t>
  </si>
  <si>
    <t>Jos van Veen</t>
  </si>
  <si>
    <t>Annemiek Adriana van Vleuten</t>
  </si>
  <si>
    <t>Janine van Wyk</t>
  </si>
  <si>
    <t>Arianna Fritzallen Vanderpool-Wallace</t>
  </si>
  <si>
    <t>Colleen Mullarkey (Colleen Hutchins-) "CoCo" Vandeweghe (-Mullarkey)</t>
  </si>
  <si>
    <t>Margit Vanek</t>
  </si>
  <si>
    <t>Louise Vanhille</t>
  </si>
  <si>
    <t>Elke Vanhoof</t>
  </si>
  <si>
    <t>Birsel Vardarl Demirmen</t>
  </si>
  <si>
    <t>Laura Vargas Koch</t>
  </si>
  <si>
    <t>Eirini Vasileiou</t>
  </si>
  <si>
    <t>Irina Leonidovna Vaskovskaya</t>
  </si>
  <si>
    <t>Jip Vastenburg</t>
  </si>
  <si>
    <t>Shelbi Vaughan</t>
  </si>
  <si>
    <t>Darya Olegovna Vdovina</t>
  </si>
  <si>
    <t>Irene Vecchi</t>
  </si>
  <si>
    <t>Demita Vega de Lille</t>
  </si>
  <si>
    <t>Tamara Vega Arroyos</t>
  </si>
  <si>
    <t>Sabina Veit</t>
  </si>
  <si>
    <t>Lisneidy Ins Veita Crdova</t>
  </si>
  <si>
    <t>Anisha Vekemans</t>
  </si>
  <si>
    <t>Orinica Velsquez Herrera</t>
  </si>
  <si>
    <t>Dana Velkov</t>
  </si>
  <si>
    <t>Jana Velkov</t>
  </si>
  <si>
    <t>Anamari "Ana" Velenek</t>
  </si>
  <si>
    <t>Evagjelia Veli</t>
  </si>
  <si>
    <t>Bobana Velikovi</t>
  </si>
  <si>
    <t>Sofiya Aleksandrovna Velikaya</t>
  </si>
  <si>
    <t>Stefana Veljkovi</t>
  </si>
  <si>
    <t>Juliana Rodrigues Veloso</t>
  </si>
  <si>
    <t>Kauiza Moreira Venncio</t>
  </si>
  <si>
    <t>Liliana da Silva Venncio</t>
  </si>
  <si>
    <t>Shara Marie Venegas Medina</t>
  </si>
  <si>
    <t>Maria Vitalyevna Verchenova (-Balikoeva-)</t>
  </si>
  <si>
    <t>Anastasiya Vladimirovna Veremeyenko</t>
  </si>
  <si>
    <t>Anouk Verg-Dpr</t>
  </si>
  <si>
    <t>Ana Paula Vergutz</t>
  </si>
  <si>
    <t>Sanne Verhagen</t>
  </si>
  <si>
    <t>Marhinde Verkerk</t>
  </si>
  <si>
    <t>Daryna Serhivna Verkhohliad</t>
  </si>
  <si>
    <t>Esmee Vermeulen</t>
  </si>
  <si>
    <t>Evelyn Verraszt</t>
  </si>
  <si>
    <t>Maria Verschoor</t>
  </si>
  <si>
    <t>Katrien Verstuyft</t>
  </si>
  <si>
    <t>Jorinde Verwimp</t>
  </si>
  <si>
    <t>Cynthia Vanessa Vescan</t>
  </si>
  <si>
    <t>Yelena Sergeyevna Vesnina</t>
  </si>
  <si>
    <t>Vera Aleksandrovna Vetrova (Ulyakina-)</t>
  </si>
  <si>
    <t>Anouk Vetter</t>
  </si>
  <si>
    <t>Saily Viart Despaigne</t>
  </si>
  <si>
    <t>Anette Viborg Andreasen</t>
  </si>
  <si>
    <t>Lohaynny Caroline de Oliveira Vicente</t>
  </si>
  <si>
    <t>Ingrid Julieth Vidal Isaza</t>
  </si>
  <si>
    <t>Marcia Theresa Vidiaux Jimnez</t>
  </si>
  <si>
    <t>Josefa Vila Betancourt</t>
  </si>
  <si>
    <t>Nothando Vilakazi</t>
  </si>
  <si>
    <t>Mara Vilas Vidal</t>
  </si>
  <si>
    <t>Sara Vilic</t>
  </si>
  <si>
    <t>Sunette Stella Viljoen</t>
  </si>
  <si>
    <t>Erika Villacija Garca</t>
  </si>
  <si>
    <t>Danielle Villars</t>
  </si>
  <si>
    <t>Ida Engholm Villumsen</t>
  </si>
  <si>
    <t>Linda Melanie Villumsen Serup</t>
  </si>
  <si>
    <t>Julia Catherine Vincent</t>
  </si>
  <si>
    <t>Roberta Vinci</t>
  </si>
  <si>
    <t>Brigita Virbalyt-Dimien</t>
  </si>
  <si>
    <t>Nadine Visser</t>
  </si>
  <si>
    <t>Donata Vitartait</t>
  </si>
  <si>
    <t>Michelle Vittese</t>
  </si>
  <si>
    <t>Patricia Maria Vizitiu</t>
  </si>
  <si>
    <t>Panagiota Vlachaki</t>
  </si>
  <si>
    <t>Neviana Vladinova</t>
  </si>
  <si>
    <t>Blanka Vlai</t>
  </si>
  <si>
    <t>Kristina Vogel</t>
  </si>
  <si>
    <t>Stephanie Vogt</t>
  </si>
  <si>
    <t>Meaghan Volker</t>
  </si>
  <si>
    <t>Ekaterina "Katja" Volkova</t>
  </si>
  <si>
    <t>Dana Whitney Vollmer (-Grant)</t>
  </si>
  <si>
    <t>Anna V'iacheslavivna Voloshyna</t>
  </si>
  <si>
    <t>Gintar Volungeviit-Scheidt</t>
  </si>
  <si>
    <t>Lucina von der Heyde</t>
  </si>
  <si>
    <t>Antje Von Seydlitz-Kurzbach</t>
  </si>
  <si>
    <t>Jane Vongvorachoti</t>
  </si>
  <si>
    <t>Nataliya Vitalyevna Vorobyova</t>
  </si>
  <si>
    <t>Olena Oleksandrivna Voronina</t>
  </si>
  <si>
    <t>Yekaterina Voronina</t>
  </si>
  <si>
    <t>Irina Andreyevna Voronkova</t>
  </si>
  <si>
    <t>Michelle Vorster (Mills-)</t>
  </si>
  <si>
    <t>Marianne Vos</t>
  </si>
  <si>
    <t>Galina Olegovna Voskoboyeva</t>
  </si>
  <si>
    <t>Vasiliki Vougiouka</t>
  </si>
  <si>
    <t>Kristel Vourna</t>
  </si>
  <si>
    <t>Anastasiya Sergeyevna Voynova</t>
  </si>
  <si>
    <t>Tjaa Vozel</t>
  </si>
  <si>
    <t>Anastasiya Romanivna Vozniak</t>
  </si>
  <si>
    <t>Eva Vrabcov-Nvltov</t>
  </si>
  <si>
    <t>Marija Vraji</t>
  </si>
  <si>
    <t>V Th Trang</t>
  </si>
  <si>
    <t>Emilia Alina Vuc</t>
  </si>
  <si>
    <t>Marina Vukevi-Raji</t>
  </si>
  <si>
    <t>Anni Teija Orvokki Vuohijoki</t>
  </si>
  <si>
    <t>Vng Th Huyn</t>
  </si>
  <si>
    <t>Anna Viktorovna Vyakhireva</t>
  </si>
  <si>
    <t>Nataliya Aleksandrovna Vyatkina</t>
  </si>
  <si>
    <t>Laura Waem</t>
  </si>
  <si>
    <t>Lennie Waite</t>
  </si>
  <si>
    <t>Kelsey Wakefield</t>
  </si>
  <si>
    <t>Marta Walczykiewicz</t>
  </si>
  <si>
    <t>Bianca Michaela Walkden</t>
  </si>
  <si>
    <t>Kira Walkenhorst</t>
  </si>
  <si>
    <t>Jessica Samantha "Jess" Walker</t>
  </si>
  <si>
    <t>Angelica Walln</t>
  </si>
  <si>
    <t>Kerri Lee Walsh Jennings</t>
  </si>
  <si>
    <t>Lala Wane</t>
  </si>
  <si>
    <t>Wang Chunyu</t>
  </si>
  <si>
    <t>Wang Fan</t>
  </si>
  <si>
    <t>Iris Wang</t>
  </si>
  <si>
    <t>Wang Lianyuan</t>
  </si>
  <si>
    <t>Wang Mengyu</t>
  </si>
  <si>
    <t>Wang Na</t>
  </si>
  <si>
    <t>Wang Qiang</t>
  </si>
  <si>
    <t>Wang Shanshan</t>
  </si>
  <si>
    <t>Wang Shijia</t>
  </si>
  <si>
    <t>Wang Shuang</t>
  </si>
  <si>
    <t>Wang Xiaoli</t>
  </si>
  <si>
    <t>Wang Xinyan</t>
  </si>
  <si>
    <t>Wang Xueer</t>
  </si>
  <si>
    <t>Wang Yan</t>
  </si>
  <si>
    <t>Wang Yihan</t>
  </si>
  <si>
    <t>Wang Yuwei</t>
  </si>
  <si>
    <t>Wang Zheng</t>
  </si>
  <si>
    <t>Grace Wanjiru Njue</t>
  </si>
  <si>
    <t>Pamela Ware</t>
  </si>
  <si>
    <t>Conny Wamuth</t>
  </si>
  <si>
    <t>Elena Wassen</t>
  </si>
  <si>
    <t>Kanako Watanabe</t>
  </si>
  <si>
    <t>Rio Watari</t>
  </si>
  <si>
    <t>Natasha Watcham-Roy</t>
  </si>
  <si>
    <t>Danielle Sian Waterman</t>
  </si>
  <si>
    <t>Joanne Watmore</t>
  </si>
  <si>
    <t>Heather Miriam Watson</t>
  </si>
  <si>
    <t>Sage Watson</t>
  </si>
  <si>
    <t>Marie Wattel</t>
  </si>
  <si>
    <t>Shelley Marie Watts</t>
  </si>
  <si>
    <t>Hollie Webb</t>
  </si>
  <si>
    <t>Franziska Weber</t>
  </si>
  <si>
    <t>Michelle Weber</t>
  </si>
  <si>
    <t>Petrea Webster</t>
  </si>
  <si>
    <t>Rowena "Rowie" Webster</t>
  </si>
  <si>
    <t>Crystal Brittany Weekes Gonzlez</t>
  </si>
  <si>
    <t>Alexis "Lexi" Weeks</t>
  </si>
  <si>
    <t>Jarimit Leonor Weffer Guanipa</t>
  </si>
  <si>
    <t>Wei Meng</t>
  </si>
  <si>
    <t>Wei Ning</t>
  </si>
  <si>
    <t>Wei Qiuyue</t>
  </si>
  <si>
    <t>Wei Yongli</t>
  </si>
  <si>
    <t>Laura Elizabeth Weightman</t>
  </si>
  <si>
    <t>Lisa Jane Weightman</t>
  </si>
  <si>
    <t>Amanda Jo Weir (-Davis)</t>
  </si>
  <si>
    <t>Abbey Weitzeil</t>
  </si>
  <si>
    <t>Eloise Wellings (Poppet-)</t>
  </si>
  <si>
    <t>Miriam Welte</t>
  </si>
  <si>
    <t>Lidewij Marsia Maria Welten</t>
  </si>
  <si>
    <t>Alexandra Nathalie Wenk</t>
  </si>
  <si>
    <t>Jennifer Wenth</t>
  </si>
  <si>
    <t>Maria Carolina Werner</t>
  </si>
  <si>
    <t>Isabelle Regina Werth</t>
  </si>
  <si>
    <t>Alexandra Valerie "Alex" Wester</t>
  </si>
  <si>
    <t>Tess Wester</t>
  </si>
  <si>
    <t>Malin Westerheim</t>
  </si>
  <si>
    <t>Lieke Wevers</t>
  </si>
  <si>
    <t>Sanne Wevers</t>
  </si>
  <si>
    <t>Lindsay Marie Whalen</t>
  </si>
  <si>
    <t>Nicola White</t>
  </si>
  <si>
    <t>Rosemary Eleanor Florence "Rosie" White</t>
  </si>
  <si>
    <t>Tara Alice Whitten</t>
  </si>
  <si>
    <t>Laura Whittle (Kenney-)</t>
  </si>
  <si>
    <t>Angela Patricia Whyte</t>
  </si>
  <si>
    <t>Yanina Wickmayer</t>
  </si>
  <si>
    <t>Erica Elizabeth Wiebe</t>
  </si>
  <si>
    <t>Anna Wierzbowska</t>
  </si>
  <si>
    <t>Maria Wierzbowska</t>
  </si>
  <si>
    <t>Agnieszka Jadwiga Wieszczek-Kordus</t>
  </si>
  <si>
    <t>Krista Ursula Wikstrm (Tuutti-)</t>
  </si>
  <si>
    <t>Kirsten Carlijn Wild</t>
  </si>
  <si>
    <t>Tinne Eva Caroline Wilhelmsson-Silfvn</t>
  </si>
  <si>
    <t>Katarzyna Maria Wilk</t>
  </si>
  <si>
    <t>Hannah Lilian Wilkinson</t>
  </si>
  <si>
    <t>Lauren Wilkinson</t>
  </si>
  <si>
    <t>Rhian Emilie Wilkinson</t>
  </si>
  <si>
    <t>Charity Williams</t>
  </si>
  <si>
    <t>Chrishuna Williams</t>
  </si>
  <si>
    <t>Christania Williams</t>
  </si>
  <si>
    <t>Jodie Alicia Williams</t>
  </si>
  <si>
    <t>Kendell Williams</t>
  </si>
  <si>
    <t>Kimberly "Kimmie" Williams</t>
  </si>
  <si>
    <t>Lydia Grace Yilkari Williams</t>
  </si>
  <si>
    <t>Mariah Williams</t>
  </si>
  <si>
    <t>Michelle Williams (-Toro)</t>
  </si>
  <si>
    <t>Niall Williams</t>
  </si>
  <si>
    <t>Serena Jamika Williams</t>
  </si>
  <si>
    <t>Sharni Williams</t>
  </si>
  <si>
    <t>Shermaine Williams</t>
  </si>
  <si>
    <t>Tameka Williams</t>
  </si>
  <si>
    <t>Toni-Ann Natasha Williams</t>
  </si>
  <si>
    <t>Venus Ebony Starr Williams</t>
  </si>
  <si>
    <t>Novlene Hilaire Williams-Mills</t>
  </si>
  <si>
    <t>Aimee Willmott</t>
  </si>
  <si>
    <t>Aje Wilson</t>
  </si>
  <si>
    <t>Madison "Madi" Wilson</t>
  </si>
  <si>
    <t>Melanie Kate Wilson</t>
  </si>
  <si>
    <t>Nickiesha Wilson</t>
  </si>
  <si>
    <t>Amy Alexandra Wilson-Hardy</t>
  </si>
  <si>
    <t>Charlotte Wingfield</t>
  </si>
  <si>
    <t>Jenly Tego Wini</t>
  </si>
  <si>
    <t>Toea Wisil</t>
  </si>
  <si>
    <t>Jill Witmer</t>
  </si>
  <si>
    <t>Anita Wodarczyk</t>
  </si>
  <si>
    <t>Maja Martyna Woszczowska</t>
  </si>
  <si>
    <t>Natasha Wodak</t>
  </si>
  <si>
    <t>Charlene Woitha</t>
  </si>
  <si>
    <t>Ewelina Wojnarowska</t>
  </si>
  <si>
    <t>Christine Wolf</t>
  </si>
  <si>
    <t>Cecilia Wollmann</t>
  </si>
  <si>
    <t>Wong Isheau</t>
  </si>
  <si>
    <t>Panipak Wongpattanakit</t>
  </si>
  <si>
    <t>Rose-Kaying Woo</t>
  </si>
  <si>
    <t>Portia Woodman</t>
  </si>
  <si>
    <t>Chloe Woodruff</t>
  </si>
  <si>
    <t>Woon Khe Wei</t>
  </si>
  <si>
    <t>Beatrix "Trixi" Worrack</t>
  </si>
  <si>
    <t>Kelsi Worrell</t>
  </si>
  <si>
    <t>Caroline Wozniacki</t>
  </si>
  <si>
    <t>Dagmara Wozniak (Woniak-)</t>
  </si>
  <si>
    <t>Wu Chia-Ying</t>
  </si>
  <si>
    <t>Wu Di</t>
  </si>
  <si>
    <t>Wu Haiyan</t>
  </si>
  <si>
    <t>Yue "Jennifer" Wu</t>
  </si>
  <si>
    <t>Wu Jiaxin</t>
  </si>
  <si>
    <t>Wu Jingyu</t>
  </si>
  <si>
    <t>Melissa Paige Wu</t>
  </si>
  <si>
    <t>Wu Minxia</t>
  </si>
  <si>
    <t>Wu Qiong</t>
  </si>
  <si>
    <t>Wu Seon-Hui</t>
  </si>
  <si>
    <t>Wu Shuijiao</t>
  </si>
  <si>
    <t>Patrycja Wyciszkiewicz</t>
  </si>
  <si>
    <t>Marta Xargay Casademont</t>
  </si>
  <si>
    <t>Xiang Yanmei</t>
  </si>
  <si>
    <t>Xin Xin</t>
  </si>
  <si>
    <t>Xiong Dunhan</t>
  </si>
  <si>
    <t>Xu Anqi</t>
  </si>
  <si>
    <t>Xu Lijia</t>
  </si>
  <si>
    <t>Xu Rui</t>
  </si>
  <si>
    <t>Xu Yifan</t>
  </si>
  <si>
    <t>Xu Yunli</t>
  </si>
  <si>
    <t>Isabelle Yacoubou-Dehoui</t>
  </si>
  <si>
    <t>Renuka Yadav</t>
  </si>
  <si>
    <t>Kanae Yagi</t>
  </si>
  <si>
    <t>Irina Gennadyevnya Yakoltsevich (-Zhuk)</t>
  </si>
  <si>
    <t>Yaroslava Ivanovna Yakushina</t>
  </si>
  <si>
    <t>Kirsty Lee Yallop</t>
  </si>
  <si>
    <t>Kanae Yamabe</t>
  </si>
  <si>
    <t>Akane Yamaguchi</t>
  </si>
  <si>
    <t>Mai Yamaguchi</t>
  </si>
  <si>
    <t>Marie Yamaguchi</t>
  </si>
  <si>
    <t>Misaki Yamaguchi</t>
  </si>
  <si>
    <t>Mio Yamanaka</t>
  </si>
  <si>
    <t>Yan Ni</t>
  </si>
  <si>
    <t>Hee-Young "Amy" Yang</t>
  </si>
  <si>
    <t>Yang Fangxu</t>
  </si>
  <si>
    <t>Yang Hae-Un</t>
  </si>
  <si>
    <t>Yang Hyo-Jin</t>
  </si>
  <si>
    <t>Yang Jun</t>
  </si>
  <si>
    <t>Yang Junxia</t>
  </si>
  <si>
    <t>Yang Li</t>
  </si>
  <si>
    <t>Yang Ye</t>
  </si>
  <si>
    <t>Lea Yanitsas</t>
  </si>
  <si>
    <t>Elitsa Atanasova Yankova</t>
  </si>
  <si>
    <t>Olena Oleksandrivna Yanovska</t>
  </si>
  <si>
    <t>Yao Ping</t>
  </si>
  <si>
    <t>Nolie Yarigo</t>
  </si>
  <si>
    <t>Svitlana Mykolavna Yaromka</t>
  </si>
  <si>
    <t>Anastasiya Aleksandrovna Yatsevich</t>
  </si>
  <si>
    <t>Aki Yazawa</t>
  </si>
  <si>
    <t>Roco Ybarra Solaun</t>
  </si>
  <si>
    <t>Ye Shiwen</t>
  </si>
  <si>
    <t>Dorothy Erzsebet "Dori" Yeats</t>
  </si>
  <si>
    <t>Yuliya Andreyevna Yefimova</t>
  </si>
  <si>
    <t>Yana Karapetovna Yegoryan</t>
  </si>
  <si>
    <t>Margarita Yeliseyeva</t>
  </si>
  <si>
    <t>Yuliya Oleksandrivna Yelistratova-Sapunova</t>
  </si>
  <si>
    <t>Tatyana Vladimirova Yerokhina</t>
  </si>
  <si>
    <t>Aynur Yesbergenova</t>
  </si>
  <si>
    <t>Ababel Yeshaneh Birhane</t>
  </si>
  <si>
    <t>Elif Jale Yeilrmak</t>
  </si>
  <si>
    <t>Veronika Anatolyevna Yesipovich</t>
  </si>
  <si>
    <t>Yeum Hye-Seon</t>
  </si>
  <si>
    <t>Yelena Igorevna Yezhova (Kuzmina-)</t>
  </si>
  <si>
    <t>Yi Siling</t>
  </si>
  <si>
    <t>Nevriye Ylmaz</t>
  </si>
  <si>
    <t>Tutya Ylmaz</t>
  </si>
  <si>
    <t>Yin Chengxin</t>
  </si>
  <si>
    <t>Yin Yue "Elizabeth" Yin</t>
  </si>
  <si>
    <t>Yin Junhua</t>
  </si>
  <si>
    <t>Yip Pui Yin</t>
  </si>
  <si>
    <t>Yiu Kit-Ching "Christy"</t>
  </si>
  <si>
    <t>Chisato Yokoo</t>
  </si>
  <si>
    <t>Kiko Yokota</t>
  </si>
  <si>
    <t>Eri Yonamine</t>
  </si>
  <si>
    <t>Pei Lin "Audrey" Yong</t>
  </si>
  <si>
    <t>Yoo Hyun-Ji</t>
  </si>
  <si>
    <t>Yoon Ji-Su</t>
  </si>
  <si>
    <t>Yoon Jin-Hee</t>
  </si>
  <si>
    <t>Yessy Venisia Yosaputra</t>
  </si>
  <si>
    <t>Asami Yoshida</t>
  </si>
  <si>
    <t>Kurumi Yoshida</t>
  </si>
  <si>
    <t>Saori Yoshida</t>
  </si>
  <si>
    <t>Miho Yoshioka</t>
  </si>
  <si>
    <t>Alison Young</t>
  </si>
  <si>
    <t>Katrina Young</t>
  </si>
  <si>
    <t>Kamia Yousufi</t>
  </si>
  <si>
    <t>Yu Ai-Wen</t>
  </si>
  <si>
    <t>Yu Eun-Hui</t>
  </si>
  <si>
    <t>Fu Yu</t>
  </si>
  <si>
    <t>Yu Jingyao</t>
  </si>
  <si>
    <t>Yu Mengyu</t>
  </si>
  <si>
    <t>Yu Qian</t>
  </si>
  <si>
    <t>Yu So-Jeong</t>
  </si>
  <si>
    <t>Yu Song</t>
  </si>
  <si>
    <t>Yu Yang</t>
  </si>
  <si>
    <t>Yuan Qiqi</t>
  </si>
  <si>
    <t>Yuan Xinyue</t>
  </si>
  <si>
    <t>Hazuki Yuda</t>
  </si>
  <si>
    <t>Yue Chao</t>
  </si>
  <si>
    <t>Yue Yuan</t>
  </si>
  <si>
    <t>Dewi Yuliawati</t>
  </si>
  <si>
    <t>Taybe Mustafa Yusein</t>
  </si>
  <si>
    <t>Daryna Oleksivna "Dar'ia" Yushko</t>
  </si>
  <si>
    <t>Grce Zaadi Deuna</t>
  </si>
  <si>
    <t>Olga Sergeyevna Zabelinskaya (Sukhoruchenkova-)</t>
  </si>
  <si>
    <t>Marina Aranha Zablith</t>
  </si>
  <si>
    <t>Irina Aleksandrovna Zabludina</t>
  </si>
  <si>
    <t>Joanna Zachoszcz</t>
  </si>
  <si>
    <t>Shelina Laura Zadorsky</t>
  </si>
  <si>
    <t>Katie Zaferes (Hursey-)</t>
  </si>
  <si>
    <t>Nicola Zagame</t>
  </si>
  <si>
    <t>Anne Zagr</t>
  </si>
  <si>
    <t>Mariel Leigh Zagunis</t>
  </si>
  <si>
    <t>Lisa Zaiser</t>
  </si>
  <si>
    <t>Youssra Zakarani</t>
  </si>
  <si>
    <t>Tanja akelj</t>
  </si>
  <si>
    <t>Vanessa Martina Zambotti Barreto</t>
  </si>
  <si>
    <t>frica Zamorano Sanz</t>
  </si>
  <si>
    <t>Perennes Paulette Ruddy Zang-Milama</t>
  </si>
  <si>
    <t>Ana Zaninovi</t>
  </si>
  <si>
    <t>Lucija Zaninovi</t>
  </si>
  <si>
    <t>Irina Vladimirovna Zaryazhko</t>
  </si>
  <si>
    <t>Barbora Zvadov</t>
  </si>
  <si>
    <t>Alejandra Zavala Vzquez</t>
  </si>
  <si>
    <t>Kotoki Zayasu</t>
  </si>
  <si>
    <t>Carling Zeeman</t>
  </si>
  <si>
    <t>Afrodite Zegers (Kyranakou-)</t>
  </si>
  <si>
    <t>Olha Mykolayivna Zemliak</t>
  </si>
  <si>
    <t>Laura Yihan Zeng</t>
  </si>
  <si>
    <t>Zeng Zhen</t>
  </si>
  <si>
    <t>Silvia Zennaro</t>
  </si>
  <si>
    <t>Rita Zeqiri</t>
  </si>
  <si>
    <t>Linda Zetchiri</t>
  </si>
  <si>
    <t>Daryna Yurivna Zevina</t>
  </si>
  <si>
    <t>Gulzhanat Zhanatbek</t>
  </si>
  <si>
    <t>Zhang Binbin</t>
  </si>
  <si>
    <t>Zhang Changning</t>
  </si>
  <si>
    <t>Zhang Cong</t>
  </si>
  <si>
    <t>Zhang Fengliu</t>
  </si>
  <si>
    <t>Zhang Jing</t>
  </si>
  <si>
    <t>Zhang Jingjing</t>
  </si>
  <si>
    <t>Zhang Jinrong</t>
  </si>
  <si>
    <t>Lily Ann Zhang</t>
  </si>
  <si>
    <t>Zhang Ling</t>
  </si>
  <si>
    <t>Zhang Mengxue</t>
  </si>
  <si>
    <t>Zhang Min</t>
  </si>
  <si>
    <t>Mo Zhang</t>
  </si>
  <si>
    <t>Zhang Rui</t>
  </si>
  <si>
    <t>Ziyu "Sally" Zhang</t>
  </si>
  <si>
    <t>Zhang Shuai</t>
  </si>
  <si>
    <t>Zhang Weiwei</t>
  </si>
  <si>
    <t>Zhang Wenxiu</t>
  </si>
  <si>
    <t>Zhang Xiaonan</t>
  </si>
  <si>
    <t>Zhang Xiaoxue</t>
  </si>
  <si>
    <t>Zhang Xinyan</t>
  </si>
  <si>
    <t>Zhang Xinyu</t>
  </si>
  <si>
    <t>Zhang Xinyue</t>
  </si>
  <si>
    <t>Zhang Yufei</t>
  </si>
  <si>
    <t>Zhang Yuhan</t>
  </si>
  <si>
    <t>Zhang Zhehui</t>
  </si>
  <si>
    <t>Zhao Baofang</t>
  </si>
  <si>
    <t>Zhao Jingnan</t>
  </si>
  <si>
    <t>Zhao Lina</t>
  </si>
  <si>
    <t>Zhao Rong</t>
  </si>
  <si>
    <t>Zhao Yudiao</t>
  </si>
  <si>
    <t>Zhao Yunlei</t>
  </si>
  <si>
    <t>Zhao Zhifang</t>
  </si>
  <si>
    <t>Zhao Zihan</t>
  </si>
  <si>
    <t>Zhazira Abdrakhmanovna Zhapparkul</t>
  </si>
  <si>
    <t>Jiaqi Zheng</t>
  </si>
  <si>
    <t>Zheng Saisai</t>
  </si>
  <si>
    <t>Zheng Shuyin</t>
  </si>
  <si>
    <t>Viktoriya Yuryevna Zhilinskayte</t>
  </si>
  <si>
    <t>Valeriya Sergeyevna Zholobova-Koblova</t>
  </si>
  <si>
    <t>Zhong Tianshi</t>
  </si>
  <si>
    <t>Zhong Xuechun</t>
  </si>
  <si>
    <t>Zhou Chao</t>
  </si>
  <si>
    <t>Zhou Feng</t>
  </si>
  <si>
    <t>Zhou Min</t>
  </si>
  <si>
    <t>Zhou Yihan</t>
  </si>
  <si>
    <t>Zhou Yilin</t>
  </si>
  <si>
    <t>Zhou Yu</t>
  </si>
  <si>
    <t>Zhu Menghui</t>
  </si>
  <si>
    <t>Zhu Ting</t>
  </si>
  <si>
    <t>Zhu Weiwei</t>
  </si>
  <si>
    <t>Bojana ivkovi</t>
  </si>
  <si>
    <t>Frid zizova</t>
  </si>
  <si>
    <t>Carlotta Zofkova Costa de Saint Genix de Beauregard</t>
  </si>
  <si>
    <t>Nataliya Olehivna Zolotukhina</t>
  </si>
  <si>
    <t>Rizlen Al-Zouak</t>
  </si>
  <si>
    <t>Gyrgyi Zsivczky-Farkas</t>
  </si>
  <si>
    <t>Petra Zublasing</t>
  </si>
  <si>
    <t>Zaidatul Husniah Zulkifli</t>
  </si>
  <si>
    <t>Mara Victoria Zuloaga Arcodia</t>
  </si>
  <si>
    <t>Goretti Alejandra Zumaya Flores</t>
  </si>
  <si>
    <t>Nadine Zumkehr</t>
  </si>
  <si>
    <t>Kelita Zupancic</t>
  </si>
  <si>
    <t>Vaida sinait</t>
  </si>
  <si>
    <t>Anastasiya Valeryevna Zuyeva-Fesikova</t>
  </si>
  <si>
    <t>Viktoriya Viktorovna Zyabkina</t>
  </si>
  <si>
    <t>Olga Igorevna Zyuzkova</t>
  </si>
  <si>
    <t>Height (cm)</t>
  </si>
  <si>
    <t>BIN</t>
  </si>
  <si>
    <t>Athlete Name</t>
  </si>
  <si>
    <t>LABEL</t>
  </si>
  <si>
    <t>FREQ LABEL</t>
  </si>
  <si>
    <t>LINE</t>
  </si>
  <si>
    <t>SHOW LINE?</t>
  </si>
  <si>
    <t>Total:</t>
  </si>
  <si>
    <t xml:space="preserve">Bin Width (cm): </t>
  </si>
  <si>
    <t>Agnete Kirk Thinggaard</t>
  </si>
  <si>
    <t>ID</t>
  </si>
  <si>
    <t>Big Time Apple Cinnamon Waffles</t>
  </si>
  <si>
    <t>Excellent Apple Drink</t>
  </si>
  <si>
    <t>High Top Oranges</t>
  </si>
  <si>
    <t>Jeffers Oatmeal</t>
  </si>
  <si>
    <t>Robust Monthly Sports Magazine</t>
  </si>
  <si>
    <t>Toucan Canned Mixed Fruit</t>
  </si>
  <si>
    <t>Best Choice Potato Chips</t>
  </si>
  <si>
    <t>Club 1% Milk</t>
  </si>
  <si>
    <t>Super Strawberry Preserves</t>
  </si>
  <si>
    <t>Big Time Frozen Cauliflower</t>
  </si>
  <si>
    <t>Club Havarti Cheese</t>
  </si>
  <si>
    <t>Faux Products Dishwasher Detergent</t>
  </si>
  <si>
    <t>Sunset Economy Toilet Brush</t>
  </si>
  <si>
    <t>Best Choice Raisins</t>
  </si>
  <si>
    <t>Best Choice Raspberry Fruit Roll</t>
  </si>
  <si>
    <t>Club Jack Cheese</t>
  </si>
  <si>
    <t>Denny Copper Pot Scrubber</t>
  </si>
  <si>
    <t>Fast Golden Raisins</t>
  </si>
  <si>
    <t>Golden Lemon Popsicles</t>
  </si>
  <si>
    <t>Gorilla Low Fat Cottage Cheese</t>
  </si>
  <si>
    <t>Horatio Fudge Brownies</t>
  </si>
  <si>
    <t>Blue Label Noodle Soup</t>
  </si>
  <si>
    <t>Pleasant Canned String Beans</t>
  </si>
  <si>
    <t>Sphinx English Muffins</t>
  </si>
  <si>
    <t>Better Canned Tuna in Oil</t>
  </si>
  <si>
    <t>Big Time Frozen Cheese Pizza</t>
  </si>
  <si>
    <t>Colony Blueberry Muffins</t>
  </si>
  <si>
    <t>High Quality Scented Toilet Tissue</t>
  </si>
  <si>
    <t>Tell Tale Red Delcious Apples</t>
  </si>
  <si>
    <t>American Foot-Long Hot Dogs</t>
  </si>
  <si>
    <t>Carrington Waffles</t>
  </si>
  <si>
    <t>Excellent Cranberry Juice</t>
  </si>
  <si>
    <t>Nationeel Sesame Crackers</t>
  </si>
  <si>
    <t>Urban Large Eggs</t>
  </si>
  <si>
    <t>Washington Cream Soda</t>
  </si>
  <si>
    <t>Ebony Lettuce</t>
  </si>
  <si>
    <t>Fort West No Salt Popcorn</t>
  </si>
  <si>
    <t>Tell Tale Shitake Mushrooms</t>
  </si>
  <si>
    <t>Booker String Cheese</t>
  </si>
  <si>
    <t>Giant Small Brown Eggs</t>
  </si>
  <si>
    <t>High Quality Counter Cleaner</t>
  </si>
  <si>
    <t>Horatio Beef Jerky</t>
  </si>
  <si>
    <t>Plato French Roast Coffee</t>
  </si>
  <si>
    <t>Portsmouth White Zinfandel Wine</t>
  </si>
  <si>
    <t>Thresher Malted Milk Balls</t>
  </si>
  <si>
    <t>Better Vegetable Soup</t>
  </si>
  <si>
    <t>Blue Label Canned Beets</t>
  </si>
  <si>
    <t>Golden Fajita French Fries</t>
  </si>
  <si>
    <t>Thresher White Chocolate Bar</t>
  </si>
  <si>
    <t>Big Time Frozen Pepperoni Pizza</t>
  </si>
  <si>
    <t>Carrington Fajita French Fries</t>
  </si>
  <si>
    <t>Club 2% Milk</t>
  </si>
  <si>
    <t>Hilltop Buffered Aspirin</t>
  </si>
  <si>
    <t>PigTail Home Style French Fries</t>
  </si>
  <si>
    <t>Steady Apricot Shampoo</t>
  </si>
  <si>
    <t>Tell Tale Fresh Lima Beans</t>
  </si>
  <si>
    <t>Bravo Canned Tuna in Water</t>
  </si>
  <si>
    <t>CDR Hot Chocolate</t>
  </si>
  <si>
    <t>Fabulous Diet Cola</t>
  </si>
  <si>
    <t>Landslide Hot Chocolate</t>
  </si>
  <si>
    <t>Nationeel No Salt Popcorn</t>
  </si>
  <si>
    <t>Pearl Chardonnay Wine</t>
  </si>
  <si>
    <t>PigTail Frozen Corn</t>
  </si>
  <si>
    <t>Urban Egg Substitute</t>
  </si>
  <si>
    <t>Hermanos Red Pepper</t>
  </si>
  <si>
    <t>Moms Low Fat Bologna</t>
  </si>
  <si>
    <t>Red Wing 60 Watt Lightbulb</t>
  </si>
  <si>
    <t>Sunset 100 Watt Lightbulb</t>
  </si>
  <si>
    <t>Washington Apple Drink</t>
  </si>
  <si>
    <t>Carrington Pancake Mix</t>
  </si>
  <si>
    <t>Carrington Popsicles</t>
  </si>
  <si>
    <t>Horatio Dried Apples</t>
  </si>
  <si>
    <t>Red Wing Plastic Spoons</t>
  </si>
  <si>
    <t>Fantastic Muffins</t>
  </si>
  <si>
    <t>High Top Shitake Mushrooms</t>
  </si>
  <si>
    <t>Horatio Dried Apricots</t>
  </si>
  <si>
    <t>PigTail Chicken TV Dinner</t>
  </si>
  <si>
    <t>Product Name</t>
  </si>
  <si>
    <t>Ebony Potatoes</t>
  </si>
  <si>
    <t>Hermanos Potatoes</t>
  </si>
  <si>
    <t>Units Sold</t>
  </si>
  <si>
    <t>High Quality Plastic Fork (set of 12)</t>
  </si>
  <si>
    <t>White Label Canned Peaches</t>
  </si>
  <si>
    <t>Unit Price</t>
  </si>
  <si>
    <t>200 MG Acetominifen</t>
  </si>
  <si>
    <t>Blue Ribbon Conditioning Shampoo</t>
  </si>
  <si>
    <t>Club String Cheese</t>
  </si>
  <si>
    <t>White Label Chardonnay</t>
  </si>
  <si>
    <t>Faux Products Whitening Toothpaste</t>
  </si>
  <si>
    <t>Sales</t>
  </si>
  <si>
    <t>Sample ID</t>
  </si>
  <si>
    <t>GENERAL POPULATION</t>
  </si>
  <si>
    <t>FREQ (ATHLETES)</t>
  </si>
  <si>
    <t>FREQ (GEN POP)</t>
  </si>
  <si>
    <t>2016 OLYMPIC ATHLETES</t>
  </si>
  <si>
    <t>Retail Price</t>
  </si>
  <si>
    <t>DATASET DESCRIPTION</t>
  </si>
  <si>
    <t>SKU</t>
  </si>
  <si>
    <t>Quantity</t>
  </si>
  <si>
    <t>Category</t>
  </si>
  <si>
    <t>Stock Date</t>
  </si>
  <si>
    <t>Strawberry Fruit Roll</t>
  </si>
  <si>
    <t>Best Choice Strawberry Fruit Roll</t>
  </si>
  <si>
    <t>Low-Fat Crackers</t>
  </si>
  <si>
    <t>Carrington Pancakes</t>
  </si>
  <si>
    <t>Fruits &amp; Vegetables</t>
  </si>
  <si>
    <t>Miscellaneous</t>
  </si>
  <si>
    <t>Beer, Wine &amp; Spirits</t>
  </si>
  <si>
    <t>Beverages</t>
  </si>
  <si>
    <t>Breakfast &amp; Cereal</t>
  </si>
  <si>
    <t>Frozen Foods</t>
  </si>
  <si>
    <t>Canned Goods &amp; Soups</t>
  </si>
  <si>
    <t>Cookies, Snacks &amp; Candy</t>
  </si>
  <si>
    <t>Dairy, Eggs &amp; Cheese</t>
  </si>
  <si>
    <t>Meat &amp; Seafood</t>
  </si>
  <si>
    <t>Amigo Fresh Salmon</t>
  </si>
  <si>
    <t>Best Choice Chicken Filets</t>
  </si>
  <si>
    <t>Blue Ribbon Sausage</t>
  </si>
  <si>
    <t>PigTail Pork Chops</t>
  </si>
  <si>
    <t>Club Chocolate Bar</t>
  </si>
  <si>
    <t>Plato Ice Cream Sandwiches</t>
  </si>
  <si>
    <t>Best Choice Ramen Soup</t>
  </si>
  <si>
    <t>Best Choice Strawberry Yogurt</t>
  </si>
  <si>
    <t>Best Choice Vanilla Yogurt</t>
  </si>
  <si>
    <t>Faux Products Shampoo</t>
  </si>
  <si>
    <t>Outlier/Incorrect Value</t>
  </si>
  <si>
    <t>Misspelling/String Issue</t>
  </si>
  <si>
    <t>Product ID (SKU)</t>
  </si>
  <si>
    <t>Missing Values Coded as 0</t>
  </si>
  <si>
    <t>Dates Formatted as Text</t>
  </si>
  <si>
    <t>Text Formatted as Values</t>
  </si>
  <si>
    <t>Discounted</t>
  </si>
  <si>
    <t>Number of Records:</t>
  </si>
  <si>
    <t>Minimum Unit Price:</t>
  </si>
  <si>
    <t>Maximum Unit Price:</t>
  </si>
  <si>
    <t>Average Unit Price:</t>
  </si>
  <si>
    <t>Earliest Stock Date:</t>
  </si>
  <si>
    <t>Latest Stock Date:</t>
  </si>
  <si>
    <t>Discounted Min:</t>
  </si>
  <si>
    <t>Discounted Max:</t>
  </si>
  <si>
    <t>TOTAL COUNT:</t>
  </si>
  <si>
    <t>COUNT BY CATEGORY</t>
  </si>
  <si>
    <t>MON</t>
  </si>
  <si>
    <t>TUE</t>
  </si>
  <si>
    <t>WED</t>
  </si>
  <si>
    <t>THU</t>
  </si>
  <si>
    <t>FRI</t>
  </si>
  <si>
    <t>SAT</t>
  </si>
  <si>
    <t xml:space="preserve">SUN 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</si>
  <si>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</si>
  <si>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</si>
  <si>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</si>
  <si>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</si>
  <si>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</si>
  <si>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</si>
  <si>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</si>
  <si>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</si>
  <si>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</si>
  <si>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</si>
  <si>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</si>
  <si>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</si>
  <si>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</si>
  <si>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</si>
  <si>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</si>
  <si>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</si>
  <si>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</si>
  <si>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</si>
  <si>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</si>
  <si>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</si>
  <si>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</si>
  <si>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</si>
  <si>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</si>
  <si>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</si>
  <si>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Digital_Media_Spend</t>
  </si>
  <si>
    <t>Site_Traffic</t>
  </si>
  <si>
    <t>Offline_Media_Spend</t>
  </si>
  <si>
    <t>Site_Load_Time</t>
  </si>
  <si>
    <t xml:space="preserve">Select X: </t>
  </si>
  <si>
    <t xml:space="preserve">Select Y: </t>
  </si>
  <si>
    <t>DICE ROLLS</t>
  </si>
  <si>
    <t>Week_Num</t>
  </si>
  <si>
    <t>DATA PROFILE</t>
  </si>
  <si>
    <r>
      <t xml:space="preserve">CLIENT ACCOUNT </t>
    </r>
    <r>
      <rPr>
        <sz val="12"/>
        <color theme="0" tint="-4.9989318521683403E-2"/>
        <rFont val="Calibri"/>
        <family val="2"/>
        <scheme val="minor"/>
      </rPr>
      <t>WEEKLY PERFORMANCE</t>
    </r>
  </si>
  <si>
    <r>
      <rPr>
        <b/>
        <sz val="12"/>
        <color theme="0" tint="-4.9989318521683403E-2"/>
        <rFont val="Calibri"/>
        <family val="2"/>
        <scheme val="minor"/>
      </rPr>
      <t>MAVEN MARKET</t>
    </r>
    <r>
      <rPr>
        <sz val="12"/>
        <color theme="0" tint="-4.9989318521683403E-2"/>
        <rFont val="Calibri"/>
        <family val="2"/>
        <scheme val="minor"/>
      </rPr>
      <t xml:space="preserve"> PRODUCT INVENTORY </t>
    </r>
    <r>
      <rPr>
        <b/>
        <sz val="12"/>
        <color theme="0" tint="-4.9989318521683403E-2"/>
        <rFont val="Calibri"/>
        <family val="2"/>
        <scheme val="minor"/>
      </rPr>
      <t>(TOP 100, JAN-MAY)</t>
    </r>
  </si>
  <si>
    <r>
      <t xml:space="preserve">NYC AUTO ACCIDENTS </t>
    </r>
    <r>
      <rPr>
        <sz val="12"/>
        <color theme="0" tint="-4.9989318521683403E-2"/>
        <rFont val="Calibri"/>
        <family val="2"/>
        <scheme val="minor"/>
      </rPr>
      <t>(2019-2020)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</si>
</sst>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;;;"/>
    <numFmt numFmtId="165" formatCode="0.0%"/>
    <numFmt numFmtId="166" formatCode="&quot;$&quot;#,##0.00"/>
    <numFmt numFmtId="167" formatCode="&quot;$&quot;#,##0"/>
    <numFmt numFmtId="168" formatCode="0.0"/>
    <numFmt numFmtId="176" formatCode="[$-409]d\-mmm\-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FF89"/>
      <name val="Calibri"/>
      <family val="2"/>
      <scheme val="minor"/>
    </font>
    <font>
      <b/>
      <sz val="18"/>
      <color rgb="FFFFFF8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rgb="FFFFCC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9" fillId="0" borderId="0"/>
    <xf numFmtId="0" fontId="6" fillId="0" borderId="0"/>
    <xf numFmtId="9" fontId="9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2" applyFont="1"/>
    <xf numFmtId="165" fontId="0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/>
    </xf>
    <xf numFmtId="166" fontId="0" fillId="0" borderId="3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8" borderId="3" xfId="0" applyFont="1" applyFill="1" applyBorder="1"/>
    <xf numFmtId="0" fontId="0" fillId="0" borderId="3" xfId="0" applyBorder="1" applyAlignment="1">
      <alignment horizontal="left"/>
    </xf>
    <xf numFmtId="0" fontId="1" fillId="9" borderId="3" xfId="0" applyFont="1" applyFill="1" applyBorder="1" applyAlignment="1">
      <alignment horizontal="center"/>
    </xf>
    <xf numFmtId="0" fontId="0" fillId="0" borderId="0" xfId="0" applyBorder="1" applyAlignment="1"/>
    <xf numFmtId="0" fontId="7" fillId="7" borderId="3" xfId="0" applyFont="1" applyFill="1" applyBorder="1" applyAlignment="1">
      <alignment horizontal="center"/>
    </xf>
    <xf numFmtId="168" fontId="11" fillId="0" borderId="3" xfId="2" applyNumberFormat="1" applyFont="1" applyFill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15" fillId="3" borderId="3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/>
    <xf numFmtId="0" fontId="0" fillId="0" borderId="3" xfId="0" applyNumberFormat="1" applyBorder="1" applyAlignment="1">
      <alignment horizontal="center"/>
    </xf>
    <xf numFmtId="0" fontId="0" fillId="0" borderId="3" xfId="0" applyFill="1" applyBorder="1" applyAlignment="1">
      <alignment horizontal="left"/>
    </xf>
    <xf numFmtId="0" fontId="0" fillId="0" borderId="3" xfId="0" applyNumberFormat="1" applyBorder="1" applyAlignment="1">
      <alignment horizontal="left"/>
    </xf>
    <xf numFmtId="3" fontId="0" fillId="0" borderId="3" xfId="0" applyNumberFormat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3" xfId="0" applyNumberFormat="1" applyFont="1" applyBorder="1" applyAlignment="1">
      <alignment horizontal="right"/>
    </xf>
    <xf numFmtId="0" fontId="1" fillId="0" borderId="3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1" fillId="12" borderId="3" xfId="0" applyNumberFormat="1" applyFont="1" applyFill="1" applyBorder="1" applyAlignment="1">
      <alignment horizontal="right"/>
    </xf>
    <xf numFmtId="0" fontId="1" fillId="12" borderId="3" xfId="0" applyNumberFormat="1" applyFont="1" applyFill="1" applyBorder="1" applyAlignment="1">
      <alignment horizontal="center"/>
    </xf>
    <xf numFmtId="3" fontId="10" fillId="0" borderId="10" xfId="0" applyNumberFormat="1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2" borderId="10" xfId="0" applyFont="1" applyFill="1" applyBorder="1" applyAlignment="1">
      <alignment horizontal="center" vertical="center"/>
    </xf>
    <xf numFmtId="49" fontId="14" fillId="2" borderId="10" xfId="0" applyNumberFormat="1" applyFont="1" applyFill="1" applyBorder="1" applyAlignment="1">
      <alignment horizontal="center" vertical="center"/>
    </xf>
    <xf numFmtId="3" fontId="12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11" fillId="0" borderId="3" xfId="2" applyNumberFormat="1" applyFont="1" applyFill="1" applyBorder="1" applyAlignment="1">
      <alignment horizontal="center"/>
    </xf>
    <xf numFmtId="167" fontId="11" fillId="0" borderId="3" xfId="2" applyNumberFormat="1" applyFont="1" applyFill="1" applyBorder="1" applyAlignment="1">
      <alignment horizontal="center"/>
    </xf>
    <xf numFmtId="1" fontId="11" fillId="0" borderId="3" xfId="2" applyNumberFormat="1" applyFont="1" applyFill="1" applyBorder="1" applyAlignment="1">
      <alignment horizontal="center"/>
    </xf>
    <xf numFmtId="0" fontId="11" fillId="0" borderId="3" xfId="2" applyNumberFormat="1" applyFont="1" applyFill="1" applyBorder="1" applyAlignment="1">
      <alignment horizontal="center"/>
    </xf>
    <xf numFmtId="164" fontId="11" fillId="0" borderId="0" xfId="0" applyNumberFormat="1" applyFont="1" applyAlignment="1">
      <alignment vertical="center"/>
    </xf>
    <xf numFmtId="165" fontId="12" fillId="0" borderId="10" xfId="1" applyNumberFormat="1" applyFont="1" applyBorder="1" applyAlignment="1">
      <alignment horizontal="center" vertical="center"/>
    </xf>
    <xf numFmtId="0" fontId="17" fillId="2" borderId="4" xfId="2" applyFont="1" applyFill="1" applyBorder="1" applyAlignment="1">
      <alignment horizontal="center" vertical="center"/>
    </xf>
    <xf numFmtId="0" fontId="1" fillId="12" borderId="9" xfId="0" applyNumberFormat="1" applyFont="1" applyFill="1" applyBorder="1" applyAlignment="1">
      <alignment horizontal="center"/>
    </xf>
    <xf numFmtId="0" fontId="1" fillId="12" borderId="8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6" fillId="2" borderId="6" xfId="2" applyFont="1" applyFill="1" applyBorder="1" applyAlignment="1">
      <alignment horizontal="center" vertical="center"/>
    </xf>
    <xf numFmtId="0" fontId="16" fillId="2" borderId="4" xfId="2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F0EE883E-DCCD-4B49-AE7A-05589E047787}"/>
    <cellStyle name="Normal 2 2" xfId="3" xr:uid="{87E9111C-5B79-4A86-BBAD-FC221D10F0BA}"/>
    <cellStyle name="Percent" xfId="1" builtinId="5"/>
    <cellStyle name="Percent 2" xfId="4" xr:uid="{A3C84090-5777-412B-B919-0A21F58586A7}"/>
  </cellStyles>
  <dxfs count="13">
    <dxf>
      <numFmt numFmtId="165" formatCode="0.0%"/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numFmt numFmtId="176" formatCode="[$-409]d\-mmm\-yy;@"/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2" tint="-0.24994659260841701"/>
        </patternFill>
      </fill>
    </dxf>
    <dxf>
      <numFmt numFmtId="164" formatCode=";;;"/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89"/>
      <color rgb="FF9966FF"/>
      <color rgb="FFFFCCCC"/>
      <color rgb="FFFFFF5B"/>
      <color rgb="FF26E2F6"/>
      <color rgb="FF300337"/>
      <color rgb="FFFFE1E1"/>
      <color rgb="FFEAF4E4"/>
      <color rgb="FFFFD5D5"/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82082574835466E-2"/>
          <c:y val="1.7238756172427597E-2"/>
          <c:w val="0.89175407793588046"/>
          <c:h val="0.91138084951177345"/>
        </c:manualLayout>
      </c:layout>
      <c:barChart>
        <c:barDir val="col"/>
        <c:grouping val="stacked"/>
        <c:varyColors val="0"/>
        <c:ser>
          <c:idx val="0"/>
          <c:order val="0"/>
          <c:tx>
            <c:v>Expected</c:v>
          </c:tx>
          <c:spPr>
            <a:solidFill>
              <a:srgbClr val="26E2F6">
                <a:alpha val="10000"/>
              </a:srgbClr>
            </a:soli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Histograms!$AA$3:$AK$3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AC19-41C2-89C5-7F8296501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114932064"/>
        <c:axId val="497594111"/>
      </c:barChart>
      <c:barChart>
        <c:barDir val="col"/>
        <c:grouping val="stacked"/>
        <c:varyColors val="0"/>
        <c:ser>
          <c:idx val="1"/>
          <c:order val="1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Histograms!$P$3:$Z$3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C19-41C2-89C5-7F8296501B71}"/>
            </c:ext>
          </c:extLst>
        </c:ser>
        <c:ser>
          <c:idx val="2"/>
          <c:order val="2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Histograms!$P$4:$Z$4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AC19-41C2-89C5-7F8296501B71}"/>
            </c:ext>
          </c:extLst>
        </c:ser>
        <c:ser>
          <c:idx val="3"/>
          <c:order val="3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Histograms!$P$5:$Z$5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C19-41C2-89C5-7F8296501B71}"/>
            </c:ext>
          </c:extLst>
        </c:ser>
        <c:ser>
          <c:idx val="4"/>
          <c:order val="4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Histograms!$P$6:$Z$6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C19-41C2-89C5-7F8296501B71}"/>
            </c:ext>
          </c:extLst>
        </c:ser>
        <c:ser>
          <c:idx val="5"/>
          <c:order val="5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Histograms!$P$7:$Z$7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C19-41C2-89C5-7F8296501B71}"/>
            </c:ext>
          </c:extLst>
        </c:ser>
        <c:ser>
          <c:idx val="6"/>
          <c:order val="6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Histograms!$P$8:$Z$8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AC19-41C2-89C5-7F8296501B71}"/>
            </c:ext>
          </c:extLst>
        </c:ser>
        <c:ser>
          <c:idx val="7"/>
          <c:order val="7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Histograms!$P$9:$Z$9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AC19-41C2-89C5-7F8296501B71}"/>
            </c:ext>
          </c:extLst>
        </c:ser>
        <c:ser>
          <c:idx val="8"/>
          <c:order val="8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Histograms!$P$10:$Z$10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AC19-41C2-89C5-7F8296501B71}"/>
            </c:ext>
          </c:extLst>
        </c:ser>
        <c:ser>
          <c:idx val="9"/>
          <c:order val="9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Histograms!$P$11:$Z$11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AC19-41C2-89C5-7F8296501B71}"/>
            </c:ext>
          </c:extLst>
        </c:ser>
        <c:ser>
          <c:idx val="10"/>
          <c:order val="10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Histograms!$P$12:$Z$12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AC19-41C2-89C5-7F8296501B71}"/>
            </c:ext>
          </c:extLst>
        </c:ser>
        <c:ser>
          <c:idx val="11"/>
          <c:order val="11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Histograms!$P$13:$Z$13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AC19-41C2-89C5-7F8296501B71}"/>
            </c:ext>
          </c:extLst>
        </c:ser>
        <c:ser>
          <c:idx val="12"/>
          <c:order val="12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Histograms!$P$14:$Z$14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AC19-41C2-89C5-7F8296501B71}"/>
            </c:ext>
          </c:extLst>
        </c:ser>
        <c:ser>
          <c:idx val="13"/>
          <c:order val="13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Histograms!$P$15:$Z$15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AC19-41C2-89C5-7F8296501B71}"/>
            </c:ext>
          </c:extLst>
        </c:ser>
        <c:ser>
          <c:idx val="14"/>
          <c:order val="14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Histograms!$P$16:$Z$16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AC19-41C2-89C5-7F8296501B71}"/>
            </c:ext>
          </c:extLst>
        </c:ser>
        <c:ser>
          <c:idx val="15"/>
          <c:order val="15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Histograms!$P$17:$Z$17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AC19-41C2-89C5-7F8296501B71}"/>
            </c:ext>
          </c:extLst>
        </c:ser>
        <c:ser>
          <c:idx val="16"/>
          <c:order val="16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Histograms!$P$18:$Z$18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AC19-41C2-89C5-7F8296501B71}"/>
            </c:ext>
          </c:extLst>
        </c:ser>
        <c:ser>
          <c:idx val="17"/>
          <c:order val="17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Histograms!$P$19:$Z$19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AC19-41C2-89C5-7F8296501B71}"/>
            </c:ext>
          </c:extLst>
        </c:ser>
        <c:ser>
          <c:idx val="18"/>
          <c:order val="18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Histograms!$P$20:$Z$20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AC19-41C2-89C5-7F8296501B71}"/>
            </c:ext>
          </c:extLst>
        </c:ser>
        <c:ser>
          <c:idx val="19"/>
          <c:order val="19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Histograms!$P$21:$Z$21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AC19-41C2-89C5-7F8296501B71}"/>
            </c:ext>
          </c:extLst>
        </c:ser>
        <c:ser>
          <c:idx val="20"/>
          <c:order val="20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Histograms!$P$22:$Z$22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AC19-41C2-89C5-7F8296501B71}"/>
            </c:ext>
          </c:extLst>
        </c:ser>
        <c:ser>
          <c:idx val="21"/>
          <c:order val="21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Histograms!$P$23:$Z$23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AC19-41C2-89C5-7F8296501B71}"/>
            </c:ext>
          </c:extLst>
        </c:ser>
        <c:ser>
          <c:idx val="22"/>
          <c:order val="22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Histograms!$P$24:$Z$24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AC19-41C2-89C5-7F8296501B71}"/>
            </c:ext>
          </c:extLst>
        </c:ser>
        <c:ser>
          <c:idx val="23"/>
          <c:order val="23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Histograms!$P$25:$Z$25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AC19-41C2-89C5-7F8296501B71}"/>
            </c:ext>
          </c:extLst>
        </c:ser>
        <c:ser>
          <c:idx val="24"/>
          <c:order val="24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Histograms!$P$26:$Z$26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AC19-41C2-89C5-7F8296501B71}"/>
            </c:ext>
          </c:extLst>
        </c:ser>
        <c:ser>
          <c:idx val="25"/>
          <c:order val="25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Histograms!$P$27:$Z$27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AC19-41C2-89C5-7F8296501B71}"/>
            </c:ext>
          </c:extLst>
        </c:ser>
        <c:ser>
          <c:idx val="26"/>
          <c:order val="26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Histograms!$P$28:$Z$28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AC19-41C2-89C5-7F8296501B71}"/>
            </c:ext>
          </c:extLst>
        </c:ser>
        <c:ser>
          <c:idx val="27"/>
          <c:order val="27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Histograms!$P$29:$Z$29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AC19-41C2-89C5-7F8296501B71}"/>
            </c:ext>
          </c:extLst>
        </c:ser>
        <c:ser>
          <c:idx val="28"/>
          <c:order val="28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Histograms!$P$30:$Z$30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AC19-41C2-89C5-7F8296501B71}"/>
            </c:ext>
          </c:extLst>
        </c:ser>
        <c:ser>
          <c:idx val="29"/>
          <c:order val="29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Histograms!$P$31:$Z$31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AC19-41C2-89C5-7F8296501B71}"/>
            </c:ext>
          </c:extLst>
        </c:ser>
        <c:ser>
          <c:idx val="30"/>
          <c:order val="30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Histograms!$P$32:$Z$32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AC19-41C2-89C5-7F8296501B71}"/>
            </c:ext>
          </c:extLst>
        </c:ser>
        <c:ser>
          <c:idx val="31"/>
          <c:order val="31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Histograms!$P$33:$Z$33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AC19-41C2-89C5-7F8296501B71}"/>
            </c:ext>
          </c:extLst>
        </c:ser>
        <c:ser>
          <c:idx val="32"/>
          <c:order val="32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Histograms!$P$34:$Z$34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AC19-41C2-89C5-7F8296501B71}"/>
            </c:ext>
          </c:extLst>
        </c:ser>
        <c:ser>
          <c:idx val="33"/>
          <c:order val="33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Histograms!$P$35:$Z$35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AC19-41C2-89C5-7F8296501B71}"/>
            </c:ext>
          </c:extLst>
        </c:ser>
        <c:ser>
          <c:idx val="34"/>
          <c:order val="34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Histograms!$P$36:$Z$36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AC19-41C2-89C5-7F8296501B71}"/>
            </c:ext>
          </c:extLst>
        </c:ser>
        <c:ser>
          <c:idx val="35"/>
          <c:order val="35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Histograms!$P$37:$Z$37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AC19-41C2-89C5-7F8296501B71}"/>
            </c:ext>
          </c:extLst>
        </c:ser>
        <c:ser>
          <c:idx val="36"/>
          <c:order val="36"/>
          <c:spPr>
            <a:gradFill>
              <a:gsLst>
                <a:gs pos="0">
                  <a:srgbClr val="09CCE1"/>
                </a:gs>
                <a:gs pos="100000">
                  <a:srgbClr val="08AEC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numRef>
              <c:f>Histograms!$AA$2:$AK$2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Histograms!$P$38:$Z$38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AC19-41C2-89C5-7F8296501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312472400"/>
        <c:axId val="1056961151"/>
      </c:barChart>
      <c:lineChart>
        <c:grouping val="standard"/>
        <c:varyColors val="0"/>
        <c:ser>
          <c:idx val="37"/>
          <c:order val="37"/>
          <c:tx>
            <c:v>Line</c:v>
          </c:tx>
          <c:spPr>
            <a:ln w="25400" cap="rnd">
              <a:solidFill>
                <a:srgbClr val="FFFF89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none"/>
          </c:marker>
          <c:val>
            <c:numRef>
              <c:f>Histograms!$AA$6:$AK$6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1E-43F3-8A15-17BD3A7A5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472400"/>
        <c:axId val="1056961151"/>
      </c:lineChart>
      <c:catAx>
        <c:axId val="211493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94111"/>
        <c:crosses val="autoZero"/>
        <c:auto val="1"/>
        <c:lblAlgn val="ctr"/>
        <c:lblOffset val="100"/>
        <c:noMultiLvlLbl val="0"/>
      </c:catAx>
      <c:valAx>
        <c:axId val="497594111"/>
        <c:scaling>
          <c:orientation val="minMax"/>
          <c:max val="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8.516862888718937E-3"/>
              <c:y val="0.341014994548057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32064"/>
        <c:crosses val="autoZero"/>
        <c:crossBetween val="between"/>
      </c:valAx>
      <c:valAx>
        <c:axId val="1056961151"/>
        <c:scaling>
          <c:orientation val="minMax"/>
          <c:max val="9"/>
        </c:scaling>
        <c:delete val="1"/>
        <c:axPos val="r"/>
        <c:numFmt formatCode=";;;" sourceLinked="0"/>
        <c:majorTickMark val="out"/>
        <c:minorTickMark val="none"/>
        <c:tickLblPos val="nextTo"/>
        <c:crossAx val="312472400"/>
        <c:crosses val="max"/>
        <c:crossBetween val="between"/>
      </c:valAx>
      <c:catAx>
        <c:axId val="31247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961151"/>
        <c:crosses val="autoZero"/>
        <c:auto val="1"/>
        <c:lblAlgn val="ctr"/>
        <c:lblOffset val="100"/>
        <c:noMultiLvlLbl val="0"/>
      </c:catAx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75000"/>
                    <a:lumOff val="25000"/>
                  </a:schemeClr>
                </a:solidFill>
              </a:rPr>
              <a:t>OLYMPIC</a:t>
            </a:r>
            <a:r>
              <a:rPr lang="en-US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ATHLETES</a:t>
            </a:r>
            <a:endParaRPr lang="en-US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425021503373216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18336716137169E-2"/>
          <c:y val="8.9560212453758239E-2"/>
          <c:w val="0.92512522371808237"/>
          <c:h val="0.71639696612726556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>
              <a:gsLst>
                <a:gs pos="0">
                  <a:srgbClr val="37E5F7"/>
                </a:gs>
                <a:gs pos="100000">
                  <a:srgbClr val="08B6C8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[0]!Bin_Labels</c:f>
              <c:numCache>
                <c:formatCode>General</c:formatCode>
                <c:ptCount val="74"/>
                <c:pt idx="0">
                  <c:v>130</c:v>
                </c:pt>
                <c:pt idx="1">
                  <c:v>131</c:v>
                </c:pt>
                <c:pt idx="2">
                  <c:v>132</c:v>
                </c:pt>
                <c:pt idx="3">
                  <c:v>133</c:v>
                </c:pt>
                <c:pt idx="4">
                  <c:v>134</c:v>
                </c:pt>
                <c:pt idx="5">
                  <c:v>135</c:v>
                </c:pt>
                <c:pt idx="6">
                  <c:v>136</c:v>
                </c:pt>
                <c:pt idx="7">
                  <c:v>137</c:v>
                </c:pt>
                <c:pt idx="8">
                  <c:v>138</c:v>
                </c:pt>
                <c:pt idx="9">
                  <c:v>139</c:v>
                </c:pt>
                <c:pt idx="10">
                  <c:v>140</c:v>
                </c:pt>
                <c:pt idx="11">
                  <c:v>141</c:v>
                </c:pt>
                <c:pt idx="12">
                  <c:v>142</c:v>
                </c:pt>
                <c:pt idx="13">
                  <c:v>143</c:v>
                </c:pt>
                <c:pt idx="14">
                  <c:v>144</c:v>
                </c:pt>
                <c:pt idx="15">
                  <c:v>145</c:v>
                </c:pt>
                <c:pt idx="16">
                  <c:v>146</c:v>
                </c:pt>
                <c:pt idx="17">
                  <c:v>147</c:v>
                </c:pt>
                <c:pt idx="18">
                  <c:v>148</c:v>
                </c:pt>
                <c:pt idx="19">
                  <c:v>149</c:v>
                </c:pt>
                <c:pt idx="20">
                  <c:v>150</c:v>
                </c:pt>
                <c:pt idx="21">
                  <c:v>151</c:v>
                </c:pt>
                <c:pt idx="22">
                  <c:v>152</c:v>
                </c:pt>
                <c:pt idx="23">
                  <c:v>153</c:v>
                </c:pt>
                <c:pt idx="24">
                  <c:v>154</c:v>
                </c:pt>
                <c:pt idx="25">
                  <c:v>155</c:v>
                </c:pt>
                <c:pt idx="26">
                  <c:v>156</c:v>
                </c:pt>
                <c:pt idx="27">
                  <c:v>157</c:v>
                </c:pt>
                <c:pt idx="28">
                  <c:v>158</c:v>
                </c:pt>
                <c:pt idx="29">
                  <c:v>159</c:v>
                </c:pt>
                <c:pt idx="30">
                  <c:v>160</c:v>
                </c:pt>
                <c:pt idx="31">
                  <c:v>161</c:v>
                </c:pt>
                <c:pt idx="32">
                  <c:v>162</c:v>
                </c:pt>
                <c:pt idx="33">
                  <c:v>163</c:v>
                </c:pt>
                <c:pt idx="34">
                  <c:v>164</c:v>
                </c:pt>
                <c:pt idx="35">
                  <c:v>165</c:v>
                </c:pt>
                <c:pt idx="36">
                  <c:v>166</c:v>
                </c:pt>
                <c:pt idx="37">
                  <c:v>167</c:v>
                </c:pt>
                <c:pt idx="38">
                  <c:v>168</c:v>
                </c:pt>
                <c:pt idx="39">
                  <c:v>169</c:v>
                </c:pt>
                <c:pt idx="40">
                  <c:v>170</c:v>
                </c:pt>
                <c:pt idx="41">
                  <c:v>171</c:v>
                </c:pt>
                <c:pt idx="42">
                  <c:v>172</c:v>
                </c:pt>
                <c:pt idx="43">
                  <c:v>173</c:v>
                </c:pt>
                <c:pt idx="44">
                  <c:v>174</c:v>
                </c:pt>
                <c:pt idx="45">
                  <c:v>175</c:v>
                </c:pt>
                <c:pt idx="46">
                  <c:v>176</c:v>
                </c:pt>
                <c:pt idx="47">
                  <c:v>177</c:v>
                </c:pt>
                <c:pt idx="48">
                  <c:v>178</c:v>
                </c:pt>
                <c:pt idx="49">
                  <c:v>179</c:v>
                </c:pt>
                <c:pt idx="50">
                  <c:v>180</c:v>
                </c:pt>
                <c:pt idx="51">
                  <c:v>181</c:v>
                </c:pt>
                <c:pt idx="52">
                  <c:v>182</c:v>
                </c:pt>
                <c:pt idx="53">
                  <c:v>183</c:v>
                </c:pt>
                <c:pt idx="54">
                  <c:v>184</c:v>
                </c:pt>
                <c:pt idx="55">
                  <c:v>185</c:v>
                </c:pt>
                <c:pt idx="56">
                  <c:v>186</c:v>
                </c:pt>
                <c:pt idx="57">
                  <c:v>187</c:v>
                </c:pt>
                <c:pt idx="58">
                  <c:v>188</c:v>
                </c:pt>
                <c:pt idx="59">
                  <c:v>189</c:v>
                </c:pt>
                <c:pt idx="60">
                  <c:v>190</c:v>
                </c:pt>
                <c:pt idx="61">
                  <c:v>191</c:v>
                </c:pt>
                <c:pt idx="62">
                  <c:v>192</c:v>
                </c:pt>
                <c:pt idx="63">
                  <c:v>193</c:v>
                </c:pt>
                <c:pt idx="64">
                  <c:v>194</c:v>
                </c:pt>
                <c:pt idx="65">
                  <c:v>195</c:v>
                </c:pt>
                <c:pt idx="66">
                  <c:v>196</c:v>
                </c:pt>
                <c:pt idx="67">
                  <c:v>197</c:v>
                </c:pt>
                <c:pt idx="68">
                  <c:v>198</c:v>
                </c:pt>
                <c:pt idx="69">
                  <c:v>199</c:v>
                </c:pt>
                <c:pt idx="70">
                  <c:v>200</c:v>
                </c:pt>
                <c:pt idx="71">
                  <c:v>201</c:v>
                </c:pt>
                <c:pt idx="72">
                  <c:v>202</c:v>
                </c:pt>
                <c:pt idx="73">
                  <c:v>203</c:v>
                </c:pt>
              </c:numCache>
            </c:numRef>
          </c:cat>
          <c:val>
            <c:numRef>
              <c:f>[0]!Frequency</c:f>
              <c:numCache>
                <c:formatCode>#,##0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23</c:v>
                </c:pt>
                <c:pt idx="21">
                  <c:v>12</c:v>
                </c:pt>
                <c:pt idx="22">
                  <c:v>30</c:v>
                </c:pt>
                <c:pt idx="23">
                  <c:v>33</c:v>
                </c:pt>
                <c:pt idx="24">
                  <c:v>19</c:v>
                </c:pt>
                <c:pt idx="25">
                  <c:v>66</c:v>
                </c:pt>
                <c:pt idx="26">
                  <c:v>43</c:v>
                </c:pt>
                <c:pt idx="27">
                  <c:v>79</c:v>
                </c:pt>
                <c:pt idx="28">
                  <c:v>92</c:v>
                </c:pt>
                <c:pt idx="29">
                  <c:v>69</c:v>
                </c:pt>
                <c:pt idx="30">
                  <c:v>188</c:v>
                </c:pt>
                <c:pt idx="31">
                  <c:v>86</c:v>
                </c:pt>
                <c:pt idx="32">
                  <c:v>131</c:v>
                </c:pt>
                <c:pt idx="33">
                  <c:v>199</c:v>
                </c:pt>
                <c:pt idx="34">
                  <c:v>153</c:v>
                </c:pt>
                <c:pt idx="35">
                  <c:v>303</c:v>
                </c:pt>
                <c:pt idx="36">
                  <c:v>144</c:v>
                </c:pt>
                <c:pt idx="37">
                  <c:v>210</c:v>
                </c:pt>
                <c:pt idx="38">
                  <c:v>309</c:v>
                </c:pt>
                <c:pt idx="39">
                  <c:v>178</c:v>
                </c:pt>
                <c:pt idx="40">
                  <c:v>356</c:v>
                </c:pt>
                <c:pt idx="41">
                  <c:v>129</c:v>
                </c:pt>
                <c:pt idx="42">
                  <c:v>216</c:v>
                </c:pt>
                <c:pt idx="43">
                  <c:v>258</c:v>
                </c:pt>
                <c:pt idx="44">
                  <c:v>139</c:v>
                </c:pt>
                <c:pt idx="45">
                  <c:v>251</c:v>
                </c:pt>
                <c:pt idx="46">
                  <c:v>141</c:v>
                </c:pt>
                <c:pt idx="47">
                  <c:v>113</c:v>
                </c:pt>
                <c:pt idx="48">
                  <c:v>190</c:v>
                </c:pt>
                <c:pt idx="49">
                  <c:v>69</c:v>
                </c:pt>
                <c:pt idx="50">
                  <c:v>180</c:v>
                </c:pt>
                <c:pt idx="51">
                  <c:v>48</c:v>
                </c:pt>
                <c:pt idx="52">
                  <c:v>65</c:v>
                </c:pt>
                <c:pt idx="53">
                  <c:v>93</c:v>
                </c:pt>
                <c:pt idx="54">
                  <c:v>47</c:v>
                </c:pt>
                <c:pt idx="55">
                  <c:v>61</c:v>
                </c:pt>
                <c:pt idx="56">
                  <c:v>38</c:v>
                </c:pt>
                <c:pt idx="57">
                  <c:v>22</c:v>
                </c:pt>
                <c:pt idx="58">
                  <c:v>35</c:v>
                </c:pt>
                <c:pt idx="59">
                  <c:v>7</c:v>
                </c:pt>
                <c:pt idx="60">
                  <c:v>28</c:v>
                </c:pt>
                <c:pt idx="61">
                  <c:v>14</c:v>
                </c:pt>
                <c:pt idx="62">
                  <c:v>15</c:v>
                </c:pt>
                <c:pt idx="63">
                  <c:v>19</c:v>
                </c:pt>
                <c:pt idx="64">
                  <c:v>4</c:v>
                </c:pt>
                <c:pt idx="65">
                  <c:v>14</c:v>
                </c:pt>
                <c:pt idx="66">
                  <c:v>7</c:v>
                </c:pt>
                <c:pt idx="67">
                  <c:v>1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0-4F87-A144-7BEC4A8BB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2114539792"/>
        <c:axId val="242193167"/>
      </c:barChart>
      <c:lineChart>
        <c:grouping val="standard"/>
        <c:varyColors val="0"/>
        <c:ser>
          <c:idx val="1"/>
          <c:order val="1"/>
          <c:tx>
            <c:v>Freq Line</c:v>
          </c:tx>
          <c:spPr>
            <a:ln w="25400" cap="rnd">
              <a:solidFill>
                <a:srgbClr val="FFFF89"/>
              </a:solidFill>
              <a:round/>
            </a:ln>
            <a:effectLst>
              <a:outerShdw blurRad="50800" dist="381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none"/>
          </c:marker>
          <c:val>
            <c:numRef>
              <c:f>[0]!Freq_Line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8C90-4F87-A144-7BEC4A8BB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539792"/>
        <c:axId val="242193167"/>
      </c:lineChart>
      <c:catAx>
        <c:axId val="211453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ATHLETE HEIGHT (CM)</a:t>
                </a:r>
              </a:p>
            </c:rich>
          </c:tx>
          <c:layout>
            <c:manualLayout>
              <c:xMode val="edge"/>
              <c:yMode val="edge"/>
              <c:x val="0.43305335233461451"/>
              <c:y val="0.94036249200193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93167"/>
        <c:crosses val="autoZero"/>
        <c:auto val="1"/>
        <c:lblAlgn val="ctr"/>
        <c:lblOffset val="100"/>
        <c:noMultiLvlLbl val="0"/>
      </c:catAx>
      <c:valAx>
        <c:axId val="2421931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3.6098983171997265E-5"/>
              <c:y val="0.305917395168123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539792"/>
        <c:crosses val="autoZero"/>
        <c:crossBetween val="between"/>
      </c:valAx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75000"/>
                    <a:lumOff val="25000"/>
                  </a:schemeClr>
                </a:solidFill>
              </a:rPr>
              <a:t>GENERAL</a:t>
            </a:r>
            <a:r>
              <a:rPr lang="en-US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POPULATION</a:t>
            </a:r>
            <a:endParaRPr lang="en-US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406788144664196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18336716137169E-2"/>
          <c:y val="8.9560212453758239E-2"/>
          <c:w val="0.92512522371808237"/>
          <c:h val="0.71639696612726556"/>
        </c:manualLayout>
      </c:layout>
      <c:barChart>
        <c:barDir val="col"/>
        <c:grouping val="clustered"/>
        <c:varyColors val="0"/>
        <c:ser>
          <c:idx val="0"/>
          <c:order val="0"/>
          <c:tx>
            <c:v>General Population</c:v>
          </c:tx>
          <c:spPr>
            <a:solidFill>
              <a:schemeClr val="bg1">
                <a:lumMod val="75000"/>
                <a:alpha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'Normal Distribution'!$W$4:$W$77</c:f>
              <c:numCache>
                <c:formatCode>General</c:formatCode>
                <c:ptCount val="74"/>
                <c:pt idx="0">
                  <c:v>130</c:v>
                </c:pt>
                <c:pt idx="1">
                  <c:v>131</c:v>
                </c:pt>
                <c:pt idx="2">
                  <c:v>132</c:v>
                </c:pt>
                <c:pt idx="3">
                  <c:v>133</c:v>
                </c:pt>
                <c:pt idx="4">
                  <c:v>134</c:v>
                </c:pt>
                <c:pt idx="5">
                  <c:v>135</c:v>
                </c:pt>
                <c:pt idx="6">
                  <c:v>136</c:v>
                </c:pt>
                <c:pt idx="7">
                  <c:v>137</c:v>
                </c:pt>
                <c:pt idx="8">
                  <c:v>138</c:v>
                </c:pt>
                <c:pt idx="9">
                  <c:v>139</c:v>
                </c:pt>
                <c:pt idx="10">
                  <c:v>140</c:v>
                </c:pt>
                <c:pt idx="11">
                  <c:v>141</c:v>
                </c:pt>
                <c:pt idx="12">
                  <c:v>142</c:v>
                </c:pt>
                <c:pt idx="13">
                  <c:v>143</c:v>
                </c:pt>
                <c:pt idx="14">
                  <c:v>144</c:v>
                </c:pt>
                <c:pt idx="15">
                  <c:v>145</c:v>
                </c:pt>
                <c:pt idx="16">
                  <c:v>146</c:v>
                </c:pt>
                <c:pt idx="17">
                  <c:v>147</c:v>
                </c:pt>
                <c:pt idx="18">
                  <c:v>148</c:v>
                </c:pt>
                <c:pt idx="19">
                  <c:v>149</c:v>
                </c:pt>
                <c:pt idx="20">
                  <c:v>150</c:v>
                </c:pt>
                <c:pt idx="21">
                  <c:v>151</c:v>
                </c:pt>
                <c:pt idx="22">
                  <c:v>152</c:v>
                </c:pt>
                <c:pt idx="23">
                  <c:v>153</c:v>
                </c:pt>
                <c:pt idx="24">
                  <c:v>154</c:v>
                </c:pt>
                <c:pt idx="25">
                  <c:v>155</c:v>
                </c:pt>
                <c:pt idx="26">
                  <c:v>156</c:v>
                </c:pt>
                <c:pt idx="27">
                  <c:v>157</c:v>
                </c:pt>
                <c:pt idx="28">
                  <c:v>158</c:v>
                </c:pt>
                <c:pt idx="29">
                  <c:v>159</c:v>
                </c:pt>
                <c:pt idx="30">
                  <c:v>160</c:v>
                </c:pt>
                <c:pt idx="31">
                  <c:v>161</c:v>
                </c:pt>
                <c:pt idx="32">
                  <c:v>162</c:v>
                </c:pt>
                <c:pt idx="33">
                  <c:v>163</c:v>
                </c:pt>
                <c:pt idx="34">
                  <c:v>164</c:v>
                </c:pt>
                <c:pt idx="35">
                  <c:v>165</c:v>
                </c:pt>
                <c:pt idx="36">
                  <c:v>166</c:v>
                </c:pt>
                <c:pt idx="37">
                  <c:v>167</c:v>
                </c:pt>
                <c:pt idx="38">
                  <c:v>168</c:v>
                </c:pt>
                <c:pt idx="39">
                  <c:v>169</c:v>
                </c:pt>
                <c:pt idx="40">
                  <c:v>170</c:v>
                </c:pt>
                <c:pt idx="41">
                  <c:v>171</c:v>
                </c:pt>
                <c:pt idx="42">
                  <c:v>172</c:v>
                </c:pt>
                <c:pt idx="43">
                  <c:v>173</c:v>
                </c:pt>
                <c:pt idx="44">
                  <c:v>174</c:v>
                </c:pt>
                <c:pt idx="45">
                  <c:v>175</c:v>
                </c:pt>
                <c:pt idx="46">
                  <c:v>176</c:v>
                </c:pt>
                <c:pt idx="47">
                  <c:v>177</c:v>
                </c:pt>
                <c:pt idx="48">
                  <c:v>178</c:v>
                </c:pt>
                <c:pt idx="49">
                  <c:v>179</c:v>
                </c:pt>
                <c:pt idx="50">
                  <c:v>180</c:v>
                </c:pt>
                <c:pt idx="51">
                  <c:v>181</c:v>
                </c:pt>
                <c:pt idx="52">
                  <c:v>182</c:v>
                </c:pt>
                <c:pt idx="53">
                  <c:v>183</c:v>
                </c:pt>
                <c:pt idx="54">
                  <c:v>184</c:v>
                </c:pt>
                <c:pt idx="55">
                  <c:v>185</c:v>
                </c:pt>
                <c:pt idx="56">
                  <c:v>186</c:v>
                </c:pt>
                <c:pt idx="57">
                  <c:v>187</c:v>
                </c:pt>
                <c:pt idx="58">
                  <c:v>188</c:v>
                </c:pt>
                <c:pt idx="59">
                  <c:v>189</c:v>
                </c:pt>
                <c:pt idx="60">
                  <c:v>190</c:v>
                </c:pt>
                <c:pt idx="61">
                  <c:v>191</c:v>
                </c:pt>
                <c:pt idx="62">
                  <c:v>192</c:v>
                </c:pt>
                <c:pt idx="63">
                  <c:v>193</c:v>
                </c:pt>
                <c:pt idx="64">
                  <c:v>194</c:v>
                </c:pt>
                <c:pt idx="65">
                  <c:v>195</c:v>
                </c:pt>
                <c:pt idx="66">
                  <c:v>196</c:v>
                </c:pt>
                <c:pt idx="67">
                  <c:v>197</c:v>
                </c:pt>
                <c:pt idx="68">
                  <c:v>198</c:v>
                </c:pt>
                <c:pt idx="69">
                  <c:v>199</c:v>
                </c:pt>
                <c:pt idx="70">
                  <c:v>200</c:v>
                </c:pt>
                <c:pt idx="71">
                  <c:v>201</c:v>
                </c:pt>
                <c:pt idx="72">
                  <c:v>202</c:v>
                </c:pt>
                <c:pt idx="73">
                  <c:v>203</c:v>
                </c:pt>
              </c:numCache>
            </c:numRef>
          </c:cat>
          <c:val>
            <c:numRef>
              <c:f>[0]!Frequency_Gen</c:f>
              <c:numCache>
                <c:formatCode>#,##0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8</c:v>
                </c:pt>
                <c:pt idx="14">
                  <c:v>6</c:v>
                </c:pt>
                <c:pt idx="15">
                  <c:v>16</c:v>
                </c:pt>
                <c:pt idx="16">
                  <c:v>19</c:v>
                </c:pt>
                <c:pt idx="17">
                  <c:v>25</c:v>
                </c:pt>
                <c:pt idx="18">
                  <c:v>30</c:v>
                </c:pt>
                <c:pt idx="19">
                  <c:v>48</c:v>
                </c:pt>
                <c:pt idx="20">
                  <c:v>57</c:v>
                </c:pt>
                <c:pt idx="21">
                  <c:v>66</c:v>
                </c:pt>
                <c:pt idx="22">
                  <c:v>86</c:v>
                </c:pt>
                <c:pt idx="23">
                  <c:v>119</c:v>
                </c:pt>
                <c:pt idx="24">
                  <c:v>138</c:v>
                </c:pt>
                <c:pt idx="25">
                  <c:v>179</c:v>
                </c:pt>
                <c:pt idx="26">
                  <c:v>171</c:v>
                </c:pt>
                <c:pt idx="27">
                  <c:v>222</c:v>
                </c:pt>
                <c:pt idx="28">
                  <c:v>260</c:v>
                </c:pt>
                <c:pt idx="29">
                  <c:v>250</c:v>
                </c:pt>
                <c:pt idx="30">
                  <c:v>282</c:v>
                </c:pt>
                <c:pt idx="31">
                  <c:v>279</c:v>
                </c:pt>
                <c:pt idx="32">
                  <c:v>269</c:v>
                </c:pt>
                <c:pt idx="33">
                  <c:v>308</c:v>
                </c:pt>
                <c:pt idx="34">
                  <c:v>273</c:v>
                </c:pt>
                <c:pt idx="35">
                  <c:v>268</c:v>
                </c:pt>
                <c:pt idx="36">
                  <c:v>261</c:v>
                </c:pt>
                <c:pt idx="37">
                  <c:v>209</c:v>
                </c:pt>
                <c:pt idx="38">
                  <c:v>189</c:v>
                </c:pt>
                <c:pt idx="39">
                  <c:v>210</c:v>
                </c:pt>
                <c:pt idx="40">
                  <c:v>160</c:v>
                </c:pt>
                <c:pt idx="41">
                  <c:v>128</c:v>
                </c:pt>
                <c:pt idx="42">
                  <c:v>108</c:v>
                </c:pt>
                <c:pt idx="43">
                  <c:v>88</c:v>
                </c:pt>
                <c:pt idx="44">
                  <c:v>70</c:v>
                </c:pt>
                <c:pt idx="45">
                  <c:v>49</c:v>
                </c:pt>
                <c:pt idx="46">
                  <c:v>40</c:v>
                </c:pt>
                <c:pt idx="47">
                  <c:v>38</c:v>
                </c:pt>
                <c:pt idx="48">
                  <c:v>19</c:v>
                </c:pt>
                <c:pt idx="49">
                  <c:v>17</c:v>
                </c:pt>
                <c:pt idx="50">
                  <c:v>14</c:v>
                </c:pt>
                <c:pt idx="51">
                  <c:v>4</c:v>
                </c:pt>
                <c:pt idx="52">
                  <c:v>3</c:v>
                </c:pt>
                <c:pt idx="53">
                  <c:v>1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8-47D1-8D2C-BE17599F7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2114539792"/>
        <c:axId val="242193167"/>
      </c:barChart>
      <c:catAx>
        <c:axId val="211453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HEIGHT (CM)</a:t>
                </a:r>
              </a:p>
            </c:rich>
          </c:tx>
          <c:layout>
            <c:manualLayout>
              <c:xMode val="edge"/>
              <c:yMode val="edge"/>
              <c:x val="0.46786244327213489"/>
              <c:y val="0.94036259739186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93167"/>
        <c:crosses val="autoZero"/>
        <c:auto val="1"/>
        <c:lblAlgn val="ctr"/>
        <c:lblOffset val="100"/>
        <c:noMultiLvlLbl val="0"/>
      </c:catAx>
      <c:valAx>
        <c:axId val="2421931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3.6098983171997265E-5"/>
              <c:y val="0.305917395168123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539792"/>
        <c:crosses val="autoZero"/>
        <c:crossBetween val="between"/>
      </c:valAx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973755821664598E-2"/>
          <c:y val="3.2112100423295868E-2"/>
          <c:w val="0.94755875021914615"/>
          <c:h val="0.90921019522469926"/>
        </c:manualLayout>
      </c:layout>
      <c:scatterChart>
        <c:scatterStyle val="lineMarker"/>
        <c:varyColors val="0"/>
        <c:ser>
          <c:idx val="0"/>
          <c:order val="0"/>
          <c:tx>
            <c:v>Correlation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37E5F7"/>
              </a:solidFill>
              <a:ln w="12700">
                <a:noFill/>
              </a:ln>
              <a:effectLst/>
            </c:spPr>
          </c:marker>
          <c:trendline>
            <c:spPr>
              <a:ln w="19050" cap="rnd">
                <a:solidFill>
                  <a:srgbClr val="FFFF89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Correlation!Scatter_X</c:f>
              <c:numCache>
                <c:formatCode>"$"#,##0</c:formatCode>
                <c:ptCount val="1000"/>
                <c:pt idx="0">
                  <c:v>46125</c:v>
                </c:pt>
                <c:pt idx="1">
                  <c:v>60007</c:v>
                </c:pt>
                <c:pt idx="2">
                  <c:v>50314</c:v>
                </c:pt>
                <c:pt idx="3">
                  <c:v>44432</c:v>
                </c:pt>
                <c:pt idx="4">
                  <c:v>72954</c:v>
                </c:pt>
                <c:pt idx="5">
                  <c:v>47288</c:v>
                </c:pt>
                <c:pt idx="6">
                  <c:v>40830</c:v>
                </c:pt>
                <c:pt idx="7">
                  <c:v>43760</c:v>
                </c:pt>
                <c:pt idx="8">
                  <c:v>62487</c:v>
                </c:pt>
                <c:pt idx="9">
                  <c:v>33480</c:v>
                </c:pt>
                <c:pt idx="10">
                  <c:v>59110</c:v>
                </c:pt>
                <c:pt idx="11">
                  <c:v>72150</c:v>
                </c:pt>
                <c:pt idx="12">
                  <c:v>56740</c:v>
                </c:pt>
                <c:pt idx="13">
                  <c:v>42106</c:v>
                </c:pt>
                <c:pt idx="14">
                  <c:v>42857</c:v>
                </c:pt>
                <c:pt idx="15">
                  <c:v>56060</c:v>
                </c:pt>
                <c:pt idx="16">
                  <c:v>39965</c:v>
                </c:pt>
                <c:pt idx="17">
                  <c:v>62050</c:v>
                </c:pt>
                <c:pt idx="18">
                  <c:v>39244</c:v>
                </c:pt>
                <c:pt idx="19">
                  <c:v>36082</c:v>
                </c:pt>
                <c:pt idx="20">
                  <c:v>49709</c:v>
                </c:pt>
                <c:pt idx="21">
                  <c:v>40313</c:v>
                </c:pt>
                <c:pt idx="22">
                  <c:v>51285</c:v>
                </c:pt>
                <c:pt idx="23">
                  <c:v>57046</c:v>
                </c:pt>
                <c:pt idx="24">
                  <c:v>61413</c:v>
                </c:pt>
                <c:pt idx="25">
                  <c:v>53886</c:v>
                </c:pt>
                <c:pt idx="26">
                  <c:v>63618</c:v>
                </c:pt>
                <c:pt idx="27">
                  <c:v>36885</c:v>
                </c:pt>
                <c:pt idx="28">
                  <c:v>44614</c:v>
                </c:pt>
                <c:pt idx="29">
                  <c:v>54301</c:v>
                </c:pt>
                <c:pt idx="30">
                  <c:v>52168</c:v>
                </c:pt>
                <c:pt idx="31">
                  <c:v>51540</c:v>
                </c:pt>
                <c:pt idx="32">
                  <c:v>38297</c:v>
                </c:pt>
                <c:pt idx="33">
                  <c:v>51385</c:v>
                </c:pt>
                <c:pt idx="34">
                  <c:v>44894</c:v>
                </c:pt>
                <c:pt idx="35">
                  <c:v>52682</c:v>
                </c:pt>
                <c:pt idx="36">
                  <c:v>59779</c:v>
                </c:pt>
                <c:pt idx="37">
                  <c:v>54671</c:v>
                </c:pt>
                <c:pt idx="38">
                  <c:v>54021</c:v>
                </c:pt>
                <c:pt idx="39">
                  <c:v>39846</c:v>
                </c:pt>
                <c:pt idx="40">
                  <c:v>49776</c:v>
                </c:pt>
                <c:pt idx="41">
                  <c:v>50693</c:v>
                </c:pt>
                <c:pt idx="42">
                  <c:v>29963</c:v>
                </c:pt>
                <c:pt idx="43">
                  <c:v>41686</c:v>
                </c:pt>
                <c:pt idx="44">
                  <c:v>43357</c:v>
                </c:pt>
                <c:pt idx="45">
                  <c:v>60881</c:v>
                </c:pt>
                <c:pt idx="46">
                  <c:v>47822</c:v>
                </c:pt>
                <c:pt idx="47">
                  <c:v>57888</c:v>
                </c:pt>
                <c:pt idx="48">
                  <c:v>43178</c:v>
                </c:pt>
                <c:pt idx="49">
                  <c:v>58932</c:v>
                </c:pt>
                <c:pt idx="50">
                  <c:v>49227</c:v>
                </c:pt>
                <c:pt idx="51">
                  <c:v>53008</c:v>
                </c:pt>
                <c:pt idx="52">
                  <c:v>48314</c:v>
                </c:pt>
                <c:pt idx="53">
                  <c:v>48825</c:v>
                </c:pt>
                <c:pt idx="54">
                  <c:v>53309</c:v>
                </c:pt>
                <c:pt idx="55">
                  <c:v>46268</c:v>
                </c:pt>
                <c:pt idx="56">
                  <c:v>56177</c:v>
                </c:pt>
                <c:pt idx="57">
                  <c:v>67498</c:v>
                </c:pt>
                <c:pt idx="58">
                  <c:v>46687</c:v>
                </c:pt>
                <c:pt idx="59">
                  <c:v>30388</c:v>
                </c:pt>
                <c:pt idx="60">
                  <c:v>46553</c:v>
                </c:pt>
                <c:pt idx="61">
                  <c:v>53603</c:v>
                </c:pt>
                <c:pt idx="62">
                  <c:v>42852</c:v>
                </c:pt>
                <c:pt idx="63">
                  <c:v>47263</c:v>
                </c:pt>
                <c:pt idx="64">
                  <c:v>34772</c:v>
                </c:pt>
                <c:pt idx="65">
                  <c:v>58582</c:v>
                </c:pt>
                <c:pt idx="66">
                  <c:v>49393</c:v>
                </c:pt>
                <c:pt idx="67">
                  <c:v>48578</c:v>
                </c:pt>
                <c:pt idx="68">
                  <c:v>67555</c:v>
                </c:pt>
                <c:pt idx="69">
                  <c:v>60886</c:v>
                </c:pt>
                <c:pt idx="70">
                  <c:v>64738</c:v>
                </c:pt>
                <c:pt idx="71">
                  <c:v>28643</c:v>
                </c:pt>
                <c:pt idx="72">
                  <c:v>44815</c:v>
                </c:pt>
                <c:pt idx="73">
                  <c:v>47867</c:v>
                </c:pt>
                <c:pt idx="74">
                  <c:v>67328</c:v>
                </c:pt>
                <c:pt idx="75">
                  <c:v>36682</c:v>
                </c:pt>
                <c:pt idx="76">
                  <c:v>53768</c:v>
                </c:pt>
                <c:pt idx="77">
                  <c:v>49475</c:v>
                </c:pt>
                <c:pt idx="78">
                  <c:v>53660</c:v>
                </c:pt>
                <c:pt idx="79">
                  <c:v>35779</c:v>
                </c:pt>
                <c:pt idx="80">
                  <c:v>54889</c:v>
                </c:pt>
                <c:pt idx="81">
                  <c:v>66765</c:v>
                </c:pt>
                <c:pt idx="82">
                  <c:v>68917</c:v>
                </c:pt>
                <c:pt idx="83">
                  <c:v>61419</c:v>
                </c:pt>
                <c:pt idx="84">
                  <c:v>38266</c:v>
                </c:pt>
                <c:pt idx="85">
                  <c:v>43248</c:v>
                </c:pt>
                <c:pt idx="86">
                  <c:v>68301</c:v>
                </c:pt>
                <c:pt idx="87">
                  <c:v>63795</c:v>
                </c:pt>
                <c:pt idx="88">
                  <c:v>57423</c:v>
                </c:pt>
                <c:pt idx="89">
                  <c:v>80822</c:v>
                </c:pt>
                <c:pt idx="90">
                  <c:v>63737</c:v>
                </c:pt>
                <c:pt idx="91">
                  <c:v>51122</c:v>
                </c:pt>
                <c:pt idx="92">
                  <c:v>47766</c:v>
                </c:pt>
                <c:pt idx="93">
                  <c:v>45940</c:v>
                </c:pt>
                <c:pt idx="94">
                  <c:v>63135</c:v>
                </c:pt>
                <c:pt idx="95">
                  <c:v>51007</c:v>
                </c:pt>
                <c:pt idx="96">
                  <c:v>54478</c:v>
                </c:pt>
                <c:pt idx="97">
                  <c:v>45794</c:v>
                </c:pt>
                <c:pt idx="98">
                  <c:v>35635</c:v>
                </c:pt>
                <c:pt idx="99">
                  <c:v>59949</c:v>
                </c:pt>
                <c:pt idx="100">
                  <c:v>33849</c:v>
                </c:pt>
                <c:pt idx="101">
                  <c:v>67607</c:v>
                </c:pt>
                <c:pt idx="102">
                  <c:v>59348</c:v>
                </c:pt>
                <c:pt idx="103">
                  <c:v>66959</c:v>
                </c:pt>
                <c:pt idx="104">
                  <c:v>50003</c:v>
                </c:pt>
                <c:pt idx="105">
                  <c:v>44211</c:v>
                </c:pt>
                <c:pt idx="106">
                  <c:v>76582</c:v>
                </c:pt>
                <c:pt idx="107">
                  <c:v>53496</c:v>
                </c:pt>
                <c:pt idx="108">
                  <c:v>44627</c:v>
                </c:pt>
                <c:pt idx="109">
                  <c:v>50769</c:v>
                </c:pt>
                <c:pt idx="110">
                  <c:v>64029</c:v>
                </c:pt>
                <c:pt idx="111">
                  <c:v>45473</c:v>
                </c:pt>
                <c:pt idx="112">
                  <c:v>43197</c:v>
                </c:pt>
                <c:pt idx="113">
                  <c:v>50174</c:v>
                </c:pt>
                <c:pt idx="114">
                  <c:v>32312</c:v>
                </c:pt>
                <c:pt idx="115">
                  <c:v>38510</c:v>
                </c:pt>
                <c:pt idx="116">
                  <c:v>45101</c:v>
                </c:pt>
                <c:pt idx="117">
                  <c:v>50803</c:v>
                </c:pt>
                <c:pt idx="118">
                  <c:v>43874</c:v>
                </c:pt>
                <c:pt idx="119">
                  <c:v>53745</c:v>
                </c:pt>
                <c:pt idx="120">
                  <c:v>38429</c:v>
                </c:pt>
                <c:pt idx="121">
                  <c:v>31438</c:v>
                </c:pt>
                <c:pt idx="122">
                  <c:v>48007</c:v>
                </c:pt>
                <c:pt idx="123">
                  <c:v>46598</c:v>
                </c:pt>
                <c:pt idx="124">
                  <c:v>46647</c:v>
                </c:pt>
                <c:pt idx="125">
                  <c:v>40488</c:v>
                </c:pt>
                <c:pt idx="126">
                  <c:v>61345</c:v>
                </c:pt>
                <c:pt idx="127">
                  <c:v>64847</c:v>
                </c:pt>
                <c:pt idx="128">
                  <c:v>43317</c:v>
                </c:pt>
                <c:pt idx="129">
                  <c:v>57642</c:v>
                </c:pt>
                <c:pt idx="130">
                  <c:v>47266</c:v>
                </c:pt>
                <c:pt idx="131">
                  <c:v>41115</c:v>
                </c:pt>
                <c:pt idx="132">
                  <c:v>59801</c:v>
                </c:pt>
                <c:pt idx="133">
                  <c:v>56692</c:v>
                </c:pt>
                <c:pt idx="134">
                  <c:v>40871</c:v>
                </c:pt>
                <c:pt idx="135">
                  <c:v>36646</c:v>
                </c:pt>
                <c:pt idx="136">
                  <c:v>54296</c:v>
                </c:pt>
                <c:pt idx="137">
                  <c:v>44780</c:v>
                </c:pt>
                <c:pt idx="138">
                  <c:v>67883</c:v>
                </c:pt>
                <c:pt idx="139">
                  <c:v>59043</c:v>
                </c:pt>
                <c:pt idx="140">
                  <c:v>45205</c:v>
                </c:pt>
                <c:pt idx="141">
                  <c:v>33837</c:v>
                </c:pt>
                <c:pt idx="142">
                  <c:v>44953</c:v>
                </c:pt>
                <c:pt idx="143">
                  <c:v>60552</c:v>
                </c:pt>
                <c:pt idx="144">
                  <c:v>49705</c:v>
                </c:pt>
                <c:pt idx="145">
                  <c:v>52373</c:v>
                </c:pt>
                <c:pt idx="146">
                  <c:v>59252</c:v>
                </c:pt>
                <c:pt idx="147">
                  <c:v>52358</c:v>
                </c:pt>
                <c:pt idx="148">
                  <c:v>56100</c:v>
                </c:pt>
                <c:pt idx="149">
                  <c:v>43215</c:v>
                </c:pt>
                <c:pt idx="150">
                  <c:v>46932</c:v>
                </c:pt>
                <c:pt idx="151">
                  <c:v>47420</c:v>
                </c:pt>
                <c:pt idx="152">
                  <c:v>57402</c:v>
                </c:pt>
                <c:pt idx="153">
                  <c:v>49268</c:v>
                </c:pt>
                <c:pt idx="154">
                  <c:v>67028</c:v>
                </c:pt>
                <c:pt idx="155">
                  <c:v>43205</c:v>
                </c:pt>
                <c:pt idx="156">
                  <c:v>63429</c:v>
                </c:pt>
                <c:pt idx="157">
                  <c:v>56732</c:v>
                </c:pt>
                <c:pt idx="158">
                  <c:v>47549</c:v>
                </c:pt>
                <c:pt idx="159">
                  <c:v>50265</c:v>
                </c:pt>
                <c:pt idx="160">
                  <c:v>36727</c:v>
                </c:pt>
                <c:pt idx="161">
                  <c:v>52065</c:v>
                </c:pt>
                <c:pt idx="162">
                  <c:v>56858</c:v>
                </c:pt>
                <c:pt idx="163">
                  <c:v>69801</c:v>
                </c:pt>
                <c:pt idx="164">
                  <c:v>37482</c:v>
                </c:pt>
                <c:pt idx="165">
                  <c:v>48455</c:v>
                </c:pt>
                <c:pt idx="166">
                  <c:v>43218</c:v>
                </c:pt>
                <c:pt idx="167">
                  <c:v>59211</c:v>
                </c:pt>
                <c:pt idx="168">
                  <c:v>49532</c:v>
                </c:pt>
                <c:pt idx="169">
                  <c:v>69318</c:v>
                </c:pt>
                <c:pt idx="170">
                  <c:v>53651</c:v>
                </c:pt>
                <c:pt idx="171">
                  <c:v>58594</c:v>
                </c:pt>
                <c:pt idx="172">
                  <c:v>49239</c:v>
                </c:pt>
                <c:pt idx="173">
                  <c:v>48289</c:v>
                </c:pt>
                <c:pt idx="174">
                  <c:v>53534</c:v>
                </c:pt>
                <c:pt idx="175">
                  <c:v>58823</c:v>
                </c:pt>
                <c:pt idx="176">
                  <c:v>53276</c:v>
                </c:pt>
                <c:pt idx="177">
                  <c:v>45590</c:v>
                </c:pt>
                <c:pt idx="178">
                  <c:v>57936</c:v>
                </c:pt>
                <c:pt idx="179">
                  <c:v>29837</c:v>
                </c:pt>
                <c:pt idx="180">
                  <c:v>61837</c:v>
                </c:pt>
                <c:pt idx="181">
                  <c:v>27931</c:v>
                </c:pt>
                <c:pt idx="182">
                  <c:v>40640</c:v>
                </c:pt>
                <c:pt idx="183">
                  <c:v>51749</c:v>
                </c:pt>
                <c:pt idx="184">
                  <c:v>37562</c:v>
                </c:pt>
                <c:pt idx="185">
                  <c:v>46669</c:v>
                </c:pt>
                <c:pt idx="186">
                  <c:v>35721</c:v>
                </c:pt>
                <c:pt idx="187">
                  <c:v>32238</c:v>
                </c:pt>
                <c:pt idx="188">
                  <c:v>60481</c:v>
                </c:pt>
                <c:pt idx="189">
                  <c:v>52440</c:v>
                </c:pt>
                <c:pt idx="190">
                  <c:v>58642</c:v>
                </c:pt>
                <c:pt idx="191">
                  <c:v>49889</c:v>
                </c:pt>
                <c:pt idx="192">
                  <c:v>34117</c:v>
                </c:pt>
                <c:pt idx="193">
                  <c:v>62173</c:v>
                </c:pt>
                <c:pt idx="194">
                  <c:v>71738</c:v>
                </c:pt>
                <c:pt idx="195">
                  <c:v>51782</c:v>
                </c:pt>
                <c:pt idx="196">
                  <c:v>50593</c:v>
                </c:pt>
                <c:pt idx="197">
                  <c:v>61418</c:v>
                </c:pt>
                <c:pt idx="198">
                  <c:v>62049</c:v>
                </c:pt>
                <c:pt idx="199">
                  <c:v>43601</c:v>
                </c:pt>
                <c:pt idx="200">
                  <c:v>37275</c:v>
                </c:pt>
                <c:pt idx="201">
                  <c:v>55643</c:v>
                </c:pt>
                <c:pt idx="202">
                  <c:v>58001</c:v>
                </c:pt>
                <c:pt idx="203">
                  <c:v>57854</c:v>
                </c:pt>
                <c:pt idx="204">
                  <c:v>66319</c:v>
                </c:pt>
                <c:pt idx="205">
                  <c:v>60589</c:v>
                </c:pt>
                <c:pt idx="206">
                  <c:v>53233</c:v>
                </c:pt>
                <c:pt idx="207">
                  <c:v>42193</c:v>
                </c:pt>
                <c:pt idx="208">
                  <c:v>47102</c:v>
                </c:pt>
                <c:pt idx="209">
                  <c:v>53861</c:v>
                </c:pt>
                <c:pt idx="210">
                  <c:v>61242</c:v>
                </c:pt>
                <c:pt idx="211">
                  <c:v>52062</c:v>
                </c:pt>
                <c:pt idx="212">
                  <c:v>50310</c:v>
                </c:pt>
                <c:pt idx="213">
                  <c:v>54277</c:v>
                </c:pt>
                <c:pt idx="214">
                  <c:v>51149</c:v>
                </c:pt>
                <c:pt idx="215">
                  <c:v>46471</c:v>
                </c:pt>
                <c:pt idx="216">
                  <c:v>39932</c:v>
                </c:pt>
                <c:pt idx="217">
                  <c:v>49974</c:v>
                </c:pt>
                <c:pt idx="218">
                  <c:v>44886</c:v>
                </c:pt>
                <c:pt idx="219">
                  <c:v>54878</c:v>
                </c:pt>
                <c:pt idx="220">
                  <c:v>29441</c:v>
                </c:pt>
                <c:pt idx="221">
                  <c:v>53933</c:v>
                </c:pt>
                <c:pt idx="222">
                  <c:v>53170</c:v>
                </c:pt>
                <c:pt idx="223">
                  <c:v>65568</c:v>
                </c:pt>
                <c:pt idx="224">
                  <c:v>40067</c:v>
                </c:pt>
                <c:pt idx="225">
                  <c:v>38891</c:v>
                </c:pt>
                <c:pt idx="226">
                  <c:v>60338</c:v>
                </c:pt>
                <c:pt idx="227">
                  <c:v>40283</c:v>
                </c:pt>
                <c:pt idx="228">
                  <c:v>42276</c:v>
                </c:pt>
                <c:pt idx="229">
                  <c:v>53056</c:v>
                </c:pt>
                <c:pt idx="230">
                  <c:v>51279</c:v>
                </c:pt>
                <c:pt idx="231">
                  <c:v>31999</c:v>
                </c:pt>
                <c:pt idx="232">
                  <c:v>42562</c:v>
                </c:pt>
                <c:pt idx="233">
                  <c:v>41477</c:v>
                </c:pt>
                <c:pt idx="234">
                  <c:v>49034</c:v>
                </c:pt>
                <c:pt idx="235">
                  <c:v>44037</c:v>
                </c:pt>
                <c:pt idx="236">
                  <c:v>55943</c:v>
                </c:pt>
                <c:pt idx="237">
                  <c:v>41976</c:v>
                </c:pt>
                <c:pt idx="238">
                  <c:v>55956</c:v>
                </c:pt>
                <c:pt idx="239">
                  <c:v>43820</c:v>
                </c:pt>
                <c:pt idx="240">
                  <c:v>39561</c:v>
                </c:pt>
                <c:pt idx="241">
                  <c:v>49301</c:v>
                </c:pt>
                <c:pt idx="242">
                  <c:v>34481</c:v>
                </c:pt>
                <c:pt idx="243">
                  <c:v>79523</c:v>
                </c:pt>
                <c:pt idx="244">
                  <c:v>60619</c:v>
                </c:pt>
                <c:pt idx="245">
                  <c:v>48614</c:v>
                </c:pt>
                <c:pt idx="246">
                  <c:v>46275</c:v>
                </c:pt>
                <c:pt idx="247">
                  <c:v>52410</c:v>
                </c:pt>
                <c:pt idx="248">
                  <c:v>68753</c:v>
                </c:pt>
                <c:pt idx="249">
                  <c:v>61053</c:v>
                </c:pt>
                <c:pt idx="250">
                  <c:v>38342</c:v>
                </c:pt>
                <c:pt idx="251">
                  <c:v>45164</c:v>
                </c:pt>
                <c:pt idx="252">
                  <c:v>57892</c:v>
                </c:pt>
                <c:pt idx="253">
                  <c:v>56376</c:v>
                </c:pt>
                <c:pt idx="254">
                  <c:v>51778</c:v>
                </c:pt>
                <c:pt idx="255">
                  <c:v>47570</c:v>
                </c:pt>
                <c:pt idx="256">
                  <c:v>43000</c:v>
                </c:pt>
                <c:pt idx="257">
                  <c:v>42997</c:v>
                </c:pt>
                <c:pt idx="258">
                  <c:v>78838</c:v>
                </c:pt>
                <c:pt idx="259">
                  <c:v>41494</c:v>
                </c:pt>
                <c:pt idx="260">
                  <c:v>55860</c:v>
                </c:pt>
                <c:pt idx="261">
                  <c:v>52210</c:v>
                </c:pt>
                <c:pt idx="262">
                  <c:v>59097</c:v>
                </c:pt>
                <c:pt idx="263">
                  <c:v>57334</c:v>
                </c:pt>
                <c:pt idx="264">
                  <c:v>61061</c:v>
                </c:pt>
                <c:pt idx="265">
                  <c:v>29190</c:v>
                </c:pt>
                <c:pt idx="266">
                  <c:v>42344</c:v>
                </c:pt>
                <c:pt idx="267">
                  <c:v>61822</c:v>
                </c:pt>
                <c:pt idx="268">
                  <c:v>49549</c:v>
                </c:pt>
                <c:pt idx="269">
                  <c:v>38960</c:v>
                </c:pt>
                <c:pt idx="270">
                  <c:v>49957</c:v>
                </c:pt>
                <c:pt idx="271">
                  <c:v>46069</c:v>
                </c:pt>
                <c:pt idx="272">
                  <c:v>49990</c:v>
                </c:pt>
                <c:pt idx="273">
                  <c:v>44364</c:v>
                </c:pt>
                <c:pt idx="274">
                  <c:v>58982</c:v>
                </c:pt>
                <c:pt idx="275">
                  <c:v>68632</c:v>
                </c:pt>
                <c:pt idx="276">
                  <c:v>47512</c:v>
                </c:pt>
                <c:pt idx="277">
                  <c:v>53881</c:v>
                </c:pt>
                <c:pt idx="278">
                  <c:v>38542</c:v>
                </c:pt>
                <c:pt idx="279">
                  <c:v>39402</c:v>
                </c:pt>
                <c:pt idx="280">
                  <c:v>38559</c:v>
                </c:pt>
                <c:pt idx="281">
                  <c:v>65893</c:v>
                </c:pt>
                <c:pt idx="282">
                  <c:v>52273</c:v>
                </c:pt>
                <c:pt idx="283">
                  <c:v>69289</c:v>
                </c:pt>
                <c:pt idx="284">
                  <c:v>63516</c:v>
                </c:pt>
                <c:pt idx="285">
                  <c:v>40683</c:v>
                </c:pt>
                <c:pt idx="286">
                  <c:v>45970</c:v>
                </c:pt>
                <c:pt idx="287">
                  <c:v>62591</c:v>
                </c:pt>
                <c:pt idx="288">
                  <c:v>50277</c:v>
                </c:pt>
                <c:pt idx="289">
                  <c:v>39750</c:v>
                </c:pt>
                <c:pt idx="290">
                  <c:v>67664</c:v>
                </c:pt>
                <c:pt idx="291">
                  <c:v>58491</c:v>
                </c:pt>
                <c:pt idx="292">
                  <c:v>39088</c:v>
                </c:pt>
                <c:pt idx="293">
                  <c:v>55713</c:v>
                </c:pt>
                <c:pt idx="294">
                  <c:v>67838</c:v>
                </c:pt>
                <c:pt idx="295">
                  <c:v>55317</c:v>
                </c:pt>
                <c:pt idx="296">
                  <c:v>42585</c:v>
                </c:pt>
                <c:pt idx="297">
                  <c:v>52813</c:v>
                </c:pt>
                <c:pt idx="298">
                  <c:v>51175</c:v>
                </c:pt>
                <c:pt idx="299">
                  <c:v>40750</c:v>
                </c:pt>
                <c:pt idx="300">
                  <c:v>50436</c:v>
                </c:pt>
                <c:pt idx="301">
                  <c:v>45503</c:v>
                </c:pt>
                <c:pt idx="302">
                  <c:v>43415</c:v>
                </c:pt>
                <c:pt idx="303">
                  <c:v>49683</c:v>
                </c:pt>
                <c:pt idx="304">
                  <c:v>60355</c:v>
                </c:pt>
                <c:pt idx="305">
                  <c:v>52395</c:v>
                </c:pt>
                <c:pt idx="306">
                  <c:v>58367</c:v>
                </c:pt>
                <c:pt idx="307">
                  <c:v>41870</c:v>
                </c:pt>
                <c:pt idx="308">
                  <c:v>60241</c:v>
                </c:pt>
                <c:pt idx="309">
                  <c:v>63664</c:v>
                </c:pt>
                <c:pt idx="310">
                  <c:v>44689</c:v>
                </c:pt>
                <c:pt idx="311">
                  <c:v>56863</c:v>
                </c:pt>
                <c:pt idx="312">
                  <c:v>52443</c:v>
                </c:pt>
                <c:pt idx="313">
                  <c:v>61010</c:v>
                </c:pt>
                <c:pt idx="314">
                  <c:v>43187</c:v>
                </c:pt>
                <c:pt idx="315">
                  <c:v>49280</c:v>
                </c:pt>
                <c:pt idx="316">
                  <c:v>65711</c:v>
                </c:pt>
                <c:pt idx="317">
                  <c:v>51835</c:v>
                </c:pt>
                <c:pt idx="318">
                  <c:v>63944</c:v>
                </c:pt>
                <c:pt idx="319">
                  <c:v>61511</c:v>
                </c:pt>
                <c:pt idx="320">
                  <c:v>45396</c:v>
                </c:pt>
                <c:pt idx="321">
                  <c:v>34580</c:v>
                </c:pt>
                <c:pt idx="322">
                  <c:v>43293</c:v>
                </c:pt>
                <c:pt idx="323">
                  <c:v>44341</c:v>
                </c:pt>
                <c:pt idx="324">
                  <c:v>51251</c:v>
                </c:pt>
                <c:pt idx="325">
                  <c:v>48568</c:v>
                </c:pt>
                <c:pt idx="326">
                  <c:v>38872</c:v>
                </c:pt>
                <c:pt idx="327">
                  <c:v>51266</c:v>
                </c:pt>
                <c:pt idx="328">
                  <c:v>46710</c:v>
                </c:pt>
                <c:pt idx="329">
                  <c:v>45224</c:v>
                </c:pt>
                <c:pt idx="330">
                  <c:v>55480</c:v>
                </c:pt>
                <c:pt idx="331">
                  <c:v>59181</c:v>
                </c:pt>
                <c:pt idx="332">
                  <c:v>60448</c:v>
                </c:pt>
                <c:pt idx="333">
                  <c:v>68124</c:v>
                </c:pt>
                <c:pt idx="334">
                  <c:v>51490</c:v>
                </c:pt>
                <c:pt idx="335">
                  <c:v>48477</c:v>
                </c:pt>
                <c:pt idx="336">
                  <c:v>50637</c:v>
                </c:pt>
                <c:pt idx="337">
                  <c:v>33481</c:v>
                </c:pt>
                <c:pt idx="338">
                  <c:v>50896</c:v>
                </c:pt>
                <c:pt idx="339">
                  <c:v>55760</c:v>
                </c:pt>
                <c:pt idx="340">
                  <c:v>48346</c:v>
                </c:pt>
                <c:pt idx="341">
                  <c:v>60234</c:v>
                </c:pt>
                <c:pt idx="342">
                  <c:v>57872</c:v>
                </c:pt>
                <c:pt idx="343">
                  <c:v>55468</c:v>
                </c:pt>
                <c:pt idx="344">
                  <c:v>55299</c:v>
                </c:pt>
                <c:pt idx="345">
                  <c:v>52060</c:v>
                </c:pt>
                <c:pt idx="346">
                  <c:v>49110</c:v>
                </c:pt>
                <c:pt idx="347">
                  <c:v>39334</c:v>
                </c:pt>
                <c:pt idx="348">
                  <c:v>35038</c:v>
                </c:pt>
                <c:pt idx="349">
                  <c:v>53733</c:v>
                </c:pt>
                <c:pt idx="350">
                  <c:v>32993</c:v>
                </c:pt>
                <c:pt idx="351">
                  <c:v>41469</c:v>
                </c:pt>
                <c:pt idx="352">
                  <c:v>62974</c:v>
                </c:pt>
                <c:pt idx="353">
                  <c:v>66361</c:v>
                </c:pt>
                <c:pt idx="354">
                  <c:v>68072</c:v>
                </c:pt>
                <c:pt idx="355">
                  <c:v>49909</c:v>
                </c:pt>
                <c:pt idx="356">
                  <c:v>61905</c:v>
                </c:pt>
                <c:pt idx="357">
                  <c:v>41064</c:v>
                </c:pt>
                <c:pt idx="358">
                  <c:v>41055</c:v>
                </c:pt>
                <c:pt idx="359">
                  <c:v>66519</c:v>
                </c:pt>
                <c:pt idx="360">
                  <c:v>34355</c:v>
                </c:pt>
                <c:pt idx="361">
                  <c:v>47639</c:v>
                </c:pt>
                <c:pt idx="362">
                  <c:v>55242</c:v>
                </c:pt>
                <c:pt idx="363">
                  <c:v>55865</c:v>
                </c:pt>
                <c:pt idx="364">
                  <c:v>52512</c:v>
                </c:pt>
                <c:pt idx="365">
                  <c:v>57634</c:v>
                </c:pt>
                <c:pt idx="366">
                  <c:v>51976</c:v>
                </c:pt>
                <c:pt idx="367">
                  <c:v>49747</c:v>
                </c:pt>
                <c:pt idx="368">
                  <c:v>52005</c:v>
                </c:pt>
                <c:pt idx="369">
                  <c:v>43062</c:v>
                </c:pt>
                <c:pt idx="370">
                  <c:v>48167</c:v>
                </c:pt>
                <c:pt idx="371">
                  <c:v>41937</c:v>
                </c:pt>
                <c:pt idx="372">
                  <c:v>37555</c:v>
                </c:pt>
                <c:pt idx="373">
                  <c:v>32668</c:v>
                </c:pt>
                <c:pt idx="374">
                  <c:v>42440</c:v>
                </c:pt>
                <c:pt idx="375">
                  <c:v>58687</c:v>
                </c:pt>
                <c:pt idx="376">
                  <c:v>42055</c:v>
                </c:pt>
                <c:pt idx="377">
                  <c:v>57587</c:v>
                </c:pt>
                <c:pt idx="378">
                  <c:v>49978</c:v>
                </c:pt>
                <c:pt idx="379">
                  <c:v>39447</c:v>
                </c:pt>
                <c:pt idx="380">
                  <c:v>60943</c:v>
                </c:pt>
                <c:pt idx="381">
                  <c:v>62380</c:v>
                </c:pt>
                <c:pt idx="382">
                  <c:v>38510</c:v>
                </c:pt>
                <c:pt idx="383">
                  <c:v>49070</c:v>
                </c:pt>
                <c:pt idx="384">
                  <c:v>47817</c:v>
                </c:pt>
                <c:pt idx="385">
                  <c:v>55040</c:v>
                </c:pt>
                <c:pt idx="386">
                  <c:v>56460</c:v>
                </c:pt>
                <c:pt idx="387">
                  <c:v>38101</c:v>
                </c:pt>
                <c:pt idx="388">
                  <c:v>43503</c:v>
                </c:pt>
                <c:pt idx="389">
                  <c:v>46937</c:v>
                </c:pt>
                <c:pt idx="390">
                  <c:v>38578</c:v>
                </c:pt>
                <c:pt idx="391">
                  <c:v>44232</c:v>
                </c:pt>
                <c:pt idx="392">
                  <c:v>27881</c:v>
                </c:pt>
                <c:pt idx="393">
                  <c:v>67381</c:v>
                </c:pt>
                <c:pt idx="394">
                  <c:v>64719</c:v>
                </c:pt>
                <c:pt idx="395">
                  <c:v>55902</c:v>
                </c:pt>
                <c:pt idx="396">
                  <c:v>63105</c:v>
                </c:pt>
                <c:pt idx="397">
                  <c:v>44229</c:v>
                </c:pt>
                <c:pt idx="398">
                  <c:v>34402</c:v>
                </c:pt>
                <c:pt idx="399">
                  <c:v>60472</c:v>
                </c:pt>
                <c:pt idx="400">
                  <c:v>49707</c:v>
                </c:pt>
                <c:pt idx="401">
                  <c:v>63696</c:v>
                </c:pt>
                <c:pt idx="402">
                  <c:v>56479</c:v>
                </c:pt>
                <c:pt idx="403">
                  <c:v>62096</c:v>
                </c:pt>
                <c:pt idx="404">
                  <c:v>52841</c:v>
                </c:pt>
                <c:pt idx="405">
                  <c:v>33122</c:v>
                </c:pt>
                <c:pt idx="406">
                  <c:v>74147</c:v>
                </c:pt>
                <c:pt idx="407">
                  <c:v>44530</c:v>
                </c:pt>
                <c:pt idx="408">
                  <c:v>49501</c:v>
                </c:pt>
                <c:pt idx="409">
                  <c:v>32616</c:v>
                </c:pt>
                <c:pt idx="410">
                  <c:v>46822</c:v>
                </c:pt>
                <c:pt idx="411">
                  <c:v>43701</c:v>
                </c:pt>
                <c:pt idx="412">
                  <c:v>47394</c:v>
                </c:pt>
                <c:pt idx="413">
                  <c:v>30767</c:v>
                </c:pt>
                <c:pt idx="414">
                  <c:v>49346</c:v>
                </c:pt>
                <c:pt idx="415">
                  <c:v>44298</c:v>
                </c:pt>
                <c:pt idx="416">
                  <c:v>30083</c:v>
                </c:pt>
                <c:pt idx="417">
                  <c:v>48245</c:v>
                </c:pt>
                <c:pt idx="418">
                  <c:v>29053</c:v>
                </c:pt>
                <c:pt idx="419">
                  <c:v>48001</c:v>
                </c:pt>
                <c:pt idx="420">
                  <c:v>60054</c:v>
                </c:pt>
                <c:pt idx="421">
                  <c:v>43771</c:v>
                </c:pt>
                <c:pt idx="422">
                  <c:v>51541</c:v>
                </c:pt>
                <c:pt idx="423">
                  <c:v>49568</c:v>
                </c:pt>
                <c:pt idx="424">
                  <c:v>70480</c:v>
                </c:pt>
                <c:pt idx="425">
                  <c:v>52561</c:v>
                </c:pt>
                <c:pt idx="426">
                  <c:v>52123</c:v>
                </c:pt>
                <c:pt idx="427">
                  <c:v>58852</c:v>
                </c:pt>
                <c:pt idx="428">
                  <c:v>56602</c:v>
                </c:pt>
                <c:pt idx="429">
                  <c:v>41289</c:v>
                </c:pt>
                <c:pt idx="430">
                  <c:v>52554</c:v>
                </c:pt>
                <c:pt idx="431">
                  <c:v>46502</c:v>
                </c:pt>
                <c:pt idx="432">
                  <c:v>57779</c:v>
                </c:pt>
                <c:pt idx="433">
                  <c:v>38458</c:v>
                </c:pt>
                <c:pt idx="434">
                  <c:v>54030</c:v>
                </c:pt>
                <c:pt idx="435">
                  <c:v>50347</c:v>
                </c:pt>
                <c:pt idx="436">
                  <c:v>45210</c:v>
                </c:pt>
                <c:pt idx="437">
                  <c:v>43611</c:v>
                </c:pt>
                <c:pt idx="438">
                  <c:v>55918</c:v>
                </c:pt>
                <c:pt idx="439">
                  <c:v>66685</c:v>
                </c:pt>
                <c:pt idx="440">
                  <c:v>53045</c:v>
                </c:pt>
                <c:pt idx="441">
                  <c:v>26391</c:v>
                </c:pt>
                <c:pt idx="442">
                  <c:v>71028</c:v>
                </c:pt>
                <c:pt idx="443">
                  <c:v>56914</c:v>
                </c:pt>
                <c:pt idx="444">
                  <c:v>41227</c:v>
                </c:pt>
                <c:pt idx="445">
                  <c:v>56736</c:v>
                </c:pt>
                <c:pt idx="446">
                  <c:v>50832</c:v>
                </c:pt>
                <c:pt idx="447">
                  <c:v>50977</c:v>
                </c:pt>
                <c:pt idx="448">
                  <c:v>63948</c:v>
                </c:pt>
                <c:pt idx="449">
                  <c:v>47746</c:v>
                </c:pt>
                <c:pt idx="450">
                  <c:v>63457</c:v>
                </c:pt>
                <c:pt idx="451">
                  <c:v>34237</c:v>
                </c:pt>
                <c:pt idx="452">
                  <c:v>47542</c:v>
                </c:pt>
                <c:pt idx="453">
                  <c:v>62848</c:v>
                </c:pt>
                <c:pt idx="454">
                  <c:v>41670</c:v>
                </c:pt>
                <c:pt idx="455">
                  <c:v>43114</c:v>
                </c:pt>
                <c:pt idx="456">
                  <c:v>40434</c:v>
                </c:pt>
                <c:pt idx="457">
                  <c:v>29216</c:v>
                </c:pt>
                <c:pt idx="458">
                  <c:v>37391</c:v>
                </c:pt>
                <c:pt idx="459">
                  <c:v>56727</c:v>
                </c:pt>
                <c:pt idx="460">
                  <c:v>54572</c:v>
                </c:pt>
                <c:pt idx="461">
                  <c:v>31225</c:v>
                </c:pt>
                <c:pt idx="462">
                  <c:v>58883</c:v>
                </c:pt>
                <c:pt idx="463">
                  <c:v>34004</c:v>
                </c:pt>
                <c:pt idx="464">
                  <c:v>45337</c:v>
                </c:pt>
                <c:pt idx="465">
                  <c:v>51520</c:v>
                </c:pt>
                <c:pt idx="466">
                  <c:v>49332</c:v>
                </c:pt>
                <c:pt idx="467">
                  <c:v>46760</c:v>
                </c:pt>
                <c:pt idx="468">
                  <c:v>64640</c:v>
                </c:pt>
                <c:pt idx="469">
                  <c:v>52341</c:v>
                </c:pt>
                <c:pt idx="470">
                  <c:v>39689</c:v>
                </c:pt>
                <c:pt idx="471">
                  <c:v>30495</c:v>
                </c:pt>
                <c:pt idx="472">
                  <c:v>36686</c:v>
                </c:pt>
                <c:pt idx="473">
                  <c:v>70426</c:v>
                </c:pt>
                <c:pt idx="474">
                  <c:v>70305</c:v>
                </c:pt>
                <c:pt idx="475">
                  <c:v>41677</c:v>
                </c:pt>
                <c:pt idx="476">
                  <c:v>32060</c:v>
                </c:pt>
                <c:pt idx="477">
                  <c:v>51147</c:v>
                </c:pt>
                <c:pt idx="478">
                  <c:v>58783</c:v>
                </c:pt>
                <c:pt idx="479">
                  <c:v>45346</c:v>
                </c:pt>
                <c:pt idx="480">
                  <c:v>53366</c:v>
                </c:pt>
                <c:pt idx="481">
                  <c:v>63935</c:v>
                </c:pt>
                <c:pt idx="482">
                  <c:v>33321</c:v>
                </c:pt>
                <c:pt idx="483">
                  <c:v>42445</c:v>
                </c:pt>
                <c:pt idx="484">
                  <c:v>69803</c:v>
                </c:pt>
                <c:pt idx="485">
                  <c:v>31335</c:v>
                </c:pt>
                <c:pt idx="486">
                  <c:v>53694</c:v>
                </c:pt>
                <c:pt idx="487">
                  <c:v>50171</c:v>
                </c:pt>
                <c:pt idx="488">
                  <c:v>63505</c:v>
                </c:pt>
                <c:pt idx="489">
                  <c:v>57488</c:v>
                </c:pt>
                <c:pt idx="490">
                  <c:v>40657</c:v>
                </c:pt>
                <c:pt idx="491">
                  <c:v>43272</c:v>
                </c:pt>
                <c:pt idx="492">
                  <c:v>46415</c:v>
                </c:pt>
                <c:pt idx="493">
                  <c:v>44392</c:v>
                </c:pt>
                <c:pt idx="494">
                  <c:v>55205</c:v>
                </c:pt>
                <c:pt idx="495">
                  <c:v>65104</c:v>
                </c:pt>
                <c:pt idx="496">
                  <c:v>51671</c:v>
                </c:pt>
                <c:pt idx="497">
                  <c:v>44359</c:v>
                </c:pt>
                <c:pt idx="498">
                  <c:v>51025</c:v>
                </c:pt>
                <c:pt idx="499">
                  <c:v>46814</c:v>
                </c:pt>
                <c:pt idx="500">
                  <c:v>59545</c:v>
                </c:pt>
                <c:pt idx="501">
                  <c:v>39055</c:v>
                </c:pt>
                <c:pt idx="502">
                  <c:v>66773</c:v>
                </c:pt>
                <c:pt idx="503">
                  <c:v>72764</c:v>
                </c:pt>
                <c:pt idx="504">
                  <c:v>65751</c:v>
                </c:pt>
                <c:pt idx="505">
                  <c:v>52893</c:v>
                </c:pt>
                <c:pt idx="506">
                  <c:v>28807</c:v>
                </c:pt>
                <c:pt idx="507">
                  <c:v>46179</c:v>
                </c:pt>
                <c:pt idx="508">
                  <c:v>62596</c:v>
                </c:pt>
                <c:pt idx="509">
                  <c:v>39409</c:v>
                </c:pt>
                <c:pt idx="510">
                  <c:v>48021</c:v>
                </c:pt>
                <c:pt idx="511">
                  <c:v>70304</c:v>
                </c:pt>
                <c:pt idx="512">
                  <c:v>57518</c:v>
                </c:pt>
                <c:pt idx="513">
                  <c:v>65083</c:v>
                </c:pt>
                <c:pt idx="514">
                  <c:v>24619</c:v>
                </c:pt>
                <c:pt idx="515">
                  <c:v>37558</c:v>
                </c:pt>
                <c:pt idx="516">
                  <c:v>47570</c:v>
                </c:pt>
                <c:pt idx="517">
                  <c:v>36490</c:v>
                </c:pt>
                <c:pt idx="518">
                  <c:v>40389</c:v>
                </c:pt>
                <c:pt idx="519">
                  <c:v>38332</c:v>
                </c:pt>
                <c:pt idx="520">
                  <c:v>57056</c:v>
                </c:pt>
                <c:pt idx="521">
                  <c:v>70754</c:v>
                </c:pt>
                <c:pt idx="522">
                  <c:v>16651</c:v>
                </c:pt>
                <c:pt idx="523">
                  <c:v>51994</c:v>
                </c:pt>
                <c:pt idx="524">
                  <c:v>43035</c:v>
                </c:pt>
                <c:pt idx="525">
                  <c:v>59023</c:v>
                </c:pt>
                <c:pt idx="526">
                  <c:v>51850</c:v>
                </c:pt>
                <c:pt idx="527">
                  <c:v>51817</c:v>
                </c:pt>
                <c:pt idx="528">
                  <c:v>44920</c:v>
                </c:pt>
                <c:pt idx="529">
                  <c:v>49489</c:v>
                </c:pt>
                <c:pt idx="530">
                  <c:v>46720</c:v>
                </c:pt>
                <c:pt idx="531">
                  <c:v>38716</c:v>
                </c:pt>
                <c:pt idx="532">
                  <c:v>44358</c:v>
                </c:pt>
                <c:pt idx="533">
                  <c:v>28022</c:v>
                </c:pt>
                <c:pt idx="534">
                  <c:v>58267</c:v>
                </c:pt>
                <c:pt idx="535">
                  <c:v>47539</c:v>
                </c:pt>
                <c:pt idx="536">
                  <c:v>48724</c:v>
                </c:pt>
                <c:pt idx="537">
                  <c:v>44076</c:v>
                </c:pt>
                <c:pt idx="538">
                  <c:v>47220</c:v>
                </c:pt>
                <c:pt idx="539">
                  <c:v>54640</c:v>
                </c:pt>
                <c:pt idx="540">
                  <c:v>54513</c:v>
                </c:pt>
                <c:pt idx="541">
                  <c:v>53409</c:v>
                </c:pt>
                <c:pt idx="542">
                  <c:v>45410</c:v>
                </c:pt>
                <c:pt idx="543">
                  <c:v>44964</c:v>
                </c:pt>
                <c:pt idx="544">
                  <c:v>47837</c:v>
                </c:pt>
                <c:pt idx="545">
                  <c:v>48201</c:v>
                </c:pt>
                <c:pt idx="546">
                  <c:v>44988</c:v>
                </c:pt>
                <c:pt idx="547">
                  <c:v>56918</c:v>
                </c:pt>
                <c:pt idx="548">
                  <c:v>37733</c:v>
                </c:pt>
                <c:pt idx="549">
                  <c:v>62332</c:v>
                </c:pt>
                <c:pt idx="550">
                  <c:v>49412</c:v>
                </c:pt>
                <c:pt idx="551">
                  <c:v>58112</c:v>
                </c:pt>
                <c:pt idx="552">
                  <c:v>52959</c:v>
                </c:pt>
                <c:pt idx="553">
                  <c:v>43609</c:v>
                </c:pt>
                <c:pt idx="554">
                  <c:v>42054</c:v>
                </c:pt>
                <c:pt idx="555">
                  <c:v>44295</c:v>
                </c:pt>
                <c:pt idx="556">
                  <c:v>40543</c:v>
                </c:pt>
                <c:pt idx="557">
                  <c:v>58525</c:v>
                </c:pt>
                <c:pt idx="558">
                  <c:v>57661</c:v>
                </c:pt>
                <c:pt idx="559">
                  <c:v>43695</c:v>
                </c:pt>
                <c:pt idx="560">
                  <c:v>51225</c:v>
                </c:pt>
                <c:pt idx="561">
                  <c:v>55219</c:v>
                </c:pt>
                <c:pt idx="562">
                  <c:v>49337</c:v>
                </c:pt>
                <c:pt idx="563">
                  <c:v>62285</c:v>
                </c:pt>
                <c:pt idx="564">
                  <c:v>42206</c:v>
                </c:pt>
                <c:pt idx="565">
                  <c:v>53284</c:v>
                </c:pt>
                <c:pt idx="566">
                  <c:v>43589</c:v>
                </c:pt>
                <c:pt idx="567">
                  <c:v>65819</c:v>
                </c:pt>
                <c:pt idx="568">
                  <c:v>40730</c:v>
                </c:pt>
                <c:pt idx="569">
                  <c:v>64935</c:v>
                </c:pt>
                <c:pt idx="570">
                  <c:v>61955</c:v>
                </c:pt>
                <c:pt idx="571">
                  <c:v>56376</c:v>
                </c:pt>
                <c:pt idx="572">
                  <c:v>41488</c:v>
                </c:pt>
                <c:pt idx="573">
                  <c:v>45495</c:v>
                </c:pt>
                <c:pt idx="574">
                  <c:v>38869</c:v>
                </c:pt>
                <c:pt idx="575">
                  <c:v>53348</c:v>
                </c:pt>
                <c:pt idx="576">
                  <c:v>53702</c:v>
                </c:pt>
                <c:pt idx="577">
                  <c:v>53484</c:v>
                </c:pt>
                <c:pt idx="578">
                  <c:v>60053</c:v>
                </c:pt>
                <c:pt idx="579">
                  <c:v>46650</c:v>
                </c:pt>
                <c:pt idx="580">
                  <c:v>71199</c:v>
                </c:pt>
                <c:pt idx="581">
                  <c:v>38366</c:v>
                </c:pt>
                <c:pt idx="582">
                  <c:v>69600</c:v>
                </c:pt>
                <c:pt idx="583">
                  <c:v>40311</c:v>
                </c:pt>
                <c:pt idx="584">
                  <c:v>64413</c:v>
                </c:pt>
                <c:pt idx="585">
                  <c:v>48894</c:v>
                </c:pt>
                <c:pt idx="586">
                  <c:v>58181</c:v>
                </c:pt>
                <c:pt idx="587">
                  <c:v>42603</c:v>
                </c:pt>
                <c:pt idx="588">
                  <c:v>75365</c:v>
                </c:pt>
                <c:pt idx="589">
                  <c:v>52102</c:v>
                </c:pt>
                <c:pt idx="590">
                  <c:v>61528</c:v>
                </c:pt>
                <c:pt idx="591">
                  <c:v>49306</c:v>
                </c:pt>
                <c:pt idx="592">
                  <c:v>54579</c:v>
                </c:pt>
                <c:pt idx="593">
                  <c:v>42089</c:v>
                </c:pt>
                <c:pt idx="594">
                  <c:v>39077</c:v>
                </c:pt>
                <c:pt idx="595">
                  <c:v>39502</c:v>
                </c:pt>
                <c:pt idx="596">
                  <c:v>43597</c:v>
                </c:pt>
                <c:pt idx="597">
                  <c:v>55497</c:v>
                </c:pt>
                <c:pt idx="598">
                  <c:v>54972</c:v>
                </c:pt>
                <c:pt idx="599">
                  <c:v>50450</c:v>
                </c:pt>
                <c:pt idx="600">
                  <c:v>25850</c:v>
                </c:pt>
                <c:pt idx="601">
                  <c:v>36701</c:v>
                </c:pt>
                <c:pt idx="602">
                  <c:v>62159</c:v>
                </c:pt>
                <c:pt idx="603">
                  <c:v>48242</c:v>
                </c:pt>
                <c:pt idx="604">
                  <c:v>37424</c:v>
                </c:pt>
                <c:pt idx="605">
                  <c:v>59398</c:v>
                </c:pt>
                <c:pt idx="606">
                  <c:v>51589</c:v>
                </c:pt>
                <c:pt idx="607">
                  <c:v>72211</c:v>
                </c:pt>
                <c:pt idx="608">
                  <c:v>44452</c:v>
                </c:pt>
                <c:pt idx="609">
                  <c:v>41443</c:v>
                </c:pt>
                <c:pt idx="610">
                  <c:v>47556</c:v>
                </c:pt>
                <c:pt idx="611">
                  <c:v>64686</c:v>
                </c:pt>
                <c:pt idx="612">
                  <c:v>53316</c:v>
                </c:pt>
                <c:pt idx="613">
                  <c:v>23169</c:v>
                </c:pt>
                <c:pt idx="614">
                  <c:v>28215</c:v>
                </c:pt>
                <c:pt idx="615">
                  <c:v>56702</c:v>
                </c:pt>
                <c:pt idx="616">
                  <c:v>52142</c:v>
                </c:pt>
                <c:pt idx="617">
                  <c:v>58375</c:v>
                </c:pt>
                <c:pt idx="618">
                  <c:v>55516</c:v>
                </c:pt>
                <c:pt idx="619">
                  <c:v>56556</c:v>
                </c:pt>
                <c:pt idx="620">
                  <c:v>38439</c:v>
                </c:pt>
                <c:pt idx="621">
                  <c:v>65547</c:v>
                </c:pt>
                <c:pt idx="622">
                  <c:v>43049</c:v>
                </c:pt>
                <c:pt idx="623">
                  <c:v>46782</c:v>
                </c:pt>
                <c:pt idx="624">
                  <c:v>71726</c:v>
                </c:pt>
                <c:pt idx="625">
                  <c:v>50606</c:v>
                </c:pt>
                <c:pt idx="626">
                  <c:v>50704</c:v>
                </c:pt>
                <c:pt idx="627">
                  <c:v>45391</c:v>
                </c:pt>
                <c:pt idx="628">
                  <c:v>63416</c:v>
                </c:pt>
                <c:pt idx="629">
                  <c:v>40226</c:v>
                </c:pt>
                <c:pt idx="630">
                  <c:v>51924</c:v>
                </c:pt>
                <c:pt idx="631">
                  <c:v>49157</c:v>
                </c:pt>
                <c:pt idx="632">
                  <c:v>52534</c:v>
                </c:pt>
                <c:pt idx="633">
                  <c:v>65601</c:v>
                </c:pt>
                <c:pt idx="634">
                  <c:v>52916</c:v>
                </c:pt>
                <c:pt idx="635">
                  <c:v>53615</c:v>
                </c:pt>
                <c:pt idx="636">
                  <c:v>53108</c:v>
                </c:pt>
                <c:pt idx="637">
                  <c:v>62564</c:v>
                </c:pt>
                <c:pt idx="638">
                  <c:v>71824</c:v>
                </c:pt>
                <c:pt idx="639">
                  <c:v>42386</c:v>
                </c:pt>
                <c:pt idx="640">
                  <c:v>51520</c:v>
                </c:pt>
                <c:pt idx="641">
                  <c:v>63141</c:v>
                </c:pt>
                <c:pt idx="642">
                  <c:v>42082</c:v>
                </c:pt>
                <c:pt idx="643">
                  <c:v>54176</c:v>
                </c:pt>
                <c:pt idx="644">
                  <c:v>45350</c:v>
                </c:pt>
                <c:pt idx="645">
                  <c:v>42024</c:v>
                </c:pt>
                <c:pt idx="646">
                  <c:v>50566</c:v>
                </c:pt>
                <c:pt idx="647">
                  <c:v>54602</c:v>
                </c:pt>
                <c:pt idx="648">
                  <c:v>53845</c:v>
                </c:pt>
                <c:pt idx="649">
                  <c:v>46306</c:v>
                </c:pt>
                <c:pt idx="650">
                  <c:v>59769</c:v>
                </c:pt>
                <c:pt idx="651">
                  <c:v>56298</c:v>
                </c:pt>
                <c:pt idx="652">
                  <c:v>66471</c:v>
                </c:pt>
                <c:pt idx="653">
                  <c:v>45029</c:v>
                </c:pt>
                <c:pt idx="654">
                  <c:v>43273</c:v>
                </c:pt>
                <c:pt idx="655">
                  <c:v>62433</c:v>
                </c:pt>
                <c:pt idx="656">
                  <c:v>60093</c:v>
                </c:pt>
                <c:pt idx="657">
                  <c:v>55717</c:v>
                </c:pt>
                <c:pt idx="658">
                  <c:v>59983</c:v>
                </c:pt>
                <c:pt idx="659">
                  <c:v>39104</c:v>
                </c:pt>
                <c:pt idx="660">
                  <c:v>52748</c:v>
                </c:pt>
                <c:pt idx="661">
                  <c:v>68420</c:v>
                </c:pt>
                <c:pt idx="662">
                  <c:v>59934</c:v>
                </c:pt>
                <c:pt idx="663">
                  <c:v>56716</c:v>
                </c:pt>
                <c:pt idx="664">
                  <c:v>47690</c:v>
                </c:pt>
                <c:pt idx="665">
                  <c:v>49370</c:v>
                </c:pt>
                <c:pt idx="666">
                  <c:v>63029</c:v>
                </c:pt>
                <c:pt idx="667">
                  <c:v>54552</c:v>
                </c:pt>
                <c:pt idx="668">
                  <c:v>54023</c:v>
                </c:pt>
                <c:pt idx="669">
                  <c:v>58861</c:v>
                </c:pt>
                <c:pt idx="670">
                  <c:v>31725</c:v>
                </c:pt>
                <c:pt idx="671">
                  <c:v>33733</c:v>
                </c:pt>
                <c:pt idx="672">
                  <c:v>51671</c:v>
                </c:pt>
                <c:pt idx="673">
                  <c:v>31977</c:v>
                </c:pt>
                <c:pt idx="674">
                  <c:v>45686</c:v>
                </c:pt>
                <c:pt idx="675">
                  <c:v>45443</c:v>
                </c:pt>
                <c:pt idx="676">
                  <c:v>55918</c:v>
                </c:pt>
                <c:pt idx="677">
                  <c:v>53106</c:v>
                </c:pt>
                <c:pt idx="678">
                  <c:v>31641</c:v>
                </c:pt>
                <c:pt idx="679">
                  <c:v>53859</c:v>
                </c:pt>
                <c:pt idx="680">
                  <c:v>53522</c:v>
                </c:pt>
                <c:pt idx="681">
                  <c:v>45476</c:v>
                </c:pt>
                <c:pt idx="682">
                  <c:v>51548</c:v>
                </c:pt>
                <c:pt idx="683">
                  <c:v>37698</c:v>
                </c:pt>
                <c:pt idx="684">
                  <c:v>56211</c:v>
                </c:pt>
                <c:pt idx="685">
                  <c:v>38894</c:v>
                </c:pt>
                <c:pt idx="686">
                  <c:v>54898</c:v>
                </c:pt>
                <c:pt idx="687">
                  <c:v>41385</c:v>
                </c:pt>
                <c:pt idx="688">
                  <c:v>34050</c:v>
                </c:pt>
                <c:pt idx="689">
                  <c:v>42027</c:v>
                </c:pt>
                <c:pt idx="690">
                  <c:v>41400</c:v>
                </c:pt>
                <c:pt idx="691">
                  <c:v>37025</c:v>
                </c:pt>
                <c:pt idx="692">
                  <c:v>59188</c:v>
                </c:pt>
                <c:pt idx="693">
                  <c:v>66390</c:v>
                </c:pt>
                <c:pt idx="694">
                  <c:v>33532</c:v>
                </c:pt>
                <c:pt idx="695">
                  <c:v>66497</c:v>
                </c:pt>
                <c:pt idx="696">
                  <c:v>47912</c:v>
                </c:pt>
                <c:pt idx="697">
                  <c:v>52825</c:v>
                </c:pt>
                <c:pt idx="698">
                  <c:v>55185</c:v>
                </c:pt>
                <c:pt idx="699">
                  <c:v>45680</c:v>
                </c:pt>
                <c:pt idx="700">
                  <c:v>46599</c:v>
                </c:pt>
                <c:pt idx="701">
                  <c:v>55248</c:v>
                </c:pt>
                <c:pt idx="702">
                  <c:v>34692</c:v>
                </c:pt>
                <c:pt idx="703">
                  <c:v>74012</c:v>
                </c:pt>
                <c:pt idx="704">
                  <c:v>40800</c:v>
                </c:pt>
                <c:pt idx="705">
                  <c:v>55045</c:v>
                </c:pt>
                <c:pt idx="706">
                  <c:v>60883</c:v>
                </c:pt>
                <c:pt idx="707">
                  <c:v>67150</c:v>
                </c:pt>
                <c:pt idx="708">
                  <c:v>43985</c:v>
                </c:pt>
                <c:pt idx="709">
                  <c:v>51354</c:v>
                </c:pt>
                <c:pt idx="710">
                  <c:v>61258</c:v>
                </c:pt>
                <c:pt idx="711">
                  <c:v>59252</c:v>
                </c:pt>
                <c:pt idx="712">
                  <c:v>50735</c:v>
                </c:pt>
                <c:pt idx="713">
                  <c:v>41814</c:v>
                </c:pt>
                <c:pt idx="714">
                  <c:v>30583</c:v>
                </c:pt>
                <c:pt idx="715">
                  <c:v>53288</c:v>
                </c:pt>
                <c:pt idx="716">
                  <c:v>34824</c:v>
                </c:pt>
                <c:pt idx="717">
                  <c:v>58994</c:v>
                </c:pt>
                <c:pt idx="718">
                  <c:v>36405</c:v>
                </c:pt>
                <c:pt idx="719">
                  <c:v>68039</c:v>
                </c:pt>
                <c:pt idx="720">
                  <c:v>39365</c:v>
                </c:pt>
                <c:pt idx="721">
                  <c:v>30545</c:v>
                </c:pt>
                <c:pt idx="722">
                  <c:v>57413</c:v>
                </c:pt>
                <c:pt idx="723">
                  <c:v>62318</c:v>
                </c:pt>
                <c:pt idx="724">
                  <c:v>39248</c:v>
                </c:pt>
                <c:pt idx="725">
                  <c:v>51210</c:v>
                </c:pt>
                <c:pt idx="726">
                  <c:v>57432</c:v>
                </c:pt>
                <c:pt idx="727">
                  <c:v>29158</c:v>
                </c:pt>
                <c:pt idx="728">
                  <c:v>46420</c:v>
                </c:pt>
                <c:pt idx="729">
                  <c:v>42580</c:v>
                </c:pt>
                <c:pt idx="730">
                  <c:v>41932</c:v>
                </c:pt>
                <c:pt idx="731">
                  <c:v>53917</c:v>
                </c:pt>
                <c:pt idx="732">
                  <c:v>57285</c:v>
                </c:pt>
                <c:pt idx="733">
                  <c:v>47188</c:v>
                </c:pt>
                <c:pt idx="734">
                  <c:v>41572</c:v>
                </c:pt>
                <c:pt idx="735">
                  <c:v>67101</c:v>
                </c:pt>
                <c:pt idx="736">
                  <c:v>48707</c:v>
                </c:pt>
                <c:pt idx="737">
                  <c:v>50908</c:v>
                </c:pt>
                <c:pt idx="738">
                  <c:v>57114</c:v>
                </c:pt>
                <c:pt idx="739">
                  <c:v>52070</c:v>
                </c:pt>
                <c:pt idx="740">
                  <c:v>32776</c:v>
                </c:pt>
                <c:pt idx="741">
                  <c:v>55568</c:v>
                </c:pt>
                <c:pt idx="742">
                  <c:v>40282</c:v>
                </c:pt>
                <c:pt idx="743">
                  <c:v>49629</c:v>
                </c:pt>
                <c:pt idx="744">
                  <c:v>49186</c:v>
                </c:pt>
                <c:pt idx="745">
                  <c:v>49199</c:v>
                </c:pt>
                <c:pt idx="746">
                  <c:v>48228</c:v>
                </c:pt>
                <c:pt idx="747">
                  <c:v>59116</c:v>
                </c:pt>
                <c:pt idx="748">
                  <c:v>32590</c:v>
                </c:pt>
                <c:pt idx="749">
                  <c:v>33635</c:v>
                </c:pt>
                <c:pt idx="750">
                  <c:v>51067</c:v>
                </c:pt>
                <c:pt idx="751">
                  <c:v>59262</c:v>
                </c:pt>
                <c:pt idx="752">
                  <c:v>52561</c:v>
                </c:pt>
                <c:pt idx="753">
                  <c:v>53692</c:v>
                </c:pt>
                <c:pt idx="754">
                  <c:v>27359</c:v>
                </c:pt>
                <c:pt idx="755">
                  <c:v>39838</c:v>
                </c:pt>
                <c:pt idx="756">
                  <c:v>54140</c:v>
                </c:pt>
                <c:pt idx="757">
                  <c:v>52995</c:v>
                </c:pt>
                <c:pt idx="758">
                  <c:v>56197</c:v>
                </c:pt>
                <c:pt idx="759">
                  <c:v>49580</c:v>
                </c:pt>
                <c:pt idx="760">
                  <c:v>49842</c:v>
                </c:pt>
                <c:pt idx="761">
                  <c:v>35294</c:v>
                </c:pt>
                <c:pt idx="762">
                  <c:v>54685</c:v>
                </c:pt>
                <c:pt idx="763">
                  <c:v>38306</c:v>
                </c:pt>
                <c:pt idx="764">
                  <c:v>45763</c:v>
                </c:pt>
                <c:pt idx="765">
                  <c:v>49712</c:v>
                </c:pt>
                <c:pt idx="766">
                  <c:v>49702</c:v>
                </c:pt>
                <c:pt idx="767">
                  <c:v>45657</c:v>
                </c:pt>
                <c:pt idx="768">
                  <c:v>48960</c:v>
                </c:pt>
                <c:pt idx="769">
                  <c:v>50706</c:v>
                </c:pt>
                <c:pt idx="770">
                  <c:v>70157</c:v>
                </c:pt>
                <c:pt idx="771">
                  <c:v>65190</c:v>
                </c:pt>
                <c:pt idx="772">
                  <c:v>62220</c:v>
                </c:pt>
                <c:pt idx="773">
                  <c:v>62807</c:v>
                </c:pt>
                <c:pt idx="774">
                  <c:v>40947</c:v>
                </c:pt>
                <c:pt idx="775">
                  <c:v>46323</c:v>
                </c:pt>
                <c:pt idx="776">
                  <c:v>60716</c:v>
                </c:pt>
                <c:pt idx="777">
                  <c:v>35146</c:v>
                </c:pt>
                <c:pt idx="778">
                  <c:v>38059</c:v>
                </c:pt>
                <c:pt idx="779">
                  <c:v>50792</c:v>
                </c:pt>
                <c:pt idx="780">
                  <c:v>59258</c:v>
                </c:pt>
                <c:pt idx="781">
                  <c:v>40654</c:v>
                </c:pt>
                <c:pt idx="782">
                  <c:v>45955</c:v>
                </c:pt>
                <c:pt idx="783">
                  <c:v>57342</c:v>
                </c:pt>
                <c:pt idx="784">
                  <c:v>58167</c:v>
                </c:pt>
                <c:pt idx="785">
                  <c:v>62086</c:v>
                </c:pt>
                <c:pt idx="786">
                  <c:v>51918</c:v>
                </c:pt>
                <c:pt idx="787">
                  <c:v>52734</c:v>
                </c:pt>
                <c:pt idx="788">
                  <c:v>47503</c:v>
                </c:pt>
                <c:pt idx="789">
                  <c:v>71002</c:v>
                </c:pt>
                <c:pt idx="790">
                  <c:v>52102</c:v>
                </c:pt>
                <c:pt idx="791">
                  <c:v>58327</c:v>
                </c:pt>
                <c:pt idx="792">
                  <c:v>54337</c:v>
                </c:pt>
                <c:pt idx="793">
                  <c:v>55255</c:v>
                </c:pt>
                <c:pt idx="794">
                  <c:v>55688</c:v>
                </c:pt>
                <c:pt idx="795">
                  <c:v>58402</c:v>
                </c:pt>
                <c:pt idx="796">
                  <c:v>76461</c:v>
                </c:pt>
                <c:pt idx="797">
                  <c:v>59004</c:v>
                </c:pt>
                <c:pt idx="798">
                  <c:v>47439</c:v>
                </c:pt>
                <c:pt idx="799">
                  <c:v>55343</c:v>
                </c:pt>
                <c:pt idx="800">
                  <c:v>47851</c:v>
                </c:pt>
                <c:pt idx="801">
                  <c:v>48138</c:v>
                </c:pt>
                <c:pt idx="802">
                  <c:v>51153</c:v>
                </c:pt>
                <c:pt idx="803">
                  <c:v>44262</c:v>
                </c:pt>
                <c:pt idx="804">
                  <c:v>59951</c:v>
                </c:pt>
                <c:pt idx="805">
                  <c:v>52904</c:v>
                </c:pt>
                <c:pt idx="806">
                  <c:v>50743</c:v>
                </c:pt>
                <c:pt idx="807">
                  <c:v>59831</c:v>
                </c:pt>
                <c:pt idx="808">
                  <c:v>30647</c:v>
                </c:pt>
                <c:pt idx="809">
                  <c:v>36678</c:v>
                </c:pt>
                <c:pt idx="810">
                  <c:v>48164</c:v>
                </c:pt>
                <c:pt idx="811">
                  <c:v>51385</c:v>
                </c:pt>
                <c:pt idx="812">
                  <c:v>49633</c:v>
                </c:pt>
                <c:pt idx="813">
                  <c:v>67297</c:v>
                </c:pt>
                <c:pt idx="814">
                  <c:v>52843</c:v>
                </c:pt>
                <c:pt idx="815">
                  <c:v>45363</c:v>
                </c:pt>
                <c:pt idx="816">
                  <c:v>57550</c:v>
                </c:pt>
                <c:pt idx="817">
                  <c:v>47718</c:v>
                </c:pt>
                <c:pt idx="818">
                  <c:v>61781</c:v>
                </c:pt>
                <c:pt idx="819">
                  <c:v>38543</c:v>
                </c:pt>
                <c:pt idx="820">
                  <c:v>32873</c:v>
                </c:pt>
                <c:pt idx="821">
                  <c:v>66187</c:v>
                </c:pt>
                <c:pt idx="822">
                  <c:v>65774</c:v>
                </c:pt>
                <c:pt idx="823">
                  <c:v>54776</c:v>
                </c:pt>
                <c:pt idx="824">
                  <c:v>64692</c:v>
                </c:pt>
                <c:pt idx="825">
                  <c:v>42142</c:v>
                </c:pt>
                <c:pt idx="826">
                  <c:v>28444</c:v>
                </c:pt>
                <c:pt idx="827">
                  <c:v>60273</c:v>
                </c:pt>
                <c:pt idx="828">
                  <c:v>46518</c:v>
                </c:pt>
                <c:pt idx="829">
                  <c:v>39122</c:v>
                </c:pt>
                <c:pt idx="830">
                  <c:v>47122</c:v>
                </c:pt>
                <c:pt idx="831">
                  <c:v>48357</c:v>
                </c:pt>
                <c:pt idx="832">
                  <c:v>51697</c:v>
                </c:pt>
                <c:pt idx="833">
                  <c:v>42104</c:v>
                </c:pt>
                <c:pt idx="834">
                  <c:v>56549</c:v>
                </c:pt>
                <c:pt idx="835">
                  <c:v>32695</c:v>
                </c:pt>
                <c:pt idx="836">
                  <c:v>61533</c:v>
                </c:pt>
                <c:pt idx="837">
                  <c:v>54693</c:v>
                </c:pt>
                <c:pt idx="838">
                  <c:v>50975</c:v>
                </c:pt>
                <c:pt idx="839">
                  <c:v>57707</c:v>
                </c:pt>
                <c:pt idx="840">
                  <c:v>33923</c:v>
                </c:pt>
                <c:pt idx="841">
                  <c:v>53736</c:v>
                </c:pt>
                <c:pt idx="842">
                  <c:v>46771</c:v>
                </c:pt>
                <c:pt idx="843">
                  <c:v>24053</c:v>
                </c:pt>
                <c:pt idx="844">
                  <c:v>49863</c:v>
                </c:pt>
                <c:pt idx="845">
                  <c:v>49213</c:v>
                </c:pt>
                <c:pt idx="846">
                  <c:v>57273</c:v>
                </c:pt>
                <c:pt idx="847">
                  <c:v>59758</c:v>
                </c:pt>
                <c:pt idx="848">
                  <c:v>46740</c:v>
                </c:pt>
                <c:pt idx="849">
                  <c:v>47063</c:v>
                </c:pt>
                <c:pt idx="850">
                  <c:v>45327</c:v>
                </c:pt>
                <c:pt idx="851">
                  <c:v>53747</c:v>
                </c:pt>
                <c:pt idx="852">
                  <c:v>55525</c:v>
                </c:pt>
                <c:pt idx="853">
                  <c:v>54791</c:v>
                </c:pt>
                <c:pt idx="854">
                  <c:v>65638</c:v>
                </c:pt>
                <c:pt idx="855">
                  <c:v>41285</c:v>
                </c:pt>
                <c:pt idx="856">
                  <c:v>60044</c:v>
                </c:pt>
                <c:pt idx="857">
                  <c:v>44328</c:v>
                </c:pt>
                <c:pt idx="858">
                  <c:v>53053</c:v>
                </c:pt>
                <c:pt idx="859">
                  <c:v>39964</c:v>
                </c:pt>
                <c:pt idx="860">
                  <c:v>41004</c:v>
                </c:pt>
                <c:pt idx="861">
                  <c:v>66491</c:v>
                </c:pt>
                <c:pt idx="862">
                  <c:v>38642</c:v>
                </c:pt>
                <c:pt idx="863">
                  <c:v>46977</c:v>
                </c:pt>
                <c:pt idx="864">
                  <c:v>27637</c:v>
                </c:pt>
                <c:pt idx="865">
                  <c:v>37866</c:v>
                </c:pt>
                <c:pt idx="866">
                  <c:v>29586</c:v>
                </c:pt>
                <c:pt idx="867">
                  <c:v>47058</c:v>
                </c:pt>
                <c:pt idx="868">
                  <c:v>39075</c:v>
                </c:pt>
                <c:pt idx="869">
                  <c:v>46377</c:v>
                </c:pt>
                <c:pt idx="870">
                  <c:v>56068</c:v>
                </c:pt>
                <c:pt idx="871">
                  <c:v>42820</c:v>
                </c:pt>
                <c:pt idx="872">
                  <c:v>49158</c:v>
                </c:pt>
                <c:pt idx="873">
                  <c:v>50346</c:v>
                </c:pt>
                <c:pt idx="874">
                  <c:v>31511</c:v>
                </c:pt>
                <c:pt idx="875">
                  <c:v>44316</c:v>
                </c:pt>
                <c:pt idx="876">
                  <c:v>47433</c:v>
                </c:pt>
                <c:pt idx="877">
                  <c:v>52760</c:v>
                </c:pt>
                <c:pt idx="878">
                  <c:v>64095</c:v>
                </c:pt>
                <c:pt idx="879">
                  <c:v>44976</c:v>
                </c:pt>
                <c:pt idx="880">
                  <c:v>54263</c:v>
                </c:pt>
                <c:pt idx="881">
                  <c:v>59027</c:v>
                </c:pt>
                <c:pt idx="882">
                  <c:v>54357</c:v>
                </c:pt>
                <c:pt idx="883">
                  <c:v>37218</c:v>
                </c:pt>
                <c:pt idx="884">
                  <c:v>46839</c:v>
                </c:pt>
                <c:pt idx="885">
                  <c:v>58263</c:v>
                </c:pt>
                <c:pt idx="886">
                  <c:v>38028</c:v>
                </c:pt>
                <c:pt idx="887">
                  <c:v>54916</c:v>
                </c:pt>
                <c:pt idx="888">
                  <c:v>39579</c:v>
                </c:pt>
                <c:pt idx="889">
                  <c:v>53332</c:v>
                </c:pt>
                <c:pt idx="890">
                  <c:v>49619</c:v>
                </c:pt>
                <c:pt idx="891">
                  <c:v>58806</c:v>
                </c:pt>
                <c:pt idx="892">
                  <c:v>44989</c:v>
                </c:pt>
                <c:pt idx="893">
                  <c:v>51111</c:v>
                </c:pt>
                <c:pt idx="894">
                  <c:v>20123</c:v>
                </c:pt>
                <c:pt idx="895">
                  <c:v>66934</c:v>
                </c:pt>
                <c:pt idx="896">
                  <c:v>50435</c:v>
                </c:pt>
                <c:pt idx="897">
                  <c:v>60581</c:v>
                </c:pt>
                <c:pt idx="898">
                  <c:v>29514</c:v>
                </c:pt>
                <c:pt idx="899">
                  <c:v>65068</c:v>
                </c:pt>
                <c:pt idx="900">
                  <c:v>57909</c:v>
                </c:pt>
                <c:pt idx="901">
                  <c:v>68852</c:v>
                </c:pt>
                <c:pt idx="902">
                  <c:v>46835</c:v>
                </c:pt>
                <c:pt idx="903">
                  <c:v>43589</c:v>
                </c:pt>
                <c:pt idx="904">
                  <c:v>63485</c:v>
                </c:pt>
                <c:pt idx="905">
                  <c:v>40753</c:v>
                </c:pt>
                <c:pt idx="906">
                  <c:v>47875</c:v>
                </c:pt>
                <c:pt idx="907">
                  <c:v>37008</c:v>
                </c:pt>
                <c:pt idx="908">
                  <c:v>34072</c:v>
                </c:pt>
                <c:pt idx="909">
                  <c:v>55975</c:v>
                </c:pt>
                <c:pt idx="910">
                  <c:v>55263</c:v>
                </c:pt>
                <c:pt idx="911">
                  <c:v>42926</c:v>
                </c:pt>
                <c:pt idx="912">
                  <c:v>54008</c:v>
                </c:pt>
                <c:pt idx="913">
                  <c:v>41369</c:v>
                </c:pt>
                <c:pt idx="914">
                  <c:v>43545</c:v>
                </c:pt>
                <c:pt idx="915">
                  <c:v>43293</c:v>
                </c:pt>
                <c:pt idx="916">
                  <c:v>40270</c:v>
                </c:pt>
                <c:pt idx="917">
                  <c:v>26442</c:v>
                </c:pt>
                <c:pt idx="918">
                  <c:v>40279</c:v>
                </c:pt>
                <c:pt idx="919">
                  <c:v>53846</c:v>
                </c:pt>
                <c:pt idx="920">
                  <c:v>51740</c:v>
                </c:pt>
                <c:pt idx="921">
                  <c:v>65062</c:v>
                </c:pt>
                <c:pt idx="922">
                  <c:v>34820</c:v>
                </c:pt>
                <c:pt idx="923">
                  <c:v>47354</c:v>
                </c:pt>
                <c:pt idx="924">
                  <c:v>58179</c:v>
                </c:pt>
                <c:pt idx="925">
                  <c:v>57087</c:v>
                </c:pt>
                <c:pt idx="926">
                  <c:v>48581</c:v>
                </c:pt>
                <c:pt idx="927">
                  <c:v>55443</c:v>
                </c:pt>
                <c:pt idx="928">
                  <c:v>32525</c:v>
                </c:pt>
                <c:pt idx="929">
                  <c:v>49525</c:v>
                </c:pt>
                <c:pt idx="930">
                  <c:v>42206</c:v>
                </c:pt>
                <c:pt idx="931">
                  <c:v>44226</c:v>
                </c:pt>
                <c:pt idx="932">
                  <c:v>55871</c:v>
                </c:pt>
                <c:pt idx="933">
                  <c:v>48789</c:v>
                </c:pt>
                <c:pt idx="934">
                  <c:v>63338</c:v>
                </c:pt>
                <c:pt idx="935">
                  <c:v>56462</c:v>
                </c:pt>
                <c:pt idx="936">
                  <c:v>50800</c:v>
                </c:pt>
                <c:pt idx="937">
                  <c:v>34326</c:v>
                </c:pt>
                <c:pt idx="938">
                  <c:v>47813</c:v>
                </c:pt>
                <c:pt idx="939">
                  <c:v>54406</c:v>
                </c:pt>
                <c:pt idx="940">
                  <c:v>60525</c:v>
                </c:pt>
                <c:pt idx="941">
                  <c:v>54700</c:v>
                </c:pt>
                <c:pt idx="942">
                  <c:v>44945</c:v>
                </c:pt>
                <c:pt idx="943">
                  <c:v>73450</c:v>
                </c:pt>
                <c:pt idx="944">
                  <c:v>49491</c:v>
                </c:pt>
                <c:pt idx="945">
                  <c:v>32755</c:v>
                </c:pt>
                <c:pt idx="946">
                  <c:v>57091</c:v>
                </c:pt>
                <c:pt idx="947">
                  <c:v>40938</c:v>
                </c:pt>
                <c:pt idx="948">
                  <c:v>33172</c:v>
                </c:pt>
                <c:pt idx="949">
                  <c:v>52856</c:v>
                </c:pt>
                <c:pt idx="950">
                  <c:v>68873</c:v>
                </c:pt>
                <c:pt idx="951">
                  <c:v>64195</c:v>
                </c:pt>
                <c:pt idx="952">
                  <c:v>67568</c:v>
                </c:pt>
                <c:pt idx="953">
                  <c:v>30560</c:v>
                </c:pt>
                <c:pt idx="954">
                  <c:v>46424</c:v>
                </c:pt>
                <c:pt idx="955">
                  <c:v>44321</c:v>
                </c:pt>
                <c:pt idx="956">
                  <c:v>46498</c:v>
                </c:pt>
                <c:pt idx="957">
                  <c:v>60210</c:v>
                </c:pt>
                <c:pt idx="958">
                  <c:v>56157</c:v>
                </c:pt>
                <c:pt idx="959">
                  <c:v>48521</c:v>
                </c:pt>
                <c:pt idx="960">
                  <c:v>67639</c:v>
                </c:pt>
                <c:pt idx="961">
                  <c:v>57887</c:v>
                </c:pt>
                <c:pt idx="962">
                  <c:v>38545</c:v>
                </c:pt>
                <c:pt idx="963">
                  <c:v>46497</c:v>
                </c:pt>
                <c:pt idx="964">
                  <c:v>49488</c:v>
                </c:pt>
                <c:pt idx="965">
                  <c:v>59365</c:v>
                </c:pt>
                <c:pt idx="966">
                  <c:v>49530</c:v>
                </c:pt>
                <c:pt idx="967">
                  <c:v>39049</c:v>
                </c:pt>
                <c:pt idx="968">
                  <c:v>44510</c:v>
                </c:pt>
                <c:pt idx="969">
                  <c:v>52942</c:v>
                </c:pt>
                <c:pt idx="970">
                  <c:v>54174</c:v>
                </c:pt>
                <c:pt idx="971">
                  <c:v>47884</c:v>
                </c:pt>
                <c:pt idx="972">
                  <c:v>63021</c:v>
                </c:pt>
                <c:pt idx="973">
                  <c:v>71853</c:v>
                </c:pt>
                <c:pt idx="974">
                  <c:v>46009</c:v>
                </c:pt>
                <c:pt idx="975">
                  <c:v>33362</c:v>
                </c:pt>
                <c:pt idx="976">
                  <c:v>59187</c:v>
                </c:pt>
                <c:pt idx="977">
                  <c:v>62244</c:v>
                </c:pt>
                <c:pt idx="978">
                  <c:v>52491</c:v>
                </c:pt>
                <c:pt idx="979">
                  <c:v>54358</c:v>
                </c:pt>
                <c:pt idx="980">
                  <c:v>43112</c:v>
                </c:pt>
                <c:pt idx="981">
                  <c:v>62403</c:v>
                </c:pt>
                <c:pt idx="982">
                  <c:v>35247</c:v>
                </c:pt>
                <c:pt idx="983">
                  <c:v>34820</c:v>
                </c:pt>
                <c:pt idx="984">
                  <c:v>24933</c:v>
                </c:pt>
                <c:pt idx="985">
                  <c:v>39755</c:v>
                </c:pt>
                <c:pt idx="986">
                  <c:v>48342</c:v>
                </c:pt>
                <c:pt idx="987">
                  <c:v>42356</c:v>
                </c:pt>
                <c:pt idx="988">
                  <c:v>56202</c:v>
                </c:pt>
                <c:pt idx="989">
                  <c:v>57255</c:v>
                </c:pt>
                <c:pt idx="990">
                  <c:v>30954</c:v>
                </c:pt>
                <c:pt idx="991">
                  <c:v>56383</c:v>
                </c:pt>
                <c:pt idx="992">
                  <c:v>34938</c:v>
                </c:pt>
                <c:pt idx="993">
                  <c:v>54713</c:v>
                </c:pt>
                <c:pt idx="994">
                  <c:v>61919</c:v>
                </c:pt>
                <c:pt idx="995">
                  <c:v>42844</c:v>
                </c:pt>
                <c:pt idx="996">
                  <c:v>39437</c:v>
                </c:pt>
                <c:pt idx="997">
                  <c:v>48049</c:v>
                </c:pt>
                <c:pt idx="998">
                  <c:v>46044</c:v>
                </c:pt>
                <c:pt idx="999">
                  <c:v>27195</c:v>
                </c:pt>
              </c:numCache>
            </c:numRef>
          </c:xVal>
          <c:yVal>
            <c:numRef>
              <c:f>Correlation!Scatter_Y</c:f>
              <c:numCache>
                <c:formatCode>"$"#,##0</c:formatCode>
                <c:ptCount val="1000"/>
                <c:pt idx="0">
                  <c:v>46125</c:v>
                </c:pt>
                <c:pt idx="1">
                  <c:v>60007</c:v>
                </c:pt>
                <c:pt idx="2">
                  <c:v>50314</c:v>
                </c:pt>
                <c:pt idx="3">
                  <c:v>44432</c:v>
                </c:pt>
                <c:pt idx="4">
                  <c:v>72954</c:v>
                </c:pt>
                <c:pt idx="5">
                  <c:v>47288</c:v>
                </c:pt>
                <c:pt idx="6">
                  <c:v>40830</c:v>
                </c:pt>
                <c:pt idx="7">
                  <c:v>43760</c:v>
                </c:pt>
                <c:pt idx="8">
                  <c:v>62487</c:v>
                </c:pt>
                <c:pt idx="9">
                  <c:v>33480</c:v>
                </c:pt>
                <c:pt idx="10">
                  <c:v>59110</c:v>
                </c:pt>
                <c:pt idx="11">
                  <c:v>72150</c:v>
                </c:pt>
                <c:pt idx="12">
                  <c:v>56740</c:v>
                </c:pt>
                <c:pt idx="13">
                  <c:v>42106</c:v>
                </c:pt>
                <c:pt idx="14">
                  <c:v>42857</c:v>
                </c:pt>
                <c:pt idx="15">
                  <c:v>56060</c:v>
                </c:pt>
                <c:pt idx="16">
                  <c:v>39965</c:v>
                </c:pt>
                <c:pt idx="17">
                  <c:v>62050</c:v>
                </c:pt>
                <c:pt idx="18">
                  <c:v>39244</c:v>
                </c:pt>
                <c:pt idx="19">
                  <c:v>36082</c:v>
                </c:pt>
                <c:pt idx="20">
                  <c:v>49709</c:v>
                </c:pt>
                <c:pt idx="21">
                  <c:v>40313</c:v>
                </c:pt>
                <c:pt idx="22">
                  <c:v>51285</c:v>
                </c:pt>
                <c:pt idx="23">
                  <c:v>57046</c:v>
                </c:pt>
                <c:pt idx="24">
                  <c:v>61413</c:v>
                </c:pt>
                <c:pt idx="25">
                  <c:v>53886</c:v>
                </c:pt>
                <c:pt idx="26">
                  <c:v>63618</c:v>
                </c:pt>
                <c:pt idx="27">
                  <c:v>36885</c:v>
                </c:pt>
                <c:pt idx="28">
                  <c:v>44614</c:v>
                </c:pt>
                <c:pt idx="29">
                  <c:v>54301</c:v>
                </c:pt>
                <c:pt idx="30">
                  <c:v>52168</c:v>
                </c:pt>
                <c:pt idx="31">
                  <c:v>51540</c:v>
                </c:pt>
                <c:pt idx="32">
                  <c:v>38297</c:v>
                </c:pt>
                <c:pt idx="33">
                  <c:v>51385</c:v>
                </c:pt>
                <c:pt idx="34">
                  <c:v>44894</c:v>
                </c:pt>
                <c:pt idx="35">
                  <c:v>52682</c:v>
                </c:pt>
                <c:pt idx="36">
                  <c:v>59779</c:v>
                </c:pt>
                <c:pt idx="37">
                  <c:v>54671</c:v>
                </c:pt>
                <c:pt idx="38">
                  <c:v>54021</c:v>
                </c:pt>
                <c:pt idx="39">
                  <c:v>39846</c:v>
                </c:pt>
                <c:pt idx="40">
                  <c:v>49776</c:v>
                </c:pt>
                <c:pt idx="41">
                  <c:v>50693</c:v>
                </c:pt>
                <c:pt idx="42">
                  <c:v>29963</c:v>
                </c:pt>
                <c:pt idx="43">
                  <c:v>41686</c:v>
                </c:pt>
                <c:pt idx="44">
                  <c:v>43357</c:v>
                </c:pt>
                <c:pt idx="45">
                  <c:v>60881</c:v>
                </c:pt>
                <c:pt idx="46">
                  <c:v>47822</c:v>
                </c:pt>
                <c:pt idx="47">
                  <c:v>57888</c:v>
                </c:pt>
                <c:pt idx="48">
                  <c:v>43178</c:v>
                </c:pt>
                <c:pt idx="49">
                  <c:v>58932</c:v>
                </c:pt>
                <c:pt idx="50">
                  <c:v>49227</c:v>
                </c:pt>
                <c:pt idx="51">
                  <c:v>53008</c:v>
                </c:pt>
                <c:pt idx="52">
                  <c:v>48314</c:v>
                </c:pt>
                <c:pt idx="53">
                  <c:v>48825</c:v>
                </c:pt>
                <c:pt idx="54">
                  <c:v>53309</c:v>
                </c:pt>
                <c:pt idx="55">
                  <c:v>46268</c:v>
                </c:pt>
                <c:pt idx="56">
                  <c:v>56177</c:v>
                </c:pt>
                <c:pt idx="57">
                  <c:v>67498</c:v>
                </c:pt>
                <c:pt idx="58">
                  <c:v>46687</c:v>
                </c:pt>
                <c:pt idx="59">
                  <c:v>30388</c:v>
                </c:pt>
                <c:pt idx="60">
                  <c:v>46553</c:v>
                </c:pt>
                <c:pt idx="61">
                  <c:v>53603</c:v>
                </c:pt>
                <c:pt idx="62">
                  <c:v>42852</c:v>
                </c:pt>
                <c:pt idx="63">
                  <c:v>47263</c:v>
                </c:pt>
                <c:pt idx="64">
                  <c:v>34772</c:v>
                </c:pt>
                <c:pt idx="65">
                  <c:v>58582</c:v>
                </c:pt>
                <c:pt idx="66">
                  <c:v>49393</c:v>
                </c:pt>
                <c:pt idx="67">
                  <c:v>48578</c:v>
                </c:pt>
                <c:pt idx="68">
                  <c:v>67555</c:v>
                </c:pt>
                <c:pt idx="69">
                  <c:v>60886</c:v>
                </c:pt>
                <c:pt idx="70">
                  <c:v>64738</c:v>
                </c:pt>
                <c:pt idx="71">
                  <c:v>28643</c:v>
                </c:pt>
                <c:pt idx="72">
                  <c:v>44815</c:v>
                </c:pt>
                <c:pt idx="73">
                  <c:v>47867</c:v>
                </c:pt>
                <c:pt idx="74">
                  <c:v>67328</c:v>
                </c:pt>
                <c:pt idx="75">
                  <c:v>36682</c:v>
                </c:pt>
                <c:pt idx="76">
                  <c:v>53768</c:v>
                </c:pt>
                <c:pt idx="77">
                  <c:v>49475</c:v>
                </c:pt>
                <c:pt idx="78">
                  <c:v>53660</c:v>
                </c:pt>
                <c:pt idx="79">
                  <c:v>35779</c:v>
                </c:pt>
                <c:pt idx="80">
                  <c:v>54889</c:v>
                </c:pt>
                <c:pt idx="81">
                  <c:v>66765</c:v>
                </c:pt>
                <c:pt idx="82">
                  <c:v>68917</c:v>
                </c:pt>
                <c:pt idx="83">
                  <c:v>61419</c:v>
                </c:pt>
                <c:pt idx="84">
                  <c:v>38266</c:v>
                </c:pt>
                <c:pt idx="85">
                  <c:v>43248</c:v>
                </c:pt>
                <c:pt idx="86">
                  <c:v>68301</c:v>
                </c:pt>
                <c:pt idx="87">
                  <c:v>63795</c:v>
                </c:pt>
                <c:pt idx="88">
                  <c:v>57423</c:v>
                </c:pt>
                <c:pt idx="89">
                  <c:v>80822</c:v>
                </c:pt>
                <c:pt idx="90">
                  <c:v>63737</c:v>
                </c:pt>
                <c:pt idx="91">
                  <c:v>51122</c:v>
                </c:pt>
                <c:pt idx="92">
                  <c:v>47766</c:v>
                </c:pt>
                <c:pt idx="93">
                  <c:v>45940</c:v>
                </c:pt>
                <c:pt idx="94">
                  <c:v>63135</c:v>
                </c:pt>
                <c:pt idx="95">
                  <c:v>51007</c:v>
                </c:pt>
                <c:pt idx="96">
                  <c:v>54478</c:v>
                </c:pt>
                <c:pt idx="97">
                  <c:v>45794</c:v>
                </c:pt>
                <c:pt idx="98">
                  <c:v>35635</c:v>
                </c:pt>
                <c:pt idx="99">
                  <c:v>59949</c:v>
                </c:pt>
                <c:pt idx="100">
                  <c:v>33849</c:v>
                </c:pt>
                <c:pt idx="101">
                  <c:v>67607</c:v>
                </c:pt>
                <c:pt idx="102">
                  <c:v>59348</c:v>
                </c:pt>
                <c:pt idx="103">
                  <c:v>66959</c:v>
                </c:pt>
                <c:pt idx="104">
                  <c:v>50003</c:v>
                </c:pt>
                <c:pt idx="105">
                  <c:v>44211</c:v>
                </c:pt>
                <c:pt idx="106">
                  <c:v>76582</c:v>
                </c:pt>
                <c:pt idx="107">
                  <c:v>53496</c:v>
                </c:pt>
                <c:pt idx="108">
                  <c:v>44627</c:v>
                </c:pt>
                <c:pt idx="109">
                  <c:v>50769</c:v>
                </c:pt>
                <c:pt idx="110">
                  <c:v>64029</c:v>
                </c:pt>
                <c:pt idx="111">
                  <c:v>45473</c:v>
                </c:pt>
                <c:pt idx="112">
                  <c:v>43197</c:v>
                </c:pt>
                <c:pt idx="113">
                  <c:v>50174</c:v>
                </c:pt>
                <c:pt idx="114">
                  <c:v>32312</c:v>
                </c:pt>
                <c:pt idx="115">
                  <c:v>38510</c:v>
                </c:pt>
                <c:pt idx="116">
                  <c:v>45101</c:v>
                </c:pt>
                <c:pt idx="117">
                  <c:v>50803</c:v>
                </c:pt>
                <c:pt idx="118">
                  <c:v>43874</c:v>
                </c:pt>
                <c:pt idx="119">
                  <c:v>53745</c:v>
                </c:pt>
                <c:pt idx="120">
                  <c:v>38429</c:v>
                </c:pt>
                <c:pt idx="121">
                  <c:v>31438</c:v>
                </c:pt>
                <c:pt idx="122">
                  <c:v>48007</c:v>
                </c:pt>
                <c:pt idx="123">
                  <c:v>46598</c:v>
                </c:pt>
                <c:pt idx="124">
                  <c:v>46647</c:v>
                </c:pt>
                <c:pt idx="125">
                  <c:v>40488</c:v>
                </c:pt>
                <c:pt idx="126">
                  <c:v>61345</c:v>
                </c:pt>
                <c:pt idx="127">
                  <c:v>64847</c:v>
                </c:pt>
                <c:pt idx="128">
                  <c:v>43317</c:v>
                </c:pt>
                <c:pt idx="129">
                  <c:v>57642</c:v>
                </c:pt>
                <c:pt idx="130">
                  <c:v>47266</c:v>
                </c:pt>
                <c:pt idx="131">
                  <c:v>41115</c:v>
                </c:pt>
                <c:pt idx="132">
                  <c:v>59801</c:v>
                </c:pt>
                <c:pt idx="133">
                  <c:v>56692</c:v>
                </c:pt>
                <c:pt idx="134">
                  <c:v>40871</c:v>
                </c:pt>
                <c:pt idx="135">
                  <c:v>36646</c:v>
                </c:pt>
                <c:pt idx="136">
                  <c:v>54296</c:v>
                </c:pt>
                <c:pt idx="137">
                  <c:v>44780</c:v>
                </c:pt>
                <c:pt idx="138">
                  <c:v>67883</c:v>
                </c:pt>
                <c:pt idx="139">
                  <c:v>59043</c:v>
                </c:pt>
                <c:pt idx="140">
                  <c:v>45205</c:v>
                </c:pt>
                <c:pt idx="141">
                  <c:v>33837</c:v>
                </c:pt>
                <c:pt idx="142">
                  <c:v>44953</c:v>
                </c:pt>
                <c:pt idx="143">
                  <c:v>60552</c:v>
                </c:pt>
                <c:pt idx="144">
                  <c:v>49705</c:v>
                </c:pt>
                <c:pt idx="145">
                  <c:v>52373</c:v>
                </c:pt>
                <c:pt idx="146">
                  <c:v>59252</c:v>
                </c:pt>
                <c:pt idx="147">
                  <c:v>52358</c:v>
                </c:pt>
                <c:pt idx="148">
                  <c:v>56100</c:v>
                </c:pt>
                <c:pt idx="149">
                  <c:v>43215</c:v>
                </c:pt>
                <c:pt idx="150">
                  <c:v>46932</c:v>
                </c:pt>
                <c:pt idx="151">
                  <c:v>47420</c:v>
                </c:pt>
                <c:pt idx="152">
                  <c:v>57402</c:v>
                </c:pt>
                <c:pt idx="153">
                  <c:v>49268</c:v>
                </c:pt>
                <c:pt idx="154">
                  <c:v>67028</c:v>
                </c:pt>
                <c:pt idx="155">
                  <c:v>43205</c:v>
                </c:pt>
                <c:pt idx="156">
                  <c:v>63429</c:v>
                </c:pt>
                <c:pt idx="157">
                  <c:v>56732</c:v>
                </c:pt>
                <c:pt idx="158">
                  <c:v>47549</c:v>
                </c:pt>
                <c:pt idx="159">
                  <c:v>50265</c:v>
                </c:pt>
                <c:pt idx="160">
                  <c:v>36727</c:v>
                </c:pt>
                <c:pt idx="161">
                  <c:v>52065</c:v>
                </c:pt>
                <c:pt idx="162">
                  <c:v>56858</c:v>
                </c:pt>
                <c:pt idx="163">
                  <c:v>69801</c:v>
                </c:pt>
                <c:pt idx="164">
                  <c:v>37482</c:v>
                </c:pt>
                <c:pt idx="165">
                  <c:v>48455</c:v>
                </c:pt>
                <c:pt idx="166">
                  <c:v>43218</c:v>
                </c:pt>
                <c:pt idx="167">
                  <c:v>59211</c:v>
                </c:pt>
                <c:pt idx="168">
                  <c:v>49532</c:v>
                </c:pt>
                <c:pt idx="169">
                  <c:v>69318</c:v>
                </c:pt>
                <c:pt idx="170">
                  <c:v>53651</c:v>
                </c:pt>
                <c:pt idx="171">
                  <c:v>58594</c:v>
                </c:pt>
                <c:pt idx="172">
                  <c:v>49239</c:v>
                </c:pt>
                <c:pt idx="173">
                  <c:v>48289</c:v>
                </c:pt>
                <c:pt idx="174">
                  <c:v>53534</c:v>
                </c:pt>
                <c:pt idx="175">
                  <c:v>58823</c:v>
                </c:pt>
                <c:pt idx="176">
                  <c:v>53276</c:v>
                </c:pt>
                <c:pt idx="177">
                  <c:v>45590</c:v>
                </c:pt>
                <c:pt idx="178">
                  <c:v>57936</c:v>
                </c:pt>
                <c:pt idx="179">
                  <c:v>29837</c:v>
                </c:pt>
                <c:pt idx="180">
                  <c:v>61837</c:v>
                </c:pt>
                <c:pt idx="181">
                  <c:v>27931</c:v>
                </c:pt>
                <c:pt idx="182">
                  <c:v>40640</c:v>
                </c:pt>
                <c:pt idx="183">
                  <c:v>51749</c:v>
                </c:pt>
                <c:pt idx="184">
                  <c:v>37562</c:v>
                </c:pt>
                <c:pt idx="185">
                  <c:v>46669</c:v>
                </c:pt>
                <c:pt idx="186">
                  <c:v>35721</c:v>
                </c:pt>
                <c:pt idx="187">
                  <c:v>32238</c:v>
                </c:pt>
                <c:pt idx="188">
                  <c:v>60481</c:v>
                </c:pt>
                <c:pt idx="189">
                  <c:v>52440</c:v>
                </c:pt>
                <c:pt idx="190">
                  <c:v>58642</c:v>
                </c:pt>
                <c:pt idx="191">
                  <c:v>49889</c:v>
                </c:pt>
                <c:pt idx="192">
                  <c:v>34117</c:v>
                </c:pt>
                <c:pt idx="193">
                  <c:v>62173</c:v>
                </c:pt>
                <c:pt idx="194">
                  <c:v>71738</c:v>
                </c:pt>
                <c:pt idx="195">
                  <c:v>51782</c:v>
                </c:pt>
                <c:pt idx="196">
                  <c:v>50593</c:v>
                </c:pt>
                <c:pt idx="197">
                  <c:v>61418</c:v>
                </c:pt>
                <c:pt idx="198">
                  <c:v>62049</c:v>
                </c:pt>
                <c:pt idx="199">
                  <c:v>43601</c:v>
                </c:pt>
                <c:pt idx="200">
                  <c:v>37275</c:v>
                </c:pt>
                <c:pt idx="201">
                  <c:v>55643</c:v>
                </c:pt>
                <c:pt idx="202">
                  <c:v>58001</c:v>
                </c:pt>
                <c:pt idx="203">
                  <c:v>57854</c:v>
                </c:pt>
                <c:pt idx="204">
                  <c:v>66319</c:v>
                </c:pt>
                <c:pt idx="205">
                  <c:v>60589</c:v>
                </c:pt>
                <c:pt idx="206">
                  <c:v>53233</c:v>
                </c:pt>
                <c:pt idx="207">
                  <c:v>42193</c:v>
                </c:pt>
                <c:pt idx="208">
                  <c:v>47102</c:v>
                </c:pt>
                <c:pt idx="209">
                  <c:v>53861</c:v>
                </c:pt>
                <c:pt idx="210">
                  <c:v>61242</c:v>
                </c:pt>
                <c:pt idx="211">
                  <c:v>52062</c:v>
                </c:pt>
                <c:pt idx="212">
                  <c:v>50310</c:v>
                </c:pt>
                <c:pt idx="213">
                  <c:v>54277</c:v>
                </c:pt>
                <c:pt idx="214">
                  <c:v>51149</c:v>
                </c:pt>
                <c:pt idx="215">
                  <c:v>46471</c:v>
                </c:pt>
                <c:pt idx="216">
                  <c:v>39932</c:v>
                </c:pt>
                <c:pt idx="217">
                  <c:v>49974</c:v>
                </c:pt>
                <c:pt idx="218">
                  <c:v>44886</c:v>
                </c:pt>
                <c:pt idx="219">
                  <c:v>54878</c:v>
                </c:pt>
                <c:pt idx="220">
                  <c:v>29441</c:v>
                </c:pt>
                <c:pt idx="221">
                  <c:v>53933</c:v>
                </c:pt>
                <c:pt idx="222">
                  <c:v>53170</c:v>
                </c:pt>
                <c:pt idx="223">
                  <c:v>65568</c:v>
                </c:pt>
                <c:pt idx="224">
                  <c:v>40067</c:v>
                </c:pt>
                <c:pt idx="225">
                  <c:v>38891</c:v>
                </c:pt>
                <c:pt idx="226">
                  <c:v>60338</c:v>
                </c:pt>
                <c:pt idx="227">
                  <c:v>40283</c:v>
                </c:pt>
                <c:pt idx="228">
                  <c:v>42276</c:v>
                </c:pt>
                <c:pt idx="229">
                  <c:v>53056</c:v>
                </c:pt>
                <c:pt idx="230">
                  <c:v>51279</c:v>
                </c:pt>
                <c:pt idx="231">
                  <c:v>31999</c:v>
                </c:pt>
                <c:pt idx="232">
                  <c:v>42562</c:v>
                </c:pt>
                <c:pt idx="233">
                  <c:v>41477</c:v>
                </c:pt>
                <c:pt idx="234">
                  <c:v>49034</c:v>
                </c:pt>
                <c:pt idx="235">
                  <c:v>44037</c:v>
                </c:pt>
                <c:pt idx="236">
                  <c:v>55943</c:v>
                </c:pt>
                <c:pt idx="237">
                  <c:v>41976</c:v>
                </c:pt>
                <c:pt idx="238">
                  <c:v>55956</c:v>
                </c:pt>
                <c:pt idx="239">
                  <c:v>43820</c:v>
                </c:pt>
                <c:pt idx="240">
                  <c:v>39561</c:v>
                </c:pt>
                <c:pt idx="241">
                  <c:v>49301</c:v>
                </c:pt>
                <c:pt idx="242">
                  <c:v>34481</c:v>
                </c:pt>
                <c:pt idx="243">
                  <c:v>79523</c:v>
                </c:pt>
                <c:pt idx="244">
                  <c:v>60619</c:v>
                </c:pt>
                <c:pt idx="245">
                  <c:v>48614</c:v>
                </c:pt>
                <c:pt idx="246">
                  <c:v>46275</c:v>
                </c:pt>
                <c:pt idx="247">
                  <c:v>52410</c:v>
                </c:pt>
                <c:pt idx="248">
                  <c:v>68753</c:v>
                </c:pt>
                <c:pt idx="249">
                  <c:v>61053</c:v>
                </c:pt>
                <c:pt idx="250">
                  <c:v>38342</c:v>
                </c:pt>
                <c:pt idx="251">
                  <c:v>45164</c:v>
                </c:pt>
                <c:pt idx="252">
                  <c:v>57892</c:v>
                </c:pt>
                <c:pt idx="253">
                  <c:v>56376</c:v>
                </c:pt>
                <c:pt idx="254">
                  <c:v>51778</c:v>
                </c:pt>
                <c:pt idx="255">
                  <c:v>47570</c:v>
                </c:pt>
                <c:pt idx="256">
                  <c:v>43000</c:v>
                </c:pt>
                <c:pt idx="257">
                  <c:v>42997</c:v>
                </c:pt>
                <c:pt idx="258">
                  <c:v>78838</c:v>
                </c:pt>
                <c:pt idx="259">
                  <c:v>41494</c:v>
                </c:pt>
                <c:pt idx="260">
                  <c:v>55860</c:v>
                </c:pt>
                <c:pt idx="261">
                  <c:v>52210</c:v>
                </c:pt>
                <c:pt idx="262">
                  <c:v>59097</c:v>
                </c:pt>
                <c:pt idx="263">
                  <c:v>57334</c:v>
                </c:pt>
                <c:pt idx="264">
                  <c:v>61061</c:v>
                </c:pt>
                <c:pt idx="265">
                  <c:v>29190</c:v>
                </c:pt>
                <c:pt idx="266">
                  <c:v>42344</c:v>
                </c:pt>
                <c:pt idx="267">
                  <c:v>61822</c:v>
                </c:pt>
                <c:pt idx="268">
                  <c:v>49549</c:v>
                </c:pt>
                <c:pt idx="269">
                  <c:v>38960</c:v>
                </c:pt>
                <c:pt idx="270">
                  <c:v>49957</c:v>
                </c:pt>
                <c:pt idx="271">
                  <c:v>46069</c:v>
                </c:pt>
                <c:pt idx="272">
                  <c:v>49990</c:v>
                </c:pt>
                <c:pt idx="273">
                  <c:v>44364</c:v>
                </c:pt>
                <c:pt idx="274">
                  <c:v>58982</c:v>
                </c:pt>
                <c:pt idx="275">
                  <c:v>68632</c:v>
                </c:pt>
                <c:pt idx="276">
                  <c:v>47512</c:v>
                </c:pt>
                <c:pt idx="277">
                  <c:v>53881</c:v>
                </c:pt>
                <c:pt idx="278">
                  <c:v>38542</c:v>
                </c:pt>
                <c:pt idx="279">
                  <c:v>39402</c:v>
                </c:pt>
                <c:pt idx="280">
                  <c:v>38559</c:v>
                </c:pt>
                <c:pt idx="281">
                  <c:v>65893</c:v>
                </c:pt>
                <c:pt idx="282">
                  <c:v>52273</c:v>
                </c:pt>
                <c:pt idx="283">
                  <c:v>69289</c:v>
                </c:pt>
                <c:pt idx="284">
                  <c:v>63516</c:v>
                </c:pt>
                <c:pt idx="285">
                  <c:v>40683</c:v>
                </c:pt>
                <c:pt idx="286">
                  <c:v>45970</c:v>
                </c:pt>
                <c:pt idx="287">
                  <c:v>62591</c:v>
                </c:pt>
                <c:pt idx="288">
                  <c:v>50277</c:v>
                </c:pt>
                <c:pt idx="289">
                  <c:v>39750</c:v>
                </c:pt>
                <c:pt idx="290">
                  <c:v>67664</c:v>
                </c:pt>
                <c:pt idx="291">
                  <c:v>58491</c:v>
                </c:pt>
                <c:pt idx="292">
                  <c:v>39088</c:v>
                </c:pt>
                <c:pt idx="293">
                  <c:v>55713</c:v>
                </c:pt>
                <c:pt idx="294">
                  <c:v>67838</c:v>
                </c:pt>
                <c:pt idx="295">
                  <c:v>55317</c:v>
                </c:pt>
                <c:pt idx="296">
                  <c:v>42585</c:v>
                </c:pt>
                <c:pt idx="297">
                  <c:v>52813</c:v>
                </c:pt>
                <c:pt idx="298">
                  <c:v>51175</c:v>
                </c:pt>
                <c:pt idx="299">
                  <c:v>40750</c:v>
                </c:pt>
                <c:pt idx="300">
                  <c:v>50436</c:v>
                </c:pt>
                <c:pt idx="301">
                  <c:v>45503</c:v>
                </c:pt>
                <c:pt idx="302">
                  <c:v>43415</c:v>
                </c:pt>
                <c:pt idx="303">
                  <c:v>49683</c:v>
                </c:pt>
                <c:pt idx="304">
                  <c:v>60355</c:v>
                </c:pt>
                <c:pt idx="305">
                  <c:v>52395</c:v>
                </c:pt>
                <c:pt idx="306">
                  <c:v>58367</c:v>
                </c:pt>
                <c:pt idx="307">
                  <c:v>41870</c:v>
                </c:pt>
                <c:pt idx="308">
                  <c:v>60241</c:v>
                </c:pt>
                <c:pt idx="309">
                  <c:v>63664</c:v>
                </c:pt>
                <c:pt idx="310">
                  <c:v>44689</c:v>
                </c:pt>
                <c:pt idx="311">
                  <c:v>56863</c:v>
                </c:pt>
                <c:pt idx="312">
                  <c:v>52443</c:v>
                </c:pt>
                <c:pt idx="313">
                  <c:v>61010</c:v>
                </c:pt>
                <c:pt idx="314">
                  <c:v>43187</c:v>
                </c:pt>
                <c:pt idx="315">
                  <c:v>49280</c:v>
                </c:pt>
                <c:pt idx="316">
                  <c:v>65711</c:v>
                </c:pt>
                <c:pt idx="317">
                  <c:v>51835</c:v>
                </c:pt>
                <c:pt idx="318">
                  <c:v>63944</c:v>
                </c:pt>
                <c:pt idx="319">
                  <c:v>61511</c:v>
                </c:pt>
                <c:pt idx="320">
                  <c:v>45396</c:v>
                </c:pt>
                <c:pt idx="321">
                  <c:v>34580</c:v>
                </c:pt>
                <c:pt idx="322">
                  <c:v>43293</c:v>
                </c:pt>
                <c:pt idx="323">
                  <c:v>44341</c:v>
                </c:pt>
                <c:pt idx="324">
                  <c:v>51251</c:v>
                </c:pt>
                <c:pt idx="325">
                  <c:v>48568</c:v>
                </c:pt>
                <c:pt idx="326">
                  <c:v>38872</c:v>
                </c:pt>
                <c:pt idx="327">
                  <c:v>51266</c:v>
                </c:pt>
                <c:pt idx="328">
                  <c:v>46710</c:v>
                </c:pt>
                <c:pt idx="329">
                  <c:v>45224</c:v>
                </c:pt>
                <c:pt idx="330">
                  <c:v>55480</c:v>
                </c:pt>
                <c:pt idx="331">
                  <c:v>59181</c:v>
                </c:pt>
                <c:pt idx="332">
                  <c:v>60448</c:v>
                </c:pt>
                <c:pt idx="333">
                  <c:v>68124</c:v>
                </c:pt>
                <c:pt idx="334">
                  <c:v>51490</c:v>
                </c:pt>
                <c:pt idx="335">
                  <c:v>48477</c:v>
                </c:pt>
                <c:pt idx="336">
                  <c:v>50637</c:v>
                </c:pt>
                <c:pt idx="337">
                  <c:v>33481</c:v>
                </c:pt>
                <c:pt idx="338">
                  <c:v>50896</c:v>
                </c:pt>
                <c:pt idx="339">
                  <c:v>55760</c:v>
                </c:pt>
                <c:pt idx="340">
                  <c:v>48346</c:v>
                </c:pt>
                <c:pt idx="341">
                  <c:v>60234</c:v>
                </c:pt>
                <c:pt idx="342">
                  <c:v>57872</c:v>
                </c:pt>
                <c:pt idx="343">
                  <c:v>55468</c:v>
                </c:pt>
                <c:pt idx="344">
                  <c:v>55299</c:v>
                </c:pt>
                <c:pt idx="345">
                  <c:v>52060</c:v>
                </c:pt>
                <c:pt idx="346">
                  <c:v>49110</c:v>
                </c:pt>
                <c:pt idx="347">
                  <c:v>39334</c:v>
                </c:pt>
                <c:pt idx="348">
                  <c:v>35038</c:v>
                </c:pt>
                <c:pt idx="349">
                  <c:v>53733</c:v>
                </c:pt>
                <c:pt idx="350">
                  <c:v>32993</c:v>
                </c:pt>
                <c:pt idx="351">
                  <c:v>41469</c:v>
                </c:pt>
                <c:pt idx="352">
                  <c:v>62974</c:v>
                </c:pt>
                <c:pt idx="353">
                  <c:v>66361</c:v>
                </c:pt>
                <c:pt idx="354">
                  <c:v>68072</c:v>
                </c:pt>
                <c:pt idx="355">
                  <c:v>49909</c:v>
                </c:pt>
                <c:pt idx="356">
                  <c:v>61905</c:v>
                </c:pt>
                <c:pt idx="357">
                  <c:v>41064</c:v>
                </c:pt>
                <c:pt idx="358">
                  <c:v>41055</c:v>
                </c:pt>
                <c:pt idx="359">
                  <c:v>66519</c:v>
                </c:pt>
                <c:pt idx="360">
                  <c:v>34355</c:v>
                </c:pt>
                <c:pt idx="361">
                  <c:v>47639</c:v>
                </c:pt>
                <c:pt idx="362">
                  <c:v>55242</c:v>
                </c:pt>
                <c:pt idx="363">
                  <c:v>55865</c:v>
                </c:pt>
                <c:pt idx="364">
                  <c:v>52512</c:v>
                </c:pt>
                <c:pt idx="365">
                  <c:v>57634</c:v>
                </c:pt>
                <c:pt idx="366">
                  <c:v>51976</c:v>
                </c:pt>
                <c:pt idx="367">
                  <c:v>49747</c:v>
                </c:pt>
                <c:pt idx="368">
                  <c:v>52005</c:v>
                </c:pt>
                <c:pt idx="369">
                  <c:v>43062</c:v>
                </c:pt>
                <c:pt idx="370">
                  <c:v>48167</c:v>
                </c:pt>
                <c:pt idx="371">
                  <c:v>41937</c:v>
                </c:pt>
                <c:pt idx="372">
                  <c:v>37555</c:v>
                </c:pt>
                <c:pt idx="373">
                  <c:v>32668</c:v>
                </c:pt>
                <c:pt idx="374">
                  <c:v>42440</c:v>
                </c:pt>
                <c:pt idx="375">
                  <c:v>58687</c:v>
                </c:pt>
                <c:pt idx="376">
                  <c:v>42055</c:v>
                </c:pt>
                <c:pt idx="377">
                  <c:v>57587</c:v>
                </c:pt>
                <c:pt idx="378">
                  <c:v>49978</c:v>
                </c:pt>
                <c:pt idx="379">
                  <c:v>39447</c:v>
                </c:pt>
                <c:pt idx="380">
                  <c:v>60943</c:v>
                </c:pt>
                <c:pt idx="381">
                  <c:v>62380</c:v>
                </c:pt>
                <c:pt idx="382">
                  <c:v>38510</c:v>
                </c:pt>
                <c:pt idx="383">
                  <c:v>49070</c:v>
                </c:pt>
                <c:pt idx="384">
                  <c:v>47817</c:v>
                </c:pt>
                <c:pt idx="385">
                  <c:v>55040</c:v>
                </c:pt>
                <c:pt idx="386">
                  <c:v>56460</c:v>
                </c:pt>
                <c:pt idx="387">
                  <c:v>38101</c:v>
                </c:pt>
                <c:pt idx="388">
                  <c:v>43503</c:v>
                </c:pt>
                <c:pt idx="389">
                  <c:v>46937</c:v>
                </c:pt>
                <c:pt idx="390">
                  <c:v>38578</c:v>
                </c:pt>
                <c:pt idx="391">
                  <c:v>44232</c:v>
                </c:pt>
                <c:pt idx="392">
                  <c:v>27881</c:v>
                </c:pt>
                <c:pt idx="393">
                  <c:v>67381</c:v>
                </c:pt>
                <c:pt idx="394">
                  <c:v>64719</c:v>
                </c:pt>
                <c:pt idx="395">
                  <c:v>55902</c:v>
                </c:pt>
                <c:pt idx="396">
                  <c:v>63105</c:v>
                </c:pt>
                <c:pt idx="397">
                  <c:v>44229</c:v>
                </c:pt>
                <c:pt idx="398">
                  <c:v>34402</c:v>
                </c:pt>
                <c:pt idx="399">
                  <c:v>60472</c:v>
                </c:pt>
                <c:pt idx="400">
                  <c:v>49707</c:v>
                </c:pt>
                <c:pt idx="401">
                  <c:v>63696</c:v>
                </c:pt>
                <c:pt idx="402">
                  <c:v>56479</c:v>
                </c:pt>
                <c:pt idx="403">
                  <c:v>62096</c:v>
                </c:pt>
                <c:pt idx="404">
                  <c:v>52841</c:v>
                </c:pt>
                <c:pt idx="405">
                  <c:v>33122</c:v>
                </c:pt>
                <c:pt idx="406">
                  <c:v>74147</c:v>
                </c:pt>
                <c:pt idx="407">
                  <c:v>44530</c:v>
                </c:pt>
                <c:pt idx="408">
                  <c:v>49501</c:v>
                </c:pt>
                <c:pt idx="409">
                  <c:v>32616</c:v>
                </c:pt>
                <c:pt idx="410">
                  <c:v>46822</c:v>
                </c:pt>
                <c:pt idx="411">
                  <c:v>43701</c:v>
                </c:pt>
                <c:pt idx="412">
                  <c:v>47394</c:v>
                </c:pt>
                <c:pt idx="413">
                  <c:v>30767</c:v>
                </c:pt>
                <c:pt idx="414">
                  <c:v>49346</c:v>
                </c:pt>
                <c:pt idx="415">
                  <c:v>44298</c:v>
                </c:pt>
                <c:pt idx="416">
                  <c:v>30083</c:v>
                </c:pt>
                <c:pt idx="417">
                  <c:v>48245</c:v>
                </c:pt>
                <c:pt idx="418">
                  <c:v>29053</c:v>
                </c:pt>
                <c:pt idx="419">
                  <c:v>48001</c:v>
                </c:pt>
                <c:pt idx="420">
                  <c:v>60054</c:v>
                </c:pt>
                <c:pt idx="421">
                  <c:v>43771</c:v>
                </c:pt>
                <c:pt idx="422">
                  <c:v>51541</c:v>
                </c:pt>
                <c:pt idx="423">
                  <c:v>49568</c:v>
                </c:pt>
                <c:pt idx="424">
                  <c:v>70480</c:v>
                </c:pt>
                <c:pt idx="425">
                  <c:v>52561</c:v>
                </c:pt>
                <c:pt idx="426">
                  <c:v>52123</c:v>
                </c:pt>
                <c:pt idx="427">
                  <c:v>58852</c:v>
                </c:pt>
                <c:pt idx="428">
                  <c:v>56602</c:v>
                </c:pt>
                <c:pt idx="429">
                  <c:v>41289</c:v>
                </c:pt>
                <c:pt idx="430">
                  <c:v>52554</c:v>
                </c:pt>
                <c:pt idx="431">
                  <c:v>46502</c:v>
                </c:pt>
                <c:pt idx="432">
                  <c:v>57779</c:v>
                </c:pt>
                <c:pt idx="433">
                  <c:v>38458</c:v>
                </c:pt>
                <c:pt idx="434">
                  <c:v>54030</c:v>
                </c:pt>
                <c:pt idx="435">
                  <c:v>50347</c:v>
                </c:pt>
                <c:pt idx="436">
                  <c:v>45210</c:v>
                </c:pt>
                <c:pt idx="437">
                  <c:v>43611</c:v>
                </c:pt>
                <c:pt idx="438">
                  <c:v>55918</c:v>
                </c:pt>
                <c:pt idx="439">
                  <c:v>66685</c:v>
                </c:pt>
                <c:pt idx="440">
                  <c:v>53045</c:v>
                </c:pt>
                <c:pt idx="441">
                  <c:v>26391</c:v>
                </c:pt>
                <c:pt idx="442">
                  <c:v>71028</c:v>
                </c:pt>
                <c:pt idx="443">
                  <c:v>56914</c:v>
                </c:pt>
                <c:pt idx="444">
                  <c:v>41227</c:v>
                </c:pt>
                <c:pt idx="445">
                  <c:v>56736</c:v>
                </c:pt>
                <c:pt idx="446">
                  <c:v>50832</c:v>
                </c:pt>
                <c:pt idx="447">
                  <c:v>50977</c:v>
                </c:pt>
                <c:pt idx="448">
                  <c:v>63948</c:v>
                </c:pt>
                <c:pt idx="449">
                  <c:v>47746</c:v>
                </c:pt>
                <c:pt idx="450">
                  <c:v>63457</c:v>
                </c:pt>
                <c:pt idx="451">
                  <c:v>34237</c:v>
                </c:pt>
                <c:pt idx="452">
                  <c:v>47542</c:v>
                </c:pt>
                <c:pt idx="453">
                  <c:v>62848</c:v>
                </c:pt>
                <c:pt idx="454">
                  <c:v>41670</c:v>
                </c:pt>
                <c:pt idx="455">
                  <c:v>43114</c:v>
                </c:pt>
                <c:pt idx="456">
                  <c:v>40434</c:v>
                </c:pt>
                <c:pt idx="457">
                  <c:v>29216</c:v>
                </c:pt>
                <c:pt idx="458">
                  <c:v>37391</c:v>
                </c:pt>
                <c:pt idx="459">
                  <c:v>56727</c:v>
                </c:pt>
                <c:pt idx="460">
                  <c:v>54572</c:v>
                </c:pt>
                <c:pt idx="461">
                  <c:v>31225</c:v>
                </c:pt>
                <c:pt idx="462">
                  <c:v>58883</c:v>
                </c:pt>
                <c:pt idx="463">
                  <c:v>34004</c:v>
                </c:pt>
                <c:pt idx="464">
                  <c:v>45337</c:v>
                </c:pt>
                <c:pt idx="465">
                  <c:v>51520</c:v>
                </c:pt>
                <c:pt idx="466">
                  <c:v>49332</c:v>
                </c:pt>
                <c:pt idx="467">
                  <c:v>46760</c:v>
                </c:pt>
                <c:pt idx="468">
                  <c:v>64640</c:v>
                </c:pt>
                <c:pt idx="469">
                  <c:v>52341</c:v>
                </c:pt>
                <c:pt idx="470">
                  <c:v>39689</c:v>
                </c:pt>
                <c:pt idx="471">
                  <c:v>30495</c:v>
                </c:pt>
                <c:pt idx="472">
                  <c:v>36686</c:v>
                </c:pt>
                <c:pt idx="473">
                  <c:v>70426</c:v>
                </c:pt>
                <c:pt idx="474">
                  <c:v>70305</c:v>
                </c:pt>
                <c:pt idx="475">
                  <c:v>41677</c:v>
                </c:pt>
                <c:pt idx="476">
                  <c:v>32060</c:v>
                </c:pt>
                <c:pt idx="477">
                  <c:v>51147</c:v>
                </c:pt>
                <c:pt idx="478">
                  <c:v>58783</c:v>
                </c:pt>
                <c:pt idx="479">
                  <c:v>45346</c:v>
                </c:pt>
                <c:pt idx="480">
                  <c:v>53366</c:v>
                </c:pt>
                <c:pt idx="481">
                  <c:v>63935</c:v>
                </c:pt>
                <c:pt idx="482">
                  <c:v>33321</c:v>
                </c:pt>
                <c:pt idx="483">
                  <c:v>42445</c:v>
                </c:pt>
                <c:pt idx="484">
                  <c:v>69803</c:v>
                </c:pt>
                <c:pt idx="485">
                  <c:v>31335</c:v>
                </c:pt>
                <c:pt idx="486">
                  <c:v>53694</c:v>
                </c:pt>
                <c:pt idx="487">
                  <c:v>50171</c:v>
                </c:pt>
                <c:pt idx="488">
                  <c:v>63505</c:v>
                </c:pt>
                <c:pt idx="489">
                  <c:v>57488</c:v>
                </c:pt>
                <c:pt idx="490">
                  <c:v>40657</c:v>
                </c:pt>
                <c:pt idx="491">
                  <c:v>43272</c:v>
                </c:pt>
                <c:pt idx="492">
                  <c:v>46415</c:v>
                </c:pt>
                <c:pt idx="493">
                  <c:v>44392</c:v>
                </c:pt>
                <c:pt idx="494">
                  <c:v>55205</c:v>
                </c:pt>
                <c:pt idx="495">
                  <c:v>65104</c:v>
                </c:pt>
                <c:pt idx="496">
                  <c:v>51671</c:v>
                </c:pt>
                <c:pt idx="497">
                  <c:v>44359</c:v>
                </c:pt>
                <c:pt idx="498">
                  <c:v>51025</c:v>
                </c:pt>
                <c:pt idx="499">
                  <c:v>46814</c:v>
                </c:pt>
                <c:pt idx="500">
                  <c:v>59545</c:v>
                </c:pt>
                <c:pt idx="501">
                  <c:v>39055</c:v>
                </c:pt>
                <c:pt idx="502">
                  <c:v>66773</c:v>
                </c:pt>
                <c:pt idx="503">
                  <c:v>72764</c:v>
                </c:pt>
                <c:pt idx="504">
                  <c:v>65751</c:v>
                </c:pt>
                <c:pt idx="505">
                  <c:v>52893</c:v>
                </c:pt>
                <c:pt idx="506">
                  <c:v>28807</c:v>
                </c:pt>
                <c:pt idx="507">
                  <c:v>46179</c:v>
                </c:pt>
                <c:pt idx="508">
                  <c:v>62596</c:v>
                </c:pt>
                <c:pt idx="509">
                  <c:v>39409</c:v>
                </c:pt>
                <c:pt idx="510">
                  <c:v>48021</c:v>
                </c:pt>
                <c:pt idx="511">
                  <c:v>70304</c:v>
                </c:pt>
                <c:pt idx="512">
                  <c:v>57518</c:v>
                </c:pt>
                <c:pt idx="513">
                  <c:v>65083</c:v>
                </c:pt>
                <c:pt idx="514">
                  <c:v>24619</c:v>
                </c:pt>
                <c:pt idx="515">
                  <c:v>37558</c:v>
                </c:pt>
                <c:pt idx="516">
                  <c:v>47570</c:v>
                </c:pt>
                <c:pt idx="517">
                  <c:v>36490</c:v>
                </c:pt>
                <c:pt idx="518">
                  <c:v>40389</c:v>
                </c:pt>
                <c:pt idx="519">
                  <c:v>38332</c:v>
                </c:pt>
                <c:pt idx="520">
                  <c:v>57056</c:v>
                </c:pt>
                <c:pt idx="521">
                  <c:v>70754</c:v>
                </c:pt>
                <c:pt idx="522">
                  <c:v>16651</c:v>
                </c:pt>
                <c:pt idx="523">
                  <c:v>51994</c:v>
                </c:pt>
                <c:pt idx="524">
                  <c:v>43035</c:v>
                </c:pt>
                <c:pt idx="525">
                  <c:v>59023</c:v>
                </c:pt>
                <c:pt idx="526">
                  <c:v>51850</c:v>
                </c:pt>
                <c:pt idx="527">
                  <c:v>51817</c:v>
                </c:pt>
                <c:pt idx="528">
                  <c:v>44920</c:v>
                </c:pt>
                <c:pt idx="529">
                  <c:v>49489</c:v>
                </c:pt>
                <c:pt idx="530">
                  <c:v>46720</c:v>
                </c:pt>
                <c:pt idx="531">
                  <c:v>38716</c:v>
                </c:pt>
                <c:pt idx="532">
                  <c:v>44358</c:v>
                </c:pt>
                <c:pt idx="533">
                  <c:v>28022</c:v>
                </c:pt>
                <c:pt idx="534">
                  <c:v>58267</c:v>
                </c:pt>
                <c:pt idx="535">
                  <c:v>47539</c:v>
                </c:pt>
                <c:pt idx="536">
                  <c:v>48724</c:v>
                </c:pt>
                <c:pt idx="537">
                  <c:v>44076</c:v>
                </c:pt>
                <c:pt idx="538">
                  <c:v>47220</c:v>
                </c:pt>
                <c:pt idx="539">
                  <c:v>54640</c:v>
                </c:pt>
                <c:pt idx="540">
                  <c:v>54513</c:v>
                </c:pt>
                <c:pt idx="541">
                  <c:v>53409</c:v>
                </c:pt>
                <c:pt idx="542">
                  <c:v>45410</c:v>
                </c:pt>
                <c:pt idx="543">
                  <c:v>44964</c:v>
                </c:pt>
                <c:pt idx="544">
                  <c:v>47837</c:v>
                </c:pt>
                <c:pt idx="545">
                  <c:v>48201</c:v>
                </c:pt>
                <c:pt idx="546">
                  <c:v>44988</c:v>
                </c:pt>
                <c:pt idx="547">
                  <c:v>56918</c:v>
                </c:pt>
                <c:pt idx="548">
                  <c:v>37733</c:v>
                </c:pt>
                <c:pt idx="549">
                  <c:v>62332</c:v>
                </c:pt>
                <c:pt idx="550">
                  <c:v>49412</c:v>
                </c:pt>
                <c:pt idx="551">
                  <c:v>58112</c:v>
                </c:pt>
                <c:pt idx="552">
                  <c:v>52959</c:v>
                </c:pt>
                <c:pt idx="553">
                  <c:v>43609</c:v>
                </c:pt>
                <c:pt idx="554">
                  <c:v>42054</c:v>
                </c:pt>
                <c:pt idx="555">
                  <c:v>44295</c:v>
                </c:pt>
                <c:pt idx="556">
                  <c:v>40543</c:v>
                </c:pt>
                <c:pt idx="557">
                  <c:v>58525</c:v>
                </c:pt>
                <c:pt idx="558">
                  <c:v>57661</c:v>
                </c:pt>
                <c:pt idx="559">
                  <c:v>43695</c:v>
                </c:pt>
                <c:pt idx="560">
                  <c:v>51225</c:v>
                </c:pt>
                <c:pt idx="561">
                  <c:v>55219</c:v>
                </c:pt>
                <c:pt idx="562">
                  <c:v>49337</c:v>
                </c:pt>
                <c:pt idx="563">
                  <c:v>62285</c:v>
                </c:pt>
                <c:pt idx="564">
                  <c:v>42206</c:v>
                </c:pt>
                <c:pt idx="565">
                  <c:v>53284</c:v>
                </c:pt>
                <c:pt idx="566">
                  <c:v>43589</c:v>
                </c:pt>
                <c:pt idx="567">
                  <c:v>65819</c:v>
                </c:pt>
                <c:pt idx="568">
                  <c:v>40730</c:v>
                </c:pt>
                <c:pt idx="569">
                  <c:v>64935</c:v>
                </c:pt>
                <c:pt idx="570">
                  <c:v>61955</c:v>
                </c:pt>
                <c:pt idx="571">
                  <c:v>56376</c:v>
                </c:pt>
                <c:pt idx="572">
                  <c:v>41488</c:v>
                </c:pt>
                <c:pt idx="573">
                  <c:v>45495</c:v>
                </c:pt>
                <c:pt idx="574">
                  <c:v>38869</c:v>
                </c:pt>
                <c:pt idx="575">
                  <c:v>53348</c:v>
                </c:pt>
                <c:pt idx="576">
                  <c:v>53702</c:v>
                </c:pt>
                <c:pt idx="577">
                  <c:v>53484</c:v>
                </c:pt>
                <c:pt idx="578">
                  <c:v>60053</c:v>
                </c:pt>
                <c:pt idx="579">
                  <c:v>46650</c:v>
                </c:pt>
                <c:pt idx="580">
                  <c:v>71199</c:v>
                </c:pt>
                <c:pt idx="581">
                  <c:v>38366</c:v>
                </c:pt>
                <c:pt idx="582">
                  <c:v>69600</c:v>
                </c:pt>
                <c:pt idx="583">
                  <c:v>40311</c:v>
                </c:pt>
                <c:pt idx="584">
                  <c:v>64413</c:v>
                </c:pt>
                <c:pt idx="585">
                  <c:v>48894</c:v>
                </c:pt>
                <c:pt idx="586">
                  <c:v>58181</c:v>
                </c:pt>
                <c:pt idx="587">
                  <c:v>42603</c:v>
                </c:pt>
                <c:pt idx="588">
                  <c:v>75365</c:v>
                </c:pt>
                <c:pt idx="589">
                  <c:v>52102</c:v>
                </c:pt>
                <c:pt idx="590">
                  <c:v>61528</c:v>
                </c:pt>
                <c:pt idx="591">
                  <c:v>49306</c:v>
                </c:pt>
                <c:pt idx="592">
                  <c:v>54579</c:v>
                </c:pt>
                <c:pt idx="593">
                  <c:v>42089</c:v>
                </c:pt>
                <c:pt idx="594">
                  <c:v>39077</c:v>
                </c:pt>
                <c:pt idx="595">
                  <c:v>39502</c:v>
                </c:pt>
                <c:pt idx="596">
                  <c:v>43597</c:v>
                </c:pt>
                <c:pt idx="597">
                  <c:v>55497</c:v>
                </c:pt>
                <c:pt idx="598">
                  <c:v>54972</c:v>
                </c:pt>
                <c:pt idx="599">
                  <c:v>50450</c:v>
                </c:pt>
                <c:pt idx="600">
                  <c:v>25850</c:v>
                </c:pt>
                <c:pt idx="601">
                  <c:v>36701</c:v>
                </c:pt>
                <c:pt idx="602">
                  <c:v>62159</c:v>
                </c:pt>
                <c:pt idx="603">
                  <c:v>48242</c:v>
                </c:pt>
                <c:pt idx="604">
                  <c:v>37424</c:v>
                </c:pt>
                <c:pt idx="605">
                  <c:v>59398</c:v>
                </c:pt>
                <c:pt idx="606">
                  <c:v>51589</c:v>
                </c:pt>
                <c:pt idx="607">
                  <c:v>72211</c:v>
                </c:pt>
                <c:pt idx="608">
                  <c:v>44452</c:v>
                </c:pt>
                <c:pt idx="609">
                  <c:v>41443</c:v>
                </c:pt>
                <c:pt idx="610">
                  <c:v>47556</c:v>
                </c:pt>
                <c:pt idx="611">
                  <c:v>64686</c:v>
                </c:pt>
                <c:pt idx="612">
                  <c:v>53316</c:v>
                </c:pt>
                <c:pt idx="613">
                  <c:v>23169</c:v>
                </c:pt>
                <c:pt idx="614">
                  <c:v>28215</c:v>
                </c:pt>
                <c:pt idx="615">
                  <c:v>56702</c:v>
                </c:pt>
                <c:pt idx="616">
                  <c:v>52142</c:v>
                </c:pt>
                <c:pt idx="617">
                  <c:v>58375</c:v>
                </c:pt>
                <c:pt idx="618">
                  <c:v>55516</c:v>
                </c:pt>
                <c:pt idx="619">
                  <c:v>56556</c:v>
                </c:pt>
                <c:pt idx="620">
                  <c:v>38439</c:v>
                </c:pt>
                <c:pt idx="621">
                  <c:v>65547</c:v>
                </c:pt>
                <c:pt idx="622">
                  <c:v>43049</c:v>
                </c:pt>
                <c:pt idx="623">
                  <c:v>46782</c:v>
                </c:pt>
                <c:pt idx="624">
                  <c:v>71726</c:v>
                </c:pt>
                <c:pt idx="625">
                  <c:v>50606</c:v>
                </c:pt>
                <c:pt idx="626">
                  <c:v>50704</c:v>
                </c:pt>
                <c:pt idx="627">
                  <c:v>45391</c:v>
                </c:pt>
                <c:pt idx="628">
                  <c:v>63416</c:v>
                </c:pt>
                <c:pt idx="629">
                  <c:v>40226</c:v>
                </c:pt>
                <c:pt idx="630">
                  <c:v>51924</c:v>
                </c:pt>
                <c:pt idx="631">
                  <c:v>49157</c:v>
                </c:pt>
                <c:pt idx="632">
                  <c:v>52534</c:v>
                </c:pt>
                <c:pt idx="633">
                  <c:v>65601</c:v>
                </c:pt>
                <c:pt idx="634">
                  <c:v>52916</c:v>
                </c:pt>
                <c:pt idx="635">
                  <c:v>53615</c:v>
                </c:pt>
                <c:pt idx="636">
                  <c:v>53108</c:v>
                </c:pt>
                <c:pt idx="637">
                  <c:v>62564</c:v>
                </c:pt>
                <c:pt idx="638">
                  <c:v>71824</c:v>
                </c:pt>
                <c:pt idx="639">
                  <c:v>42386</c:v>
                </c:pt>
                <c:pt idx="640">
                  <c:v>51520</c:v>
                </c:pt>
                <c:pt idx="641">
                  <c:v>63141</c:v>
                </c:pt>
                <c:pt idx="642">
                  <c:v>42082</c:v>
                </c:pt>
                <c:pt idx="643">
                  <c:v>54176</c:v>
                </c:pt>
                <c:pt idx="644">
                  <c:v>45350</c:v>
                </c:pt>
                <c:pt idx="645">
                  <c:v>42024</c:v>
                </c:pt>
                <c:pt idx="646">
                  <c:v>50566</c:v>
                </c:pt>
                <c:pt idx="647">
                  <c:v>54602</c:v>
                </c:pt>
                <c:pt idx="648">
                  <c:v>53845</c:v>
                </c:pt>
                <c:pt idx="649">
                  <c:v>46306</c:v>
                </c:pt>
                <c:pt idx="650">
                  <c:v>59769</c:v>
                </c:pt>
                <c:pt idx="651">
                  <c:v>56298</c:v>
                </c:pt>
                <c:pt idx="652">
                  <c:v>66471</c:v>
                </c:pt>
                <c:pt idx="653">
                  <c:v>45029</c:v>
                </c:pt>
                <c:pt idx="654">
                  <c:v>43273</c:v>
                </c:pt>
                <c:pt idx="655">
                  <c:v>62433</c:v>
                </c:pt>
                <c:pt idx="656">
                  <c:v>60093</c:v>
                </c:pt>
                <c:pt idx="657">
                  <c:v>55717</c:v>
                </c:pt>
                <c:pt idx="658">
                  <c:v>59983</c:v>
                </c:pt>
                <c:pt idx="659">
                  <c:v>39104</c:v>
                </c:pt>
                <c:pt idx="660">
                  <c:v>52748</c:v>
                </c:pt>
                <c:pt idx="661">
                  <c:v>68420</c:v>
                </c:pt>
                <c:pt idx="662">
                  <c:v>59934</c:v>
                </c:pt>
                <c:pt idx="663">
                  <c:v>56716</c:v>
                </c:pt>
                <c:pt idx="664">
                  <c:v>47690</c:v>
                </c:pt>
                <c:pt idx="665">
                  <c:v>49370</c:v>
                </c:pt>
                <c:pt idx="666">
                  <c:v>63029</c:v>
                </c:pt>
                <c:pt idx="667">
                  <c:v>54552</c:v>
                </c:pt>
                <c:pt idx="668">
                  <c:v>54023</c:v>
                </c:pt>
                <c:pt idx="669">
                  <c:v>58861</c:v>
                </c:pt>
                <c:pt idx="670">
                  <c:v>31725</c:v>
                </c:pt>
                <c:pt idx="671">
                  <c:v>33733</c:v>
                </c:pt>
                <c:pt idx="672">
                  <c:v>51671</c:v>
                </c:pt>
                <c:pt idx="673">
                  <c:v>31977</c:v>
                </c:pt>
                <c:pt idx="674">
                  <c:v>45686</c:v>
                </c:pt>
                <c:pt idx="675">
                  <c:v>45443</c:v>
                </c:pt>
                <c:pt idx="676">
                  <c:v>55918</c:v>
                </c:pt>
                <c:pt idx="677">
                  <c:v>53106</c:v>
                </c:pt>
                <c:pt idx="678">
                  <c:v>31641</c:v>
                </c:pt>
                <c:pt idx="679">
                  <c:v>53859</c:v>
                </c:pt>
                <c:pt idx="680">
                  <c:v>53522</c:v>
                </c:pt>
                <c:pt idx="681">
                  <c:v>45476</c:v>
                </c:pt>
                <c:pt idx="682">
                  <c:v>51548</c:v>
                </c:pt>
                <c:pt idx="683">
                  <c:v>37698</c:v>
                </c:pt>
                <c:pt idx="684">
                  <c:v>56211</c:v>
                </c:pt>
                <c:pt idx="685">
                  <c:v>38894</c:v>
                </c:pt>
                <c:pt idx="686">
                  <c:v>54898</c:v>
                </c:pt>
                <c:pt idx="687">
                  <c:v>41385</c:v>
                </c:pt>
                <c:pt idx="688">
                  <c:v>34050</c:v>
                </c:pt>
                <c:pt idx="689">
                  <c:v>42027</c:v>
                </c:pt>
                <c:pt idx="690">
                  <c:v>41400</c:v>
                </c:pt>
                <c:pt idx="691">
                  <c:v>37025</c:v>
                </c:pt>
                <c:pt idx="692">
                  <c:v>59188</c:v>
                </c:pt>
                <c:pt idx="693">
                  <c:v>66390</c:v>
                </c:pt>
                <c:pt idx="694">
                  <c:v>33532</c:v>
                </c:pt>
                <c:pt idx="695">
                  <c:v>66497</c:v>
                </c:pt>
                <c:pt idx="696">
                  <c:v>47912</c:v>
                </c:pt>
                <c:pt idx="697">
                  <c:v>52825</c:v>
                </c:pt>
                <c:pt idx="698">
                  <c:v>55185</c:v>
                </c:pt>
                <c:pt idx="699">
                  <c:v>45680</c:v>
                </c:pt>
                <c:pt idx="700">
                  <c:v>46599</c:v>
                </c:pt>
                <c:pt idx="701">
                  <c:v>55248</c:v>
                </c:pt>
                <c:pt idx="702">
                  <c:v>34692</c:v>
                </c:pt>
                <c:pt idx="703">
                  <c:v>74012</c:v>
                </c:pt>
                <c:pt idx="704">
                  <c:v>40800</c:v>
                </c:pt>
                <c:pt idx="705">
                  <c:v>55045</c:v>
                </c:pt>
                <c:pt idx="706">
                  <c:v>60883</c:v>
                </c:pt>
                <c:pt idx="707">
                  <c:v>67150</c:v>
                </c:pt>
                <c:pt idx="708">
                  <c:v>43985</c:v>
                </c:pt>
                <c:pt idx="709">
                  <c:v>51354</c:v>
                </c:pt>
                <c:pt idx="710">
                  <c:v>61258</c:v>
                </c:pt>
                <c:pt idx="711">
                  <c:v>59252</c:v>
                </c:pt>
                <c:pt idx="712">
                  <c:v>50735</c:v>
                </c:pt>
                <c:pt idx="713">
                  <c:v>41814</c:v>
                </c:pt>
                <c:pt idx="714">
                  <c:v>30583</c:v>
                </c:pt>
                <c:pt idx="715">
                  <c:v>53288</c:v>
                </c:pt>
                <c:pt idx="716">
                  <c:v>34824</c:v>
                </c:pt>
                <c:pt idx="717">
                  <c:v>58994</c:v>
                </c:pt>
                <c:pt idx="718">
                  <c:v>36405</c:v>
                </c:pt>
                <c:pt idx="719">
                  <c:v>68039</c:v>
                </c:pt>
                <c:pt idx="720">
                  <c:v>39365</c:v>
                </c:pt>
                <c:pt idx="721">
                  <c:v>30545</c:v>
                </c:pt>
                <c:pt idx="722">
                  <c:v>57413</c:v>
                </c:pt>
                <c:pt idx="723">
                  <c:v>62318</c:v>
                </c:pt>
                <c:pt idx="724">
                  <c:v>39248</c:v>
                </c:pt>
                <c:pt idx="725">
                  <c:v>51210</c:v>
                </c:pt>
                <c:pt idx="726">
                  <c:v>57432</c:v>
                </c:pt>
                <c:pt idx="727">
                  <c:v>29158</c:v>
                </c:pt>
                <c:pt idx="728">
                  <c:v>46420</c:v>
                </c:pt>
                <c:pt idx="729">
                  <c:v>42580</c:v>
                </c:pt>
                <c:pt idx="730">
                  <c:v>41932</c:v>
                </c:pt>
                <c:pt idx="731">
                  <c:v>53917</c:v>
                </c:pt>
                <c:pt idx="732">
                  <c:v>57285</c:v>
                </c:pt>
                <c:pt idx="733">
                  <c:v>47188</c:v>
                </c:pt>
                <c:pt idx="734">
                  <c:v>41572</c:v>
                </c:pt>
                <c:pt idx="735">
                  <c:v>67101</c:v>
                </c:pt>
                <c:pt idx="736">
                  <c:v>48707</c:v>
                </c:pt>
                <c:pt idx="737">
                  <c:v>50908</c:v>
                </c:pt>
                <c:pt idx="738">
                  <c:v>57114</c:v>
                </c:pt>
                <c:pt idx="739">
                  <c:v>52070</c:v>
                </c:pt>
                <c:pt idx="740">
                  <c:v>32776</c:v>
                </c:pt>
                <c:pt idx="741">
                  <c:v>55568</c:v>
                </c:pt>
                <c:pt idx="742">
                  <c:v>40282</c:v>
                </c:pt>
                <c:pt idx="743">
                  <c:v>49629</c:v>
                </c:pt>
                <c:pt idx="744">
                  <c:v>49186</c:v>
                </c:pt>
                <c:pt idx="745">
                  <c:v>49199</c:v>
                </c:pt>
                <c:pt idx="746">
                  <c:v>48228</c:v>
                </c:pt>
                <c:pt idx="747">
                  <c:v>59116</c:v>
                </c:pt>
                <c:pt idx="748">
                  <c:v>32590</c:v>
                </c:pt>
                <c:pt idx="749">
                  <c:v>33635</c:v>
                </c:pt>
                <c:pt idx="750">
                  <c:v>51067</c:v>
                </c:pt>
                <c:pt idx="751">
                  <c:v>59262</c:v>
                </c:pt>
                <c:pt idx="752">
                  <c:v>52561</c:v>
                </c:pt>
                <c:pt idx="753">
                  <c:v>53692</c:v>
                </c:pt>
                <c:pt idx="754">
                  <c:v>27359</c:v>
                </c:pt>
                <c:pt idx="755">
                  <c:v>39838</c:v>
                </c:pt>
                <c:pt idx="756">
                  <c:v>54140</c:v>
                </c:pt>
                <c:pt idx="757">
                  <c:v>52995</c:v>
                </c:pt>
                <c:pt idx="758">
                  <c:v>56197</c:v>
                </c:pt>
                <c:pt idx="759">
                  <c:v>49580</c:v>
                </c:pt>
                <c:pt idx="760">
                  <c:v>49842</c:v>
                </c:pt>
                <c:pt idx="761">
                  <c:v>35294</c:v>
                </c:pt>
                <c:pt idx="762">
                  <c:v>54685</c:v>
                </c:pt>
                <c:pt idx="763">
                  <c:v>38306</c:v>
                </c:pt>
                <c:pt idx="764">
                  <c:v>45763</c:v>
                </c:pt>
                <c:pt idx="765">
                  <c:v>49712</c:v>
                </c:pt>
                <c:pt idx="766">
                  <c:v>49702</c:v>
                </c:pt>
                <c:pt idx="767">
                  <c:v>45657</c:v>
                </c:pt>
                <c:pt idx="768">
                  <c:v>48960</c:v>
                </c:pt>
                <c:pt idx="769">
                  <c:v>50706</c:v>
                </c:pt>
                <c:pt idx="770">
                  <c:v>70157</c:v>
                </c:pt>
                <c:pt idx="771">
                  <c:v>65190</c:v>
                </c:pt>
                <c:pt idx="772">
                  <c:v>62220</c:v>
                </c:pt>
                <c:pt idx="773">
                  <c:v>62807</c:v>
                </c:pt>
                <c:pt idx="774">
                  <c:v>40947</c:v>
                </c:pt>
                <c:pt idx="775">
                  <c:v>46323</c:v>
                </c:pt>
                <c:pt idx="776">
                  <c:v>60716</c:v>
                </c:pt>
                <c:pt idx="777">
                  <c:v>35146</c:v>
                </c:pt>
                <c:pt idx="778">
                  <c:v>38059</c:v>
                </c:pt>
                <c:pt idx="779">
                  <c:v>50792</c:v>
                </c:pt>
                <c:pt idx="780">
                  <c:v>59258</c:v>
                </c:pt>
                <c:pt idx="781">
                  <c:v>40654</c:v>
                </c:pt>
                <c:pt idx="782">
                  <c:v>45955</c:v>
                </c:pt>
                <c:pt idx="783">
                  <c:v>57342</c:v>
                </c:pt>
                <c:pt idx="784">
                  <c:v>58167</c:v>
                </c:pt>
                <c:pt idx="785">
                  <c:v>62086</c:v>
                </c:pt>
                <c:pt idx="786">
                  <c:v>51918</c:v>
                </c:pt>
                <c:pt idx="787">
                  <c:v>52734</c:v>
                </c:pt>
                <c:pt idx="788">
                  <c:v>47503</c:v>
                </c:pt>
                <c:pt idx="789">
                  <c:v>71002</c:v>
                </c:pt>
                <c:pt idx="790">
                  <c:v>52102</c:v>
                </c:pt>
                <c:pt idx="791">
                  <c:v>58327</c:v>
                </c:pt>
                <c:pt idx="792">
                  <c:v>54337</c:v>
                </c:pt>
                <c:pt idx="793">
                  <c:v>55255</c:v>
                </c:pt>
                <c:pt idx="794">
                  <c:v>55688</c:v>
                </c:pt>
                <c:pt idx="795">
                  <c:v>58402</c:v>
                </c:pt>
                <c:pt idx="796">
                  <c:v>76461</c:v>
                </c:pt>
                <c:pt idx="797">
                  <c:v>59004</c:v>
                </c:pt>
                <c:pt idx="798">
                  <c:v>47439</c:v>
                </c:pt>
                <c:pt idx="799">
                  <c:v>55343</c:v>
                </c:pt>
                <c:pt idx="800">
                  <c:v>47851</c:v>
                </c:pt>
                <c:pt idx="801">
                  <c:v>48138</c:v>
                </c:pt>
                <c:pt idx="802">
                  <c:v>51153</c:v>
                </c:pt>
                <c:pt idx="803">
                  <c:v>44262</c:v>
                </c:pt>
                <c:pt idx="804">
                  <c:v>59951</c:v>
                </c:pt>
                <c:pt idx="805">
                  <c:v>52904</c:v>
                </c:pt>
                <c:pt idx="806">
                  <c:v>50743</c:v>
                </c:pt>
                <c:pt idx="807">
                  <c:v>59831</c:v>
                </c:pt>
                <c:pt idx="808">
                  <c:v>30647</c:v>
                </c:pt>
                <c:pt idx="809">
                  <c:v>36678</c:v>
                </c:pt>
                <c:pt idx="810">
                  <c:v>48164</c:v>
                </c:pt>
                <c:pt idx="811">
                  <c:v>51385</c:v>
                </c:pt>
                <c:pt idx="812">
                  <c:v>49633</c:v>
                </c:pt>
                <c:pt idx="813">
                  <c:v>67297</c:v>
                </c:pt>
                <c:pt idx="814">
                  <c:v>52843</c:v>
                </c:pt>
                <c:pt idx="815">
                  <c:v>45363</c:v>
                </c:pt>
                <c:pt idx="816">
                  <c:v>57550</c:v>
                </c:pt>
                <c:pt idx="817">
                  <c:v>47718</c:v>
                </c:pt>
                <c:pt idx="818">
                  <c:v>61781</c:v>
                </c:pt>
                <c:pt idx="819">
                  <c:v>38543</c:v>
                </c:pt>
                <c:pt idx="820">
                  <c:v>32873</c:v>
                </c:pt>
                <c:pt idx="821">
                  <c:v>66187</c:v>
                </c:pt>
                <c:pt idx="822">
                  <c:v>65774</c:v>
                </c:pt>
                <c:pt idx="823">
                  <c:v>54776</c:v>
                </c:pt>
                <c:pt idx="824">
                  <c:v>64692</c:v>
                </c:pt>
                <c:pt idx="825">
                  <c:v>42142</c:v>
                </c:pt>
                <c:pt idx="826">
                  <c:v>28444</c:v>
                </c:pt>
                <c:pt idx="827">
                  <c:v>60273</c:v>
                </c:pt>
                <c:pt idx="828">
                  <c:v>46518</c:v>
                </c:pt>
                <c:pt idx="829">
                  <c:v>39122</c:v>
                </c:pt>
                <c:pt idx="830">
                  <c:v>47122</c:v>
                </c:pt>
                <c:pt idx="831">
                  <c:v>48357</c:v>
                </c:pt>
                <c:pt idx="832">
                  <c:v>51697</c:v>
                </c:pt>
                <c:pt idx="833">
                  <c:v>42104</c:v>
                </c:pt>
                <c:pt idx="834">
                  <c:v>56549</c:v>
                </c:pt>
                <c:pt idx="835">
                  <c:v>32695</c:v>
                </c:pt>
                <c:pt idx="836">
                  <c:v>61533</c:v>
                </c:pt>
                <c:pt idx="837">
                  <c:v>54693</c:v>
                </c:pt>
                <c:pt idx="838">
                  <c:v>50975</c:v>
                </c:pt>
                <c:pt idx="839">
                  <c:v>57707</c:v>
                </c:pt>
                <c:pt idx="840">
                  <c:v>33923</c:v>
                </c:pt>
                <c:pt idx="841">
                  <c:v>53736</c:v>
                </c:pt>
                <c:pt idx="842">
                  <c:v>46771</c:v>
                </c:pt>
                <c:pt idx="843">
                  <c:v>24053</c:v>
                </c:pt>
                <c:pt idx="844">
                  <c:v>49863</c:v>
                </c:pt>
                <c:pt idx="845">
                  <c:v>49213</c:v>
                </c:pt>
                <c:pt idx="846">
                  <c:v>57273</c:v>
                </c:pt>
                <c:pt idx="847">
                  <c:v>59758</c:v>
                </c:pt>
                <c:pt idx="848">
                  <c:v>46740</c:v>
                </c:pt>
                <c:pt idx="849">
                  <c:v>47063</c:v>
                </c:pt>
                <c:pt idx="850">
                  <c:v>45327</c:v>
                </c:pt>
                <c:pt idx="851">
                  <c:v>53747</c:v>
                </c:pt>
                <c:pt idx="852">
                  <c:v>55525</c:v>
                </c:pt>
                <c:pt idx="853">
                  <c:v>54791</c:v>
                </c:pt>
                <c:pt idx="854">
                  <c:v>65638</c:v>
                </c:pt>
                <c:pt idx="855">
                  <c:v>41285</c:v>
                </c:pt>
                <c:pt idx="856">
                  <c:v>60044</c:v>
                </c:pt>
                <c:pt idx="857">
                  <c:v>44328</c:v>
                </c:pt>
                <c:pt idx="858">
                  <c:v>53053</c:v>
                </c:pt>
                <c:pt idx="859">
                  <c:v>39964</c:v>
                </c:pt>
                <c:pt idx="860">
                  <c:v>41004</c:v>
                </c:pt>
                <c:pt idx="861">
                  <c:v>66491</c:v>
                </c:pt>
                <c:pt idx="862">
                  <c:v>38642</c:v>
                </c:pt>
                <c:pt idx="863">
                  <c:v>46977</c:v>
                </c:pt>
                <c:pt idx="864">
                  <c:v>27637</c:v>
                </c:pt>
                <c:pt idx="865">
                  <c:v>37866</c:v>
                </c:pt>
                <c:pt idx="866">
                  <c:v>29586</c:v>
                </c:pt>
                <c:pt idx="867">
                  <c:v>47058</c:v>
                </c:pt>
                <c:pt idx="868">
                  <c:v>39075</c:v>
                </c:pt>
                <c:pt idx="869">
                  <c:v>46377</c:v>
                </c:pt>
                <c:pt idx="870">
                  <c:v>56068</c:v>
                </c:pt>
                <c:pt idx="871">
                  <c:v>42820</c:v>
                </c:pt>
                <c:pt idx="872">
                  <c:v>49158</c:v>
                </c:pt>
                <c:pt idx="873">
                  <c:v>50346</c:v>
                </c:pt>
                <c:pt idx="874">
                  <c:v>31511</c:v>
                </c:pt>
                <c:pt idx="875">
                  <c:v>44316</c:v>
                </c:pt>
                <c:pt idx="876">
                  <c:v>47433</c:v>
                </c:pt>
                <c:pt idx="877">
                  <c:v>52760</c:v>
                </c:pt>
                <c:pt idx="878">
                  <c:v>64095</c:v>
                </c:pt>
                <c:pt idx="879">
                  <c:v>44976</c:v>
                </c:pt>
                <c:pt idx="880">
                  <c:v>54263</c:v>
                </c:pt>
                <c:pt idx="881">
                  <c:v>59027</c:v>
                </c:pt>
                <c:pt idx="882">
                  <c:v>54357</c:v>
                </c:pt>
                <c:pt idx="883">
                  <c:v>37218</c:v>
                </c:pt>
                <c:pt idx="884">
                  <c:v>46839</c:v>
                </c:pt>
                <c:pt idx="885">
                  <c:v>58263</c:v>
                </c:pt>
                <c:pt idx="886">
                  <c:v>38028</c:v>
                </c:pt>
                <c:pt idx="887">
                  <c:v>54916</c:v>
                </c:pt>
                <c:pt idx="888">
                  <c:v>39579</c:v>
                </c:pt>
                <c:pt idx="889">
                  <c:v>53332</c:v>
                </c:pt>
                <c:pt idx="890">
                  <c:v>49619</c:v>
                </c:pt>
                <c:pt idx="891">
                  <c:v>58806</c:v>
                </c:pt>
                <c:pt idx="892">
                  <c:v>44989</c:v>
                </c:pt>
                <c:pt idx="893">
                  <c:v>51111</c:v>
                </c:pt>
                <c:pt idx="894">
                  <c:v>20123</c:v>
                </c:pt>
                <c:pt idx="895">
                  <c:v>66934</c:v>
                </c:pt>
                <c:pt idx="896">
                  <c:v>50435</c:v>
                </c:pt>
                <c:pt idx="897">
                  <c:v>60581</c:v>
                </c:pt>
                <c:pt idx="898">
                  <c:v>29514</c:v>
                </c:pt>
                <c:pt idx="899">
                  <c:v>65068</c:v>
                </c:pt>
                <c:pt idx="900">
                  <c:v>57909</c:v>
                </c:pt>
                <c:pt idx="901">
                  <c:v>68852</c:v>
                </c:pt>
                <c:pt idx="902">
                  <c:v>46835</c:v>
                </c:pt>
                <c:pt idx="903">
                  <c:v>43589</c:v>
                </c:pt>
                <c:pt idx="904">
                  <c:v>63485</c:v>
                </c:pt>
                <c:pt idx="905">
                  <c:v>40753</c:v>
                </c:pt>
                <c:pt idx="906">
                  <c:v>47875</c:v>
                </c:pt>
                <c:pt idx="907">
                  <c:v>37008</c:v>
                </c:pt>
                <c:pt idx="908">
                  <c:v>34072</c:v>
                </c:pt>
                <c:pt idx="909">
                  <c:v>55975</c:v>
                </c:pt>
                <c:pt idx="910">
                  <c:v>55263</c:v>
                </c:pt>
                <c:pt idx="911">
                  <c:v>42926</c:v>
                </c:pt>
                <c:pt idx="912">
                  <c:v>54008</c:v>
                </c:pt>
                <c:pt idx="913">
                  <c:v>41369</c:v>
                </c:pt>
                <c:pt idx="914">
                  <c:v>43545</c:v>
                </c:pt>
                <c:pt idx="915">
                  <c:v>43293</c:v>
                </c:pt>
                <c:pt idx="916">
                  <c:v>40270</c:v>
                </c:pt>
                <c:pt idx="917">
                  <c:v>26442</c:v>
                </c:pt>
                <c:pt idx="918">
                  <c:v>40279</c:v>
                </c:pt>
                <c:pt idx="919">
                  <c:v>53846</c:v>
                </c:pt>
                <c:pt idx="920">
                  <c:v>51740</c:v>
                </c:pt>
                <c:pt idx="921">
                  <c:v>65062</c:v>
                </c:pt>
                <c:pt idx="922">
                  <c:v>34820</c:v>
                </c:pt>
                <c:pt idx="923">
                  <c:v>47354</c:v>
                </c:pt>
                <c:pt idx="924">
                  <c:v>58179</c:v>
                </c:pt>
                <c:pt idx="925">
                  <c:v>57087</c:v>
                </c:pt>
                <c:pt idx="926">
                  <c:v>48581</c:v>
                </c:pt>
                <c:pt idx="927">
                  <c:v>55443</c:v>
                </c:pt>
                <c:pt idx="928">
                  <c:v>32525</c:v>
                </c:pt>
                <c:pt idx="929">
                  <c:v>49525</c:v>
                </c:pt>
                <c:pt idx="930">
                  <c:v>42206</c:v>
                </c:pt>
                <c:pt idx="931">
                  <c:v>44226</c:v>
                </c:pt>
                <c:pt idx="932">
                  <c:v>55871</c:v>
                </c:pt>
                <c:pt idx="933">
                  <c:v>48789</c:v>
                </c:pt>
                <c:pt idx="934">
                  <c:v>63338</c:v>
                </c:pt>
                <c:pt idx="935">
                  <c:v>56462</c:v>
                </c:pt>
                <c:pt idx="936">
                  <c:v>50800</c:v>
                </c:pt>
                <c:pt idx="937">
                  <c:v>34326</c:v>
                </c:pt>
                <c:pt idx="938">
                  <c:v>47813</c:v>
                </c:pt>
                <c:pt idx="939">
                  <c:v>54406</c:v>
                </c:pt>
                <c:pt idx="940">
                  <c:v>60525</c:v>
                </c:pt>
                <c:pt idx="941">
                  <c:v>54700</c:v>
                </c:pt>
                <c:pt idx="942">
                  <c:v>44945</c:v>
                </c:pt>
                <c:pt idx="943">
                  <c:v>73450</c:v>
                </c:pt>
                <c:pt idx="944">
                  <c:v>49491</c:v>
                </c:pt>
                <c:pt idx="945">
                  <c:v>32755</c:v>
                </c:pt>
                <c:pt idx="946">
                  <c:v>57091</c:v>
                </c:pt>
                <c:pt idx="947">
                  <c:v>40938</c:v>
                </c:pt>
                <c:pt idx="948">
                  <c:v>33172</c:v>
                </c:pt>
                <c:pt idx="949">
                  <c:v>52856</c:v>
                </c:pt>
                <c:pt idx="950">
                  <c:v>68873</c:v>
                </c:pt>
                <c:pt idx="951">
                  <c:v>64195</c:v>
                </c:pt>
                <c:pt idx="952">
                  <c:v>67568</c:v>
                </c:pt>
                <c:pt idx="953">
                  <c:v>30560</c:v>
                </c:pt>
                <c:pt idx="954">
                  <c:v>46424</c:v>
                </c:pt>
                <c:pt idx="955">
                  <c:v>44321</c:v>
                </c:pt>
                <c:pt idx="956">
                  <c:v>46498</c:v>
                </c:pt>
                <c:pt idx="957">
                  <c:v>60210</c:v>
                </c:pt>
                <c:pt idx="958">
                  <c:v>56157</c:v>
                </c:pt>
                <c:pt idx="959">
                  <c:v>48521</c:v>
                </c:pt>
                <c:pt idx="960">
                  <c:v>67639</c:v>
                </c:pt>
                <c:pt idx="961">
                  <c:v>57887</c:v>
                </c:pt>
                <c:pt idx="962">
                  <c:v>38545</c:v>
                </c:pt>
                <c:pt idx="963">
                  <c:v>46497</c:v>
                </c:pt>
                <c:pt idx="964">
                  <c:v>49488</c:v>
                </c:pt>
                <c:pt idx="965">
                  <c:v>59365</c:v>
                </c:pt>
                <c:pt idx="966">
                  <c:v>49530</c:v>
                </c:pt>
                <c:pt idx="967">
                  <c:v>39049</c:v>
                </c:pt>
                <c:pt idx="968">
                  <c:v>44510</c:v>
                </c:pt>
                <c:pt idx="969">
                  <c:v>52942</c:v>
                </c:pt>
                <c:pt idx="970">
                  <c:v>54174</c:v>
                </c:pt>
                <c:pt idx="971">
                  <c:v>47884</c:v>
                </c:pt>
                <c:pt idx="972">
                  <c:v>63021</c:v>
                </c:pt>
                <c:pt idx="973">
                  <c:v>71853</c:v>
                </c:pt>
                <c:pt idx="974">
                  <c:v>46009</c:v>
                </c:pt>
                <c:pt idx="975">
                  <c:v>33362</c:v>
                </c:pt>
                <c:pt idx="976">
                  <c:v>59187</c:v>
                </c:pt>
                <c:pt idx="977">
                  <c:v>62244</c:v>
                </c:pt>
                <c:pt idx="978">
                  <c:v>52491</c:v>
                </c:pt>
                <c:pt idx="979">
                  <c:v>54358</c:v>
                </c:pt>
                <c:pt idx="980">
                  <c:v>43112</c:v>
                </c:pt>
                <c:pt idx="981">
                  <c:v>62403</c:v>
                </c:pt>
                <c:pt idx="982">
                  <c:v>35247</c:v>
                </c:pt>
                <c:pt idx="983">
                  <c:v>34820</c:v>
                </c:pt>
                <c:pt idx="984">
                  <c:v>24933</c:v>
                </c:pt>
                <c:pt idx="985">
                  <c:v>39755</c:v>
                </c:pt>
                <c:pt idx="986">
                  <c:v>48342</c:v>
                </c:pt>
                <c:pt idx="987">
                  <c:v>42356</c:v>
                </c:pt>
                <c:pt idx="988">
                  <c:v>56202</c:v>
                </c:pt>
                <c:pt idx="989">
                  <c:v>57255</c:v>
                </c:pt>
                <c:pt idx="990">
                  <c:v>30954</c:v>
                </c:pt>
                <c:pt idx="991">
                  <c:v>56383</c:v>
                </c:pt>
                <c:pt idx="992">
                  <c:v>34938</c:v>
                </c:pt>
                <c:pt idx="993">
                  <c:v>54713</c:v>
                </c:pt>
                <c:pt idx="994">
                  <c:v>61919</c:v>
                </c:pt>
                <c:pt idx="995">
                  <c:v>42844</c:v>
                </c:pt>
                <c:pt idx="996">
                  <c:v>39437</c:v>
                </c:pt>
                <c:pt idx="997">
                  <c:v>48049</c:v>
                </c:pt>
                <c:pt idx="998">
                  <c:v>46044</c:v>
                </c:pt>
                <c:pt idx="999">
                  <c:v>27195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D-4523-9E9D-CD14BAEB8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336816"/>
        <c:axId val="430173808"/>
      </c:scatterChart>
      <c:valAx>
        <c:axId val="117533681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173808"/>
        <c:crosses val="autoZero"/>
        <c:crossBetween val="midCat"/>
      </c:valAx>
      <c:valAx>
        <c:axId val="43017380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36816"/>
        <c:crosses val="autoZero"/>
        <c:crossBetween val="midCat"/>
      </c:valAx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K$31" lockText="1"/>
</file>

<file path=xl/ctrlProps/ctrlProp2.xml><?xml version="1.0" encoding="utf-8"?>
<formControlPr xmlns="http://schemas.microsoft.com/office/spreadsheetml/2009/9/main" objectType="CheckBox" fmlaLink="$L$33" lockText="1"/>
</file>

<file path=xl/ctrlProps/ctrlProp3.xml><?xml version="1.0" encoding="utf-8"?>
<formControlPr xmlns="http://schemas.microsoft.com/office/spreadsheetml/2009/9/main" objectType="CheckBox" fmlaLink="$L$34" lockText="1"/>
</file>

<file path=xl/ctrlProps/ctrlProp4.xml><?xml version="1.0" encoding="utf-8"?>
<formControlPr xmlns="http://schemas.microsoft.com/office/spreadsheetml/2009/9/main" objectType="CheckBox" fmlaLink="$L$35" lockText="1"/>
</file>

<file path=xl/ctrlProps/ctrlProp5.xml><?xml version="1.0" encoding="utf-8"?>
<formControlPr xmlns="http://schemas.microsoft.com/office/spreadsheetml/2009/9/main" objectType="CheckBox" fmlaLink="$L$36" lockText="1"/>
</file>

<file path=xl/ctrlProps/ctrlProp6.xml><?xml version="1.0" encoding="utf-8"?>
<formControlPr xmlns="http://schemas.microsoft.com/office/spreadsheetml/2009/9/main" objectType="CheckBox" fmlaLink="$L$37" lockText="1"/>
</file>

<file path=xl/ctrlProps/ctrlProp7.xml><?xml version="1.0" encoding="utf-8"?>
<formControlPr xmlns="http://schemas.microsoft.com/office/spreadsheetml/2009/9/main" objectType="CheckBox" fmlaLink="$AA$10" lockText="1" noThreeD="1"/>
</file>

<file path=xl/ctrlProps/ctrlProp8.xml><?xml version="1.0" encoding="utf-8"?>
<formControlPr xmlns="http://schemas.microsoft.com/office/spreadsheetml/2009/9/main" objectType="Scroll" dx="26" fmlaLink="$I$6" horiz="1" max="20" min="1" noThreeD="1" page="0"/>
</file>

<file path=xl/ctrlProps/ctrlProp9.xml><?xml version="1.0" encoding="utf-8"?>
<formControlPr xmlns="http://schemas.microsoft.com/office/spreadsheetml/2009/9/main" objectType="CheckBox" fmlaLink="$AA$4" lockText="1"/>
</file>

<file path=xl/ctrlProps/ctrlProp10.xml><?xml version="1.0" encoding="utf-8"?>
<formControlPr xmlns="http://schemas.microsoft.com/office/spreadsheetml/2009/9/main" objectType="CheckBox" fmlaLink="$M$2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403860</xdr:colOff>
          <xdr:row>29</xdr:row>
          <xdr:rowOff>144780</xdr:rowOff>
        </xdr:from>
        <xdr:to>
          <xdr:col>9</xdr:col>
          <xdr:colOff>982980</xdr:colOff>
          <xdr:row>31</xdr:row>
          <xdr:rowOff>68580</xdr:rowOff>
        </xdr:to>
        <xdr:sp macro="" textlink="">
          <xdr:nvSpPr>
            <xdr:cNvPr id="49153" name="Check Box 1" descr="Show Issues&#10;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01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QA Issues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31</xdr:row>
          <xdr:rowOff>144780</xdr:rowOff>
        </xdr:from>
        <xdr:to>
          <xdr:col>10</xdr:col>
          <xdr:colOff>906780</xdr:colOff>
          <xdr:row>33</xdr:row>
          <xdr:rowOff>30480</xdr:rowOff>
        </xdr:to>
        <xdr:sp macro="" textlink="">
          <xdr:nvSpPr>
            <xdr:cNvPr id="49157" name="Check Box 5" hidden="1">
              <a:extLst>
                <a:ext uri="{63B3BB69-23CF-44E3-9099-C40C66FF867C}">
                  <a14:compatExt spid="_x0000_s49157"/>
                </a:ext>
                <a:ext uri="{FF2B5EF4-FFF2-40B4-BE49-F238E27FC236}">
                  <a16:creationId xmlns:a16="http://schemas.microsoft.com/office/drawing/2014/main" id="{00000000-0008-0000-0100-00000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Resolve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32</xdr:row>
          <xdr:rowOff>167640</xdr:rowOff>
        </xdr:from>
        <xdr:to>
          <xdr:col>10</xdr:col>
          <xdr:colOff>868680</xdr:colOff>
          <xdr:row>34</xdr:row>
          <xdr:rowOff>30480</xdr:rowOff>
        </xdr:to>
        <xdr:sp macro="" textlink="">
          <xdr:nvSpPr>
            <xdr:cNvPr id="49158" name="Check Box 6" hidden="1">
              <a:extLst>
                <a:ext uri="{63B3BB69-23CF-44E3-9099-C40C66FF867C}">
                  <a14:compatExt spid="_x0000_s49158"/>
                </a:ext>
                <a:ext uri="{FF2B5EF4-FFF2-40B4-BE49-F238E27FC236}">
                  <a16:creationId xmlns:a16="http://schemas.microsoft.com/office/drawing/2014/main" id="{00000000-0008-0000-0100-00000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Resolve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33</xdr:row>
          <xdr:rowOff>182880</xdr:rowOff>
        </xdr:from>
        <xdr:to>
          <xdr:col>10</xdr:col>
          <xdr:colOff>868680</xdr:colOff>
          <xdr:row>35</xdr:row>
          <xdr:rowOff>30480</xdr:rowOff>
        </xdr:to>
        <xdr:sp macro="" textlink="">
          <xdr:nvSpPr>
            <xdr:cNvPr id="49159" name="Check Box 7" hidden="1">
              <a:extLst>
                <a:ext uri="{63B3BB69-23CF-44E3-9099-C40C66FF867C}">
                  <a14:compatExt spid="_x0000_s49159"/>
                </a:ext>
                <a:ext uri="{FF2B5EF4-FFF2-40B4-BE49-F238E27FC236}">
                  <a16:creationId xmlns:a16="http://schemas.microsoft.com/office/drawing/2014/main" id="{00000000-0008-0000-0100-000007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Resolve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34</xdr:row>
          <xdr:rowOff>167640</xdr:rowOff>
        </xdr:from>
        <xdr:to>
          <xdr:col>10</xdr:col>
          <xdr:colOff>868680</xdr:colOff>
          <xdr:row>36</xdr:row>
          <xdr:rowOff>30480</xdr:rowOff>
        </xdr:to>
        <xdr:sp macro="" textlink="">
          <xdr:nvSpPr>
            <xdr:cNvPr id="49160" name="Check Box 8" hidden="1">
              <a:extLst>
                <a:ext uri="{63B3BB69-23CF-44E3-9099-C40C66FF867C}">
                  <a14:compatExt spid="_x0000_s49160"/>
                </a:ext>
                <a:ext uri="{FF2B5EF4-FFF2-40B4-BE49-F238E27FC236}">
                  <a16:creationId xmlns:a16="http://schemas.microsoft.com/office/drawing/2014/main" id="{00000000-0008-0000-0100-000008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Resolve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35</xdr:row>
          <xdr:rowOff>152400</xdr:rowOff>
        </xdr:from>
        <xdr:to>
          <xdr:col>10</xdr:col>
          <xdr:colOff>868680</xdr:colOff>
          <xdr:row>37</xdr:row>
          <xdr:rowOff>30480</xdr:rowOff>
        </xdr:to>
        <xdr:sp macro="" textlink="">
          <xdr:nvSpPr>
            <xdr:cNvPr id="49161" name="Check Box 9" hidden="1">
              <a:extLst>
                <a:ext uri="{63B3BB69-23CF-44E3-9099-C40C66FF867C}">
                  <a14:compatExt spid="_x0000_s49161"/>
                </a:ext>
                <a:ext uri="{FF2B5EF4-FFF2-40B4-BE49-F238E27FC236}">
                  <a16:creationId xmlns:a16="http://schemas.microsoft.com/office/drawing/2014/main" id="{00000000-0008-0000-0100-000009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Resolve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270510</xdr:colOff>
      <xdr:row>1</xdr:row>
      <xdr:rowOff>118110</xdr:rowOff>
    </xdr:from>
    <xdr:to>
      <xdr:col>14</xdr:col>
      <xdr:colOff>226695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152400</xdr:colOff>
          <xdr:row>23</xdr:row>
          <xdr:rowOff>68580</xdr:rowOff>
        </xdr:from>
        <xdr:to>
          <xdr:col>14</xdr:col>
          <xdr:colOff>182880</xdr:colOff>
          <xdr:row>25</xdr:row>
          <xdr:rowOff>30480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Kernel Density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8</xdr:row>
      <xdr:rowOff>19050</xdr:rowOff>
    </xdr:from>
    <xdr:to>
      <xdr:col>19</xdr:col>
      <xdr:colOff>144780</xdr:colOff>
      <xdr:row>29</xdr:row>
      <xdr:rowOff>49530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5</xdr:row>
          <xdr:rowOff>53340</xdr:rowOff>
        </xdr:from>
        <xdr:to>
          <xdr:col>16</xdr:col>
          <xdr:colOff>525780</xdr:colOff>
          <xdr:row>6</xdr:row>
          <xdr:rowOff>106680</xdr:rowOff>
        </xdr:to>
        <xdr:sp macro="" textlink="">
          <xdr:nvSpPr>
            <xdr:cNvPr id="4099" name="Scroll Ba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106680</xdr:colOff>
          <xdr:row>5</xdr:row>
          <xdr:rowOff>7620</xdr:rowOff>
        </xdr:from>
        <xdr:to>
          <xdr:col>19</xdr:col>
          <xdr:colOff>213360</xdr:colOff>
          <xdr:row>6</xdr:row>
          <xdr:rowOff>160020</xdr:rowOff>
        </xdr:to>
        <xdr:sp macro="" textlink="">
          <xdr:nvSpPr>
            <xdr:cNvPr id="4101" name="CheckBox" descr="Show Line?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Kernel Density</a:t>
              </a:r>
            </a:p>
          </xdr:txBody>
        </xdr:sp>
        <xdr:clientData/>
      </xdr:twoCellAnchor>
    </mc:Choice>
    <mc:Fallback/>
  </mc:AlternateContent>
  <xdr:twoCellAnchor>
    <xdr:from>
      <xdr:col>6</xdr:col>
      <xdr:colOff>548640</xdr:colOff>
      <xdr:row>30</xdr:row>
      <xdr:rowOff>60960</xdr:rowOff>
    </xdr:from>
    <xdr:to>
      <xdr:col>19</xdr:col>
      <xdr:colOff>194199</xdr:colOff>
      <xdr:row>51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160020</xdr:colOff>
          <xdr:row>1</xdr:row>
          <xdr:rowOff>22860</xdr:rowOff>
        </xdr:from>
        <xdr:to>
          <xdr:col>12</xdr:col>
          <xdr:colOff>381000</xdr:colOff>
          <xdr:row>1</xdr:row>
          <xdr:rowOff>289560</xdr:rowOff>
        </xdr:to>
        <xdr:sp macro="" textlink="">
          <xdr:nvSpPr>
            <xdr:cNvPr id="72705" name="Check Box 1" hidden="1">
              <a:extLst>
                <a:ext uri="{63B3BB69-23CF-44E3-9099-C40C66FF867C}">
                  <a14:compatExt spid="_x0000_s72705"/>
                </a:ext>
                <a:ext uri="{FF2B5EF4-FFF2-40B4-BE49-F238E27FC236}">
                  <a16:creationId xmlns:a16="http://schemas.microsoft.com/office/drawing/2014/main" id="{00000000-0008-0000-0500-000001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as Proportions Table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120650</xdr:colOff>
      <xdr:row>5</xdr:row>
      <xdr:rowOff>153670</xdr:rowOff>
    </xdr:from>
    <xdr:to>
      <xdr:col>19</xdr:col>
      <xdr:colOff>336550</xdr:colOff>
      <xdr:row>25</xdr:row>
      <xdr:rowOff>29210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0EBD-1567-452A-B6CC-E342576B2C78}">
  <sheetPr>
    <tabColor theme="3" tint="0.59999389629810485"/>
  </sheetPr>
  <dimension ref="B1:L1012"/>
  <sheetViews>
    <sheetView showGridLines="0" tabSelected="1" workbookViewId="0">
      <selection activeCell="F26" sqref="F26"/>
    </sheetView>
  </sheetViews>
  <sheetFormatPr defaultColWidth="8.5546875" defaultRowHeight="14.4" x14ac:dyDescent="0.3"/>
  <cols>
    <col min="1" max="1" width="5.21875" customWidth="1"/>
    <col min="2" max="2" width="14" customWidth="1"/>
    <col min="3" max="3" width="31.77734375" bestFit="1" customWidth="1"/>
    <col min="4" max="4" width="23.77734375" customWidth="1"/>
    <col min="5" max="5" width="16.44140625" customWidth="1"/>
    <col min="6" max="6" width="14.5546875" customWidth="1"/>
    <col min="7" max="7" width="12" customWidth="1"/>
    <col min="8" max="8" width="12.5546875" customWidth="1"/>
    <col min="9" max="9" width="4.77734375" customWidth="1"/>
    <col min="10" max="10" width="22.77734375" customWidth="1"/>
    <col min="11" max="11" width="14.77734375" customWidth="1"/>
    <col min="12" max="12" width="7" customWidth="1"/>
  </cols>
  <sheetData>
    <row r="1" spans="2:11" ht="17.55" customHeight="1" x14ac:dyDescent="0.3"/>
    <row r="2" spans="2:11" ht="22.8" customHeight="1" x14ac:dyDescent="0.3">
      <c r="B2" s="63" t="s">
        <v>5160</v>
      </c>
      <c r="C2" s="63"/>
      <c r="D2" s="63"/>
    </row>
    <row r="3" spans="2:11" ht="14.85" customHeight="1" x14ac:dyDescent="0.3">
      <c r="B3" s="19" t="s">
        <v>5077</v>
      </c>
      <c r="C3" s="19" t="s">
        <v>5054</v>
      </c>
      <c r="D3" s="19" t="s">
        <v>5076</v>
      </c>
      <c r="E3" s="19" t="s">
        <v>5104</v>
      </c>
      <c r="F3" s="19" t="s">
        <v>5060</v>
      </c>
      <c r="G3" s="19" t="s">
        <v>5057</v>
      </c>
      <c r="H3" s="19" t="s">
        <v>5108</v>
      </c>
      <c r="J3" s="66" t="s">
        <v>5158</v>
      </c>
      <c r="K3" s="66"/>
    </row>
    <row r="4" spans="2:11" ht="14.85" customHeight="1" x14ac:dyDescent="0.3">
      <c r="B4" s="26">
        <v>43831</v>
      </c>
      <c r="C4" s="14" t="s">
        <v>5096</v>
      </c>
      <c r="D4" s="34" t="s">
        <v>5089</v>
      </c>
      <c r="E4" s="35">
        <v>10660</v>
      </c>
      <c r="F4" s="10">
        <v>1.35</v>
      </c>
      <c r="G4" s="12">
        <v>297</v>
      </c>
      <c r="H4" s="12">
        <v>0</v>
      </c>
      <c r="J4" s="66"/>
      <c r="K4" s="66"/>
    </row>
    <row r="5" spans="2:11" ht="14.85" customHeight="1" x14ac:dyDescent="0.3">
      <c r="B5" s="26">
        <v>43831</v>
      </c>
      <c r="C5" s="14" t="s">
        <v>4977</v>
      </c>
      <c r="D5" s="34" t="s">
        <v>5087</v>
      </c>
      <c r="E5" s="35">
        <v>62736</v>
      </c>
      <c r="F5" s="10">
        <v>3.69</v>
      </c>
      <c r="G5" s="12">
        <v>143</v>
      </c>
      <c r="H5" s="12">
        <v>0</v>
      </c>
    </row>
    <row r="6" spans="2:11" ht="14.85" customHeight="1" x14ac:dyDescent="0.3">
      <c r="B6" s="26">
        <v>43835</v>
      </c>
      <c r="C6" s="14" t="s">
        <v>4978</v>
      </c>
      <c r="D6" s="34" t="s">
        <v>5085</v>
      </c>
      <c r="E6" s="35">
        <v>30389</v>
      </c>
      <c r="F6" s="10">
        <v>2.98</v>
      </c>
      <c r="G6" s="12">
        <v>272</v>
      </c>
      <c r="H6" s="12">
        <v>0</v>
      </c>
      <c r="J6" s="43" t="s">
        <v>5109</v>
      </c>
      <c r="K6" s="44">
        <f>COUNTA($C$4:$C$103)</f>
        <v>100</v>
      </c>
    </row>
    <row r="7" spans="2:11" ht="14.85" customHeight="1" x14ac:dyDescent="0.3">
      <c r="B7" s="26">
        <v>43835</v>
      </c>
      <c r="C7" s="14" t="s">
        <v>4979</v>
      </c>
      <c r="D7" s="34" t="s">
        <v>5082</v>
      </c>
      <c r="E7" s="35">
        <v>98772</v>
      </c>
      <c r="F7" s="10">
        <v>1.66</v>
      </c>
      <c r="G7" s="12">
        <v>183</v>
      </c>
      <c r="H7" s="12">
        <v>0</v>
      </c>
      <c r="J7" s="42"/>
    </row>
    <row r="8" spans="2:11" ht="14.85" customHeight="1" x14ac:dyDescent="0.3">
      <c r="B8" s="26">
        <v>43835</v>
      </c>
      <c r="C8" s="14" t="s">
        <v>4980</v>
      </c>
      <c r="D8" s="34" t="s">
        <v>5086</v>
      </c>
      <c r="E8" s="35">
        <v>60396</v>
      </c>
      <c r="F8" s="10">
        <v>1.54</v>
      </c>
      <c r="G8" s="12">
        <v>220</v>
      </c>
      <c r="H8" s="12">
        <v>0</v>
      </c>
      <c r="J8" s="43" t="s">
        <v>5110</v>
      </c>
      <c r="K8" s="45">
        <f>MIN($F$4:$F$103)</f>
        <v>0</v>
      </c>
    </row>
    <row r="9" spans="2:11" ht="14.85" customHeight="1" x14ac:dyDescent="0.3">
      <c r="B9" s="26">
        <v>43847</v>
      </c>
      <c r="C9" s="14" t="s">
        <v>4981</v>
      </c>
      <c r="D9" s="34" t="s">
        <v>5083</v>
      </c>
      <c r="E9" s="35">
        <v>47842</v>
      </c>
      <c r="F9" s="10">
        <v>2.4700000000000002</v>
      </c>
      <c r="G9" s="12">
        <v>251</v>
      </c>
      <c r="H9" s="12">
        <v>0</v>
      </c>
      <c r="J9" s="43" t="s">
        <v>5112</v>
      </c>
      <c r="K9" s="45">
        <f>AVERAGE($F$4:$F$103)</f>
        <v>5.9143999999999997</v>
      </c>
    </row>
    <row r="10" spans="2:11" ht="14.85" customHeight="1" x14ac:dyDescent="0.3">
      <c r="B10" s="26">
        <v>43847</v>
      </c>
      <c r="C10" s="14" t="s">
        <v>4982</v>
      </c>
      <c r="D10" s="34" t="s">
        <v>5088</v>
      </c>
      <c r="E10" s="35">
        <v>82439</v>
      </c>
      <c r="F10" s="10">
        <v>1.4</v>
      </c>
      <c r="G10" s="12">
        <v>297</v>
      </c>
      <c r="H10" s="12">
        <v>0</v>
      </c>
      <c r="J10" s="43" t="s">
        <v>5111</v>
      </c>
      <c r="K10" s="45">
        <f>MAX($F$4:$F$103)</f>
        <v>375</v>
      </c>
    </row>
    <row r="11" spans="2:11" ht="14.85" customHeight="1" x14ac:dyDescent="0.3">
      <c r="B11" s="26">
        <v>43853</v>
      </c>
      <c r="C11" s="14" t="s">
        <v>4983</v>
      </c>
      <c r="D11" s="34" t="s">
        <v>5089</v>
      </c>
      <c r="E11" s="35">
        <v>75836</v>
      </c>
      <c r="F11" s="10">
        <f>IF($L$33=TRUE,"",0)</f>
        <v>0</v>
      </c>
      <c r="G11" s="12">
        <v>161</v>
      </c>
      <c r="H11" s="12">
        <v>0</v>
      </c>
      <c r="J11" s="42"/>
    </row>
    <row r="12" spans="2:11" ht="14.85" customHeight="1" x14ac:dyDescent="0.3">
      <c r="B12" s="26">
        <v>43853</v>
      </c>
      <c r="C12" s="14" t="s">
        <v>4984</v>
      </c>
      <c r="D12" s="34" t="s">
        <v>5085</v>
      </c>
      <c r="E12" s="35">
        <v>32973</v>
      </c>
      <c r="F12" s="10">
        <v>1.3999999999999997</v>
      </c>
      <c r="G12" s="12">
        <v>279</v>
      </c>
      <c r="H12" s="12">
        <v>0</v>
      </c>
      <c r="J12" s="43" t="s">
        <v>5113</v>
      </c>
      <c r="K12" s="46">
        <f>MIN($B$4:$B$103)</f>
        <v>43831</v>
      </c>
    </row>
    <row r="13" spans="2:11" ht="14.85" customHeight="1" x14ac:dyDescent="0.3">
      <c r="B13" s="26">
        <v>43853</v>
      </c>
      <c r="C13" s="14" t="s">
        <v>5055</v>
      </c>
      <c r="D13" s="34" t="s">
        <v>5082</v>
      </c>
      <c r="E13" s="35">
        <v>53852</v>
      </c>
      <c r="F13" s="10">
        <v>1.41</v>
      </c>
      <c r="G13" s="12">
        <v>164</v>
      </c>
      <c r="H13" s="12">
        <v>0</v>
      </c>
      <c r="J13" s="43" t="s">
        <v>5114</v>
      </c>
      <c r="K13" s="46">
        <f>MAX($B$4:$B$103)</f>
        <v>43949</v>
      </c>
    </row>
    <row r="14" spans="2:11" ht="14.85" customHeight="1" x14ac:dyDescent="0.3">
      <c r="B14" s="26">
        <v>43863</v>
      </c>
      <c r="C14" s="14" t="s">
        <v>5101</v>
      </c>
      <c r="D14" s="34" t="s">
        <v>5083</v>
      </c>
      <c r="E14" s="35">
        <v>20573</v>
      </c>
      <c r="F14" s="10">
        <v>2.2799999999999998</v>
      </c>
      <c r="G14" s="12">
        <v>175</v>
      </c>
      <c r="H14" s="12">
        <v>0</v>
      </c>
      <c r="J14" s="42"/>
      <c r="K14" s="41"/>
    </row>
    <row r="15" spans="2:11" ht="14.85" customHeight="1" x14ac:dyDescent="0.3">
      <c r="B15" s="26">
        <v>43863</v>
      </c>
      <c r="C15" s="14" t="s">
        <v>5065</v>
      </c>
      <c r="D15" s="34" t="s">
        <v>5083</v>
      </c>
      <c r="E15" s="35">
        <v>50789</v>
      </c>
      <c r="F15" s="10">
        <v>2.17</v>
      </c>
      <c r="G15" s="12">
        <v>293</v>
      </c>
      <c r="H15" s="12">
        <v>0</v>
      </c>
      <c r="J15" s="43" t="s">
        <v>5115</v>
      </c>
      <c r="K15" s="44">
        <f>MIN($H$4:$H$103)</f>
        <v>0</v>
      </c>
    </row>
    <row r="16" spans="2:11" ht="14.85" customHeight="1" x14ac:dyDescent="0.3">
      <c r="B16" s="26">
        <v>43867</v>
      </c>
      <c r="C16" s="14" t="s">
        <v>4985</v>
      </c>
      <c r="D16" s="34" t="s">
        <v>5088</v>
      </c>
      <c r="E16" s="35">
        <v>23866</v>
      </c>
      <c r="F16" s="10">
        <v>2.1800000000000002</v>
      </c>
      <c r="G16" s="12">
        <v>114</v>
      </c>
      <c r="H16" s="12">
        <v>0</v>
      </c>
      <c r="J16" s="43" t="s">
        <v>5116</v>
      </c>
      <c r="K16" s="44">
        <f>MAX($H$4:$H$103)</f>
        <v>1</v>
      </c>
    </row>
    <row r="17" spans="2:11" ht="14.85" customHeight="1" x14ac:dyDescent="0.3">
      <c r="B17" s="26">
        <v>43867</v>
      </c>
      <c r="C17" s="14" t="s">
        <v>4986</v>
      </c>
      <c r="D17" s="34" t="s">
        <v>5087</v>
      </c>
      <c r="E17" s="35">
        <v>91693</v>
      </c>
      <c r="F17" s="10">
        <v>3.32</v>
      </c>
      <c r="G17" s="12">
        <v>136</v>
      </c>
      <c r="H17" s="12">
        <v>0</v>
      </c>
      <c r="K17" s="31"/>
    </row>
    <row r="18" spans="2:11" ht="14.85" customHeight="1" x14ac:dyDescent="0.3">
      <c r="B18" s="26">
        <v>43867</v>
      </c>
      <c r="C18" s="14" t="s">
        <v>4987</v>
      </c>
      <c r="D18" s="34" t="s">
        <v>5090</v>
      </c>
      <c r="E18" s="35">
        <v>98811</v>
      </c>
      <c r="F18" s="10">
        <v>3.95</v>
      </c>
      <c r="G18" s="12">
        <v>244</v>
      </c>
      <c r="H18" s="12">
        <v>0</v>
      </c>
      <c r="J18" s="64" t="s">
        <v>5118</v>
      </c>
      <c r="K18" s="65"/>
    </row>
    <row r="19" spans="2:11" ht="14.85" customHeight="1" x14ac:dyDescent="0.3">
      <c r="B19" s="26">
        <v>43867</v>
      </c>
      <c r="C19" s="33" t="s">
        <v>5099</v>
      </c>
      <c r="D19" s="34" t="s">
        <v>5090</v>
      </c>
      <c r="E19" s="35">
        <v>70485</v>
      </c>
      <c r="F19" s="10">
        <f>IF($L$33=TRUE,"",0)</f>
        <v>0</v>
      </c>
      <c r="G19" s="12">
        <v>238</v>
      </c>
      <c r="H19" s="12">
        <v>0</v>
      </c>
      <c r="J19" s="43" t="s">
        <v>5084</v>
      </c>
      <c r="K19" s="47">
        <f>COUNTIF($D$4:$D$103,J19)</f>
        <v>3</v>
      </c>
    </row>
    <row r="20" spans="2:11" ht="14.85" customHeight="1" x14ac:dyDescent="0.3">
      <c r="B20" s="26">
        <v>43871</v>
      </c>
      <c r="C20" s="14" t="s">
        <v>4988</v>
      </c>
      <c r="D20" s="34" t="s">
        <v>5083</v>
      </c>
      <c r="E20" s="35">
        <v>52963</v>
      </c>
      <c r="F20" s="10">
        <v>1.7399999999999998</v>
      </c>
      <c r="G20" s="12">
        <v>210</v>
      </c>
      <c r="H20" s="12">
        <v>0</v>
      </c>
      <c r="J20" s="43" t="s">
        <v>5085</v>
      </c>
      <c r="K20" s="47">
        <f t="shared" ref="K20:K28" si="0">COUNTIF($D$4:$D$103,J20)</f>
        <v>10</v>
      </c>
    </row>
    <row r="21" spans="2:11" ht="14.85" customHeight="1" x14ac:dyDescent="0.3">
      <c r="B21" s="26">
        <v>43875</v>
      </c>
      <c r="C21" s="14" t="s">
        <v>5064</v>
      </c>
      <c r="D21" s="34" t="s">
        <v>5084</v>
      </c>
      <c r="E21" s="35">
        <v>45376</v>
      </c>
      <c r="F21" s="10">
        <v>8.99</v>
      </c>
      <c r="G21" s="12">
        <v>227</v>
      </c>
      <c r="H21" s="12">
        <v>1</v>
      </c>
      <c r="J21" s="43" t="s">
        <v>5086</v>
      </c>
      <c r="K21" s="47">
        <f t="shared" si="0"/>
        <v>7</v>
      </c>
    </row>
    <row r="22" spans="2:11" ht="14.85" customHeight="1" x14ac:dyDescent="0.3">
      <c r="B22" s="26">
        <v>43875</v>
      </c>
      <c r="C22" s="14" t="s">
        <v>5063</v>
      </c>
      <c r="D22" s="34" t="s">
        <v>5090</v>
      </c>
      <c r="E22" s="35">
        <v>88471</v>
      </c>
      <c r="F22" s="10">
        <v>1.1499999999999999</v>
      </c>
      <c r="G22" s="12">
        <v>130</v>
      </c>
      <c r="H22" s="12">
        <v>0</v>
      </c>
      <c r="J22" s="43" t="s">
        <v>5088</v>
      </c>
      <c r="K22" s="47">
        <f t="shared" si="0"/>
        <v>9</v>
      </c>
    </row>
    <row r="23" spans="2:11" ht="14.85" customHeight="1" x14ac:dyDescent="0.3">
      <c r="B23" s="26">
        <v>43875</v>
      </c>
      <c r="C23" s="14" t="s">
        <v>4989</v>
      </c>
      <c r="D23" s="34" t="s">
        <v>5083</v>
      </c>
      <c r="E23" s="35">
        <v>18364</v>
      </c>
      <c r="F23" s="10">
        <v>1.79</v>
      </c>
      <c r="G23" s="12">
        <v>139</v>
      </c>
      <c r="H23" s="12">
        <v>0</v>
      </c>
      <c r="J23" s="43" t="s">
        <v>5089</v>
      </c>
      <c r="K23" s="47">
        <f t="shared" si="0"/>
        <v>16</v>
      </c>
    </row>
    <row r="24" spans="2:11" ht="14.85" customHeight="1" x14ac:dyDescent="0.3">
      <c r="B24" s="26">
        <v>43879</v>
      </c>
      <c r="C24" s="14" t="s">
        <v>4990</v>
      </c>
      <c r="D24" s="34" t="str">
        <f>IF($L$37=TRUE,"Cookies, Snacks &amp; Candy","Cookies Snacks &amp; Candy")</f>
        <v>Cookies Snacks &amp; Candy</v>
      </c>
      <c r="E24" s="35">
        <v>98770</v>
      </c>
      <c r="F24" s="10">
        <f>IF($L$33=TRUE,"",0)</f>
        <v>0</v>
      </c>
      <c r="G24" s="12">
        <v>101</v>
      </c>
      <c r="H24" s="12">
        <v>0</v>
      </c>
      <c r="J24" s="43" t="s">
        <v>5090</v>
      </c>
      <c r="K24" s="47">
        <f t="shared" si="0"/>
        <v>10</v>
      </c>
    </row>
    <row r="25" spans="2:11" ht="14.85" customHeight="1" x14ac:dyDescent="0.3">
      <c r="B25" s="26">
        <v>43879</v>
      </c>
      <c r="C25" s="33" t="s">
        <v>5079</v>
      </c>
      <c r="D25" s="34" t="s">
        <v>5089</v>
      </c>
      <c r="E25" s="35">
        <v>73374</v>
      </c>
      <c r="F25" s="10">
        <f>IF($L$33=TRUE,"",0)</f>
        <v>0</v>
      </c>
      <c r="G25" s="12">
        <v>194</v>
      </c>
      <c r="H25" s="12">
        <v>0</v>
      </c>
      <c r="J25" s="43" t="s">
        <v>5087</v>
      </c>
      <c r="K25" s="47">
        <f t="shared" si="0"/>
        <v>11</v>
      </c>
    </row>
    <row r="26" spans="2:11" ht="14.85" customHeight="1" x14ac:dyDescent="0.3">
      <c r="B26" s="26">
        <v>43879</v>
      </c>
      <c r="C26" s="14" t="s">
        <v>4992</v>
      </c>
      <c r="D26" s="34" t="s">
        <v>5090</v>
      </c>
      <c r="E26" s="35">
        <v>32945</v>
      </c>
      <c r="F26" s="10">
        <v>3.44</v>
      </c>
      <c r="G26" s="12">
        <v>59</v>
      </c>
      <c r="H26" s="12">
        <v>0</v>
      </c>
      <c r="J26" s="43" t="s">
        <v>5082</v>
      </c>
      <c r="K26" s="47">
        <f t="shared" si="0"/>
        <v>8</v>
      </c>
    </row>
    <row r="27" spans="2:11" ht="14.85" customHeight="1" x14ac:dyDescent="0.3">
      <c r="B27" s="26">
        <v>43879</v>
      </c>
      <c r="C27" s="14" t="s">
        <v>4993</v>
      </c>
      <c r="D27" s="34" t="s">
        <v>5083</v>
      </c>
      <c r="E27" s="35">
        <v>91988</v>
      </c>
      <c r="F27" s="10">
        <v>1.71</v>
      </c>
      <c r="G27" s="12">
        <v>150</v>
      </c>
      <c r="H27" s="12">
        <v>0</v>
      </c>
      <c r="J27" s="43" t="s">
        <v>5091</v>
      </c>
      <c r="K27" s="47">
        <f t="shared" si="0"/>
        <v>6</v>
      </c>
    </row>
    <row r="28" spans="2:11" ht="14.85" customHeight="1" x14ac:dyDescent="0.3">
      <c r="B28" s="26">
        <v>43879</v>
      </c>
      <c r="C28" s="14" t="s">
        <v>4994</v>
      </c>
      <c r="D28" s="34" t="s">
        <v>5089</v>
      </c>
      <c r="E28" s="35">
        <v>89704</v>
      </c>
      <c r="F28" s="10">
        <v>1.1399999999999999</v>
      </c>
      <c r="G28" s="12">
        <v>141</v>
      </c>
      <c r="H28" s="12">
        <v>0</v>
      </c>
      <c r="J28" s="43" t="s">
        <v>5083</v>
      </c>
      <c r="K28" s="47">
        <f t="shared" si="0"/>
        <v>16</v>
      </c>
    </row>
    <row r="29" spans="2:11" ht="14.85" customHeight="1" x14ac:dyDescent="0.3">
      <c r="B29" s="26">
        <v>43879</v>
      </c>
      <c r="C29" s="14" t="s">
        <v>4995</v>
      </c>
      <c r="D29" s="34" t="str">
        <f>IF($L$37=TRUE,"Frozen Foods","Frozen Food")</f>
        <v>Frozen Food</v>
      </c>
      <c r="E29" s="35">
        <v>70589</v>
      </c>
      <c r="F29" s="10">
        <v>1.1299999999999999</v>
      </c>
      <c r="G29" s="12">
        <v>161</v>
      </c>
      <c r="H29" s="12">
        <v>0</v>
      </c>
      <c r="J29" s="48" t="s">
        <v>5117</v>
      </c>
      <c r="K29" s="49">
        <f>SUM(K19:K28)</f>
        <v>96</v>
      </c>
    </row>
    <row r="30" spans="2:11" ht="14.85" customHeight="1" x14ac:dyDescent="0.3">
      <c r="B30" s="26">
        <v>43879</v>
      </c>
      <c r="C30" s="14" t="s">
        <v>4996</v>
      </c>
      <c r="D30" s="34" t="s">
        <v>5090</v>
      </c>
      <c r="E30" s="35">
        <v>19576</v>
      </c>
      <c r="F30" s="10">
        <v>1.57</v>
      </c>
      <c r="G30" s="12">
        <v>61</v>
      </c>
      <c r="H30" s="12">
        <v>0</v>
      </c>
    </row>
    <row r="31" spans="2:11" ht="14.85" customHeight="1" x14ac:dyDescent="0.3">
      <c r="B31" s="26">
        <v>43882</v>
      </c>
      <c r="C31" s="14" t="s">
        <v>5056</v>
      </c>
      <c r="D31" s="34" t="s">
        <v>5082</v>
      </c>
      <c r="E31" s="35">
        <v>18822</v>
      </c>
      <c r="F31" s="10">
        <v>2.08</v>
      </c>
      <c r="G31" s="12">
        <v>122</v>
      </c>
      <c r="H31" s="12">
        <v>0</v>
      </c>
      <c r="K31" s="8" t="b">
        <v>0</v>
      </c>
    </row>
    <row r="32" spans="2:11" ht="14.85" customHeight="1" x14ac:dyDescent="0.3">
      <c r="B32" s="26">
        <v>43882</v>
      </c>
      <c r="C32" s="14" t="s">
        <v>4997</v>
      </c>
      <c r="D32" s="34" t="s">
        <v>5089</v>
      </c>
      <c r="E32" s="35">
        <v>32573</v>
      </c>
      <c r="F32" s="10">
        <v>1.59</v>
      </c>
      <c r="G32" s="12">
        <v>175</v>
      </c>
      <c r="H32" s="12">
        <v>0</v>
      </c>
    </row>
    <row r="33" spans="2:12" ht="14.85" customHeight="1" x14ac:dyDescent="0.3">
      <c r="B33" s="26">
        <v>43886</v>
      </c>
      <c r="C33" s="14" t="s">
        <v>5061</v>
      </c>
      <c r="D33" s="34" t="s">
        <v>5083</v>
      </c>
      <c r="E33" s="35">
        <v>60399</v>
      </c>
      <c r="F33" s="10">
        <v>3.18</v>
      </c>
      <c r="G33" s="12">
        <v>164</v>
      </c>
      <c r="H33" s="12">
        <v>0</v>
      </c>
      <c r="J33" s="36" t="s">
        <v>5105</v>
      </c>
      <c r="L33" s="8" t="b">
        <v>0</v>
      </c>
    </row>
    <row r="34" spans="2:12" ht="14.85" customHeight="1" x14ac:dyDescent="0.3">
      <c r="B34" s="26">
        <v>43886</v>
      </c>
      <c r="C34" s="14" t="s">
        <v>4998</v>
      </c>
      <c r="D34" s="34" t="s">
        <v>5088</v>
      </c>
      <c r="E34" s="35">
        <v>80961</v>
      </c>
      <c r="F34" s="10">
        <f>IF($L$36=TRUE,3.75,375)</f>
        <v>375</v>
      </c>
      <c r="G34" s="12">
        <v>55</v>
      </c>
      <c r="H34" s="12">
        <v>0</v>
      </c>
      <c r="J34" s="37" t="s">
        <v>5106</v>
      </c>
      <c r="L34" s="8" t="b">
        <v>0</v>
      </c>
    </row>
    <row r="35" spans="2:12" ht="14.85" customHeight="1" x14ac:dyDescent="0.3">
      <c r="B35" s="26">
        <v>43890</v>
      </c>
      <c r="C35" s="14" t="s">
        <v>4999</v>
      </c>
      <c r="D35" s="34" t="s">
        <v>5088</v>
      </c>
      <c r="E35" s="35">
        <v>61238</v>
      </c>
      <c r="F35" s="10">
        <v>1.6</v>
      </c>
      <c r="G35" s="12">
        <v>100</v>
      </c>
      <c r="H35" s="12">
        <v>1</v>
      </c>
      <c r="J35" s="38" t="s">
        <v>5107</v>
      </c>
      <c r="L35" s="8" t="b">
        <v>0</v>
      </c>
    </row>
    <row r="36" spans="2:12" ht="14.85" customHeight="1" x14ac:dyDescent="0.3">
      <c r="B36" s="26">
        <v>43890</v>
      </c>
      <c r="C36" s="33" t="s">
        <v>5100</v>
      </c>
      <c r="D36" s="34" t="s">
        <v>5090</v>
      </c>
      <c r="E36" s="35">
        <v>60639</v>
      </c>
      <c r="F36" s="10">
        <f>IF($L$33=TRUE,"",0)</f>
        <v>0</v>
      </c>
      <c r="G36" s="12">
        <v>98</v>
      </c>
      <c r="H36" s="12">
        <v>1</v>
      </c>
      <c r="J36" s="39" t="s">
        <v>5102</v>
      </c>
      <c r="L36" s="8" t="b">
        <v>0</v>
      </c>
    </row>
    <row r="37" spans="2:12" ht="14.85" customHeight="1" x14ac:dyDescent="0.3">
      <c r="B37" s="26">
        <v>43890</v>
      </c>
      <c r="C37" s="14" t="s">
        <v>5000</v>
      </c>
      <c r="D37" s="34" t="s">
        <v>5086</v>
      </c>
      <c r="E37" s="35">
        <v>70889</v>
      </c>
      <c r="F37" s="10">
        <v>1.46</v>
      </c>
      <c r="G37" s="12">
        <v>191</v>
      </c>
      <c r="H37" s="12">
        <v>1</v>
      </c>
      <c r="J37" s="40" t="s">
        <v>5103</v>
      </c>
      <c r="L37" s="8" t="b">
        <v>0</v>
      </c>
    </row>
    <row r="38" spans="2:12" ht="14.85" customHeight="1" x14ac:dyDescent="0.3">
      <c r="B38" s="26">
        <v>43890</v>
      </c>
      <c r="C38" s="14" t="s">
        <v>5001</v>
      </c>
      <c r="D38" s="34" t="s">
        <v>5088</v>
      </c>
      <c r="E38" s="35">
        <v>35725</v>
      </c>
      <c r="F38" s="10">
        <v>1.5</v>
      </c>
      <c r="G38" s="12">
        <v>134</v>
      </c>
      <c r="H38" s="12">
        <v>0</v>
      </c>
    </row>
    <row r="39" spans="2:12" ht="14.85" customHeight="1" x14ac:dyDescent="0.3">
      <c r="B39" s="26">
        <v>43890</v>
      </c>
      <c r="C39" s="14" t="s">
        <v>5002</v>
      </c>
      <c r="D39" s="34" t="s">
        <v>5087</v>
      </c>
      <c r="E39" s="35">
        <v>64871</v>
      </c>
      <c r="F39" s="10">
        <v>1.55</v>
      </c>
      <c r="G39" s="12">
        <v>149</v>
      </c>
      <c r="H39" s="12">
        <v>0</v>
      </c>
    </row>
    <row r="40" spans="2:12" ht="14.85" customHeight="1" x14ac:dyDescent="0.3">
      <c r="B40" s="26">
        <v>43890</v>
      </c>
      <c r="C40" s="14" t="s">
        <v>5003</v>
      </c>
      <c r="D40" s="34" t="s">
        <v>5086</v>
      </c>
      <c r="E40" s="35">
        <v>20667</v>
      </c>
      <c r="F40" s="10">
        <v>2.48</v>
      </c>
      <c r="G40" s="12">
        <v>88</v>
      </c>
      <c r="H40" s="12">
        <v>0</v>
      </c>
    </row>
    <row r="41" spans="2:12" ht="14.85" customHeight="1" x14ac:dyDescent="0.3">
      <c r="B41" s="26">
        <v>43895</v>
      </c>
      <c r="C41" s="14" t="s">
        <v>5004</v>
      </c>
      <c r="D41" s="34" t="s">
        <v>5083</v>
      </c>
      <c r="E41" s="35">
        <v>94663</v>
      </c>
      <c r="F41" s="10">
        <v>3.56</v>
      </c>
      <c r="G41" s="12">
        <v>114</v>
      </c>
      <c r="H41" s="12">
        <v>0</v>
      </c>
    </row>
    <row r="42" spans="2:12" ht="14.85" customHeight="1" x14ac:dyDescent="0.3">
      <c r="B42" s="26">
        <v>43895</v>
      </c>
      <c r="C42" s="14" t="s">
        <v>5005</v>
      </c>
      <c r="D42" s="34" t="str">
        <f>IF($L$37=TRUE,"Fruits &amp; Vegetables","Fruits &amp; Vegtables")</f>
        <v>Fruits &amp; Vegtables</v>
      </c>
      <c r="E42" s="35">
        <v>83879</v>
      </c>
      <c r="F42" s="10">
        <v>1.9</v>
      </c>
      <c r="G42" s="12">
        <v>87</v>
      </c>
      <c r="H42" s="12">
        <v>0</v>
      </c>
    </row>
    <row r="43" spans="2:12" ht="14.85" customHeight="1" x14ac:dyDescent="0.3">
      <c r="B43" s="26">
        <v>43895</v>
      </c>
      <c r="C43" s="14" t="s">
        <v>5006</v>
      </c>
      <c r="D43" s="34" t="s">
        <v>5091</v>
      </c>
      <c r="E43" s="35">
        <v>92410</v>
      </c>
      <c r="F43" s="10">
        <v>2.14</v>
      </c>
      <c r="G43" s="12">
        <v>120</v>
      </c>
      <c r="H43" s="12">
        <v>0</v>
      </c>
    </row>
    <row r="44" spans="2:12" ht="14.85" customHeight="1" x14ac:dyDescent="0.3">
      <c r="B44" s="26">
        <v>43895</v>
      </c>
      <c r="C44" s="14" t="s">
        <v>5007</v>
      </c>
      <c r="D44" s="34" t="s">
        <v>5086</v>
      </c>
      <c r="E44" s="35">
        <v>37909</v>
      </c>
      <c r="F44" s="10">
        <v>1.31</v>
      </c>
      <c r="G44" s="12">
        <v>164</v>
      </c>
      <c r="H44" s="12">
        <v>0</v>
      </c>
    </row>
    <row r="45" spans="2:12" ht="14.85" customHeight="1" x14ac:dyDescent="0.3">
      <c r="B45" s="26">
        <v>43895</v>
      </c>
      <c r="C45" s="14" t="s">
        <v>5008</v>
      </c>
      <c r="D45" s="34" t="s">
        <v>5085</v>
      </c>
      <c r="E45" s="35">
        <v>50445</v>
      </c>
      <c r="F45" s="10">
        <v>3.26</v>
      </c>
      <c r="G45" s="12">
        <v>172</v>
      </c>
      <c r="H45" s="12">
        <v>0</v>
      </c>
    </row>
    <row r="46" spans="2:12" ht="14.85" customHeight="1" x14ac:dyDescent="0.3">
      <c r="B46" s="26">
        <v>43901</v>
      </c>
      <c r="C46" s="14" t="s">
        <v>5009</v>
      </c>
      <c r="D46" s="34" t="s">
        <v>5089</v>
      </c>
      <c r="E46" s="35">
        <v>34915</v>
      </c>
      <c r="F46" s="10">
        <v>2.98</v>
      </c>
      <c r="G46" s="12">
        <v>151</v>
      </c>
      <c r="H46" s="12">
        <v>0</v>
      </c>
    </row>
    <row r="47" spans="2:12" ht="14.85" customHeight="1" x14ac:dyDescent="0.3">
      <c r="B47" s="26">
        <v>43901</v>
      </c>
      <c r="C47" s="14" t="s">
        <v>5010</v>
      </c>
      <c r="D47" s="34" t="s">
        <v>5090</v>
      </c>
      <c r="E47" s="35">
        <v>20036</v>
      </c>
      <c r="F47" s="10">
        <v>1.31</v>
      </c>
      <c r="G47" s="12">
        <v>129</v>
      </c>
      <c r="H47" s="12">
        <v>0</v>
      </c>
    </row>
    <row r="48" spans="2:12" ht="14.85" customHeight="1" x14ac:dyDescent="0.3">
      <c r="B48" s="26">
        <v>43901</v>
      </c>
      <c r="C48" s="14" t="s">
        <v>5011</v>
      </c>
      <c r="D48" s="34" t="s">
        <v>5085</v>
      </c>
      <c r="E48" s="35">
        <v>28090</v>
      </c>
      <c r="F48" s="10">
        <v>3.64</v>
      </c>
      <c r="G48" s="12">
        <v>96</v>
      </c>
      <c r="H48" s="12">
        <v>0</v>
      </c>
    </row>
    <row r="49" spans="2:8" ht="14.85" customHeight="1" x14ac:dyDescent="0.3">
      <c r="B49" s="26">
        <v>43905</v>
      </c>
      <c r="C49" s="14" t="s">
        <v>5062</v>
      </c>
      <c r="D49" s="34" t="s">
        <v>5083</v>
      </c>
      <c r="E49" s="35">
        <v>11000</v>
      </c>
      <c r="F49" s="10">
        <v>2.93</v>
      </c>
      <c r="G49" s="12">
        <v>42</v>
      </c>
      <c r="H49" s="12">
        <v>0</v>
      </c>
    </row>
    <row r="50" spans="2:8" ht="14.85" customHeight="1" x14ac:dyDescent="0.3">
      <c r="B50" s="26">
        <v>43910</v>
      </c>
      <c r="C50" s="33" t="s">
        <v>5081</v>
      </c>
      <c r="D50" s="34" t="s">
        <v>5086</v>
      </c>
      <c r="E50" s="35">
        <v>52073</v>
      </c>
      <c r="F50" s="10">
        <v>1.31</v>
      </c>
      <c r="G50" s="12">
        <v>85</v>
      </c>
      <c r="H50" s="12">
        <v>0</v>
      </c>
    </row>
    <row r="51" spans="2:8" ht="14.85" customHeight="1" x14ac:dyDescent="0.3">
      <c r="B51" s="26">
        <v>43910</v>
      </c>
      <c r="C51" s="14" t="s">
        <v>5012</v>
      </c>
      <c r="D51" s="34" t="s">
        <v>5082</v>
      </c>
      <c r="E51" s="35">
        <v>36710</v>
      </c>
      <c r="F51" s="10">
        <v>3.51</v>
      </c>
      <c r="G51" s="12">
        <v>93</v>
      </c>
      <c r="H51" s="12">
        <v>0</v>
      </c>
    </row>
    <row r="52" spans="2:8" ht="14.85" customHeight="1" x14ac:dyDescent="0.3">
      <c r="B52" s="26">
        <v>43910</v>
      </c>
      <c r="C52" s="14" t="s">
        <v>5013</v>
      </c>
      <c r="D52" s="34" t="s">
        <v>5089</v>
      </c>
      <c r="E52" s="35">
        <v>69383</v>
      </c>
      <c r="F52" s="10">
        <v>1.46</v>
      </c>
      <c r="G52" s="12">
        <v>47</v>
      </c>
      <c r="H52" s="12">
        <v>1</v>
      </c>
    </row>
    <row r="53" spans="2:8" ht="14.85" customHeight="1" x14ac:dyDescent="0.3">
      <c r="B53" s="26">
        <v>43910</v>
      </c>
      <c r="C53" s="14" t="s">
        <v>5098</v>
      </c>
      <c r="D53" s="34" t="s">
        <v>5088</v>
      </c>
      <c r="E53" s="35">
        <v>88397</v>
      </c>
      <c r="F53" s="10">
        <f>IF($L$33=TRUE,"",0)</f>
        <v>0</v>
      </c>
      <c r="G53" s="12">
        <v>43</v>
      </c>
      <c r="H53" s="12">
        <v>0</v>
      </c>
    </row>
    <row r="54" spans="2:8" ht="14.85" customHeight="1" x14ac:dyDescent="0.3">
      <c r="B54" s="26">
        <v>43910</v>
      </c>
      <c r="C54" s="14" t="s">
        <v>5014</v>
      </c>
      <c r="D54" s="34" t="s">
        <v>5082</v>
      </c>
      <c r="E54" s="35">
        <v>97095</v>
      </c>
      <c r="F54" s="10">
        <v>3.51</v>
      </c>
      <c r="G54" s="12">
        <v>0</v>
      </c>
      <c r="H54" s="12">
        <v>0</v>
      </c>
    </row>
    <row r="55" spans="2:8" ht="14.85" customHeight="1" x14ac:dyDescent="0.3">
      <c r="B55" s="26">
        <v>43910</v>
      </c>
      <c r="C55" s="14" t="s">
        <v>5015</v>
      </c>
      <c r="D55" s="34" t="s">
        <v>5090</v>
      </c>
      <c r="E55" s="35">
        <v>45898</v>
      </c>
      <c r="F55" s="10">
        <v>1.66</v>
      </c>
      <c r="G55" s="12">
        <v>20</v>
      </c>
      <c r="H55" s="12">
        <v>0</v>
      </c>
    </row>
    <row r="56" spans="2:8" ht="14.85" customHeight="1" x14ac:dyDescent="0.3">
      <c r="B56" s="26">
        <v>43916</v>
      </c>
      <c r="C56" s="14" t="s">
        <v>5016</v>
      </c>
      <c r="D56" s="34" t="s">
        <v>5090</v>
      </c>
      <c r="E56" s="35">
        <v>49014</v>
      </c>
      <c r="F56" s="10">
        <v>1.71</v>
      </c>
      <c r="G56" s="12">
        <v>80</v>
      </c>
      <c r="H56" s="12">
        <v>0</v>
      </c>
    </row>
    <row r="57" spans="2:8" ht="14.85" customHeight="1" x14ac:dyDescent="0.3">
      <c r="B57" s="26">
        <v>43916</v>
      </c>
      <c r="C57" s="14" t="s">
        <v>5017</v>
      </c>
      <c r="D57" s="34" t="s">
        <v>5083</v>
      </c>
      <c r="E57" s="35">
        <v>28606</v>
      </c>
      <c r="F57" s="10">
        <v>2.91</v>
      </c>
      <c r="G57" s="12">
        <v>20</v>
      </c>
      <c r="H57" s="12">
        <v>0</v>
      </c>
    </row>
    <row r="58" spans="2:8" ht="14.85" customHeight="1" x14ac:dyDescent="0.3">
      <c r="B58" s="26">
        <v>43916</v>
      </c>
      <c r="C58" s="14" t="s">
        <v>5018</v>
      </c>
      <c r="D58" s="34" t="s">
        <v>5089</v>
      </c>
      <c r="E58" s="35">
        <v>45920</v>
      </c>
      <c r="F58" s="10">
        <v>1.71</v>
      </c>
      <c r="G58" s="12">
        <v>34</v>
      </c>
      <c r="H58" s="12">
        <v>0</v>
      </c>
    </row>
    <row r="59" spans="2:8" ht="14.85" customHeight="1" x14ac:dyDescent="0.3">
      <c r="B59" s="26">
        <v>43916</v>
      </c>
      <c r="C59" s="14" t="s">
        <v>5019</v>
      </c>
      <c r="D59" s="34" t="s">
        <v>5085</v>
      </c>
      <c r="E59" s="35">
        <v>14571</v>
      </c>
      <c r="F59" s="10">
        <v>2.96</v>
      </c>
      <c r="G59" s="12">
        <v>62</v>
      </c>
      <c r="H59" s="12">
        <v>0</v>
      </c>
    </row>
    <row r="60" spans="2:8" ht="14.85" customHeight="1" x14ac:dyDescent="0.3">
      <c r="B60" s="26">
        <v>43916</v>
      </c>
      <c r="C60" s="14" t="s">
        <v>5020</v>
      </c>
      <c r="D60" s="34" t="s">
        <v>5084</v>
      </c>
      <c r="E60" s="35">
        <v>62338</v>
      </c>
      <c r="F60" s="10">
        <v>1.7</v>
      </c>
      <c r="G60" s="12">
        <v>55</v>
      </c>
      <c r="H60" s="12">
        <v>0</v>
      </c>
    </row>
    <row r="61" spans="2:8" ht="14.85" customHeight="1" x14ac:dyDescent="0.3">
      <c r="B61" s="26">
        <v>43922</v>
      </c>
      <c r="C61" s="14" t="s">
        <v>5021</v>
      </c>
      <c r="D61" s="34" t="s">
        <v>5089</v>
      </c>
      <c r="E61" s="35">
        <v>95573</v>
      </c>
      <c r="F61" s="10">
        <v>1.58</v>
      </c>
      <c r="G61" s="12">
        <v>22</v>
      </c>
      <c r="H61" s="12">
        <v>0</v>
      </c>
    </row>
    <row r="62" spans="2:8" ht="14.85" customHeight="1" x14ac:dyDescent="0.3">
      <c r="B62" s="26">
        <v>43922</v>
      </c>
      <c r="C62" s="14" t="s">
        <v>5092</v>
      </c>
      <c r="D62" s="34" t="s">
        <v>5091</v>
      </c>
      <c r="E62" s="35">
        <v>80276</v>
      </c>
      <c r="F62" s="10">
        <v>2.96</v>
      </c>
      <c r="G62" s="12">
        <v>78</v>
      </c>
      <c r="H62" s="12">
        <v>0</v>
      </c>
    </row>
    <row r="63" spans="2:8" ht="14.85" customHeight="1" x14ac:dyDescent="0.3">
      <c r="B63" s="26">
        <v>43922</v>
      </c>
      <c r="C63" s="14" t="s">
        <v>5022</v>
      </c>
      <c r="D63" s="34" t="s">
        <v>5088</v>
      </c>
      <c r="E63" s="35">
        <v>73889</v>
      </c>
      <c r="F63" s="10">
        <v>2.21</v>
      </c>
      <c r="G63" s="12">
        <v>35</v>
      </c>
      <c r="H63" s="12">
        <v>1</v>
      </c>
    </row>
    <row r="64" spans="2:8" ht="14.85" customHeight="1" x14ac:dyDescent="0.3">
      <c r="B64" s="26">
        <v>43922</v>
      </c>
      <c r="C64" s="14" t="s">
        <v>5023</v>
      </c>
      <c r="D64" s="34" t="s">
        <v>5088</v>
      </c>
      <c r="E64" s="35">
        <v>21335</v>
      </c>
      <c r="F64" s="10">
        <v>3.83</v>
      </c>
      <c r="G64" s="12">
        <v>91</v>
      </c>
      <c r="H64" s="12">
        <v>0</v>
      </c>
    </row>
    <row r="65" spans="2:8" ht="14.85" customHeight="1" x14ac:dyDescent="0.3">
      <c r="B65" s="26">
        <v>43922</v>
      </c>
      <c r="C65" s="14" t="s">
        <v>5024</v>
      </c>
      <c r="D65" s="34" t="s">
        <v>5087</v>
      </c>
      <c r="E65" s="35">
        <v>51853</v>
      </c>
      <c r="F65" s="10">
        <v>1.59</v>
      </c>
      <c r="G65" s="12">
        <v>1</v>
      </c>
      <c r="H65" s="12">
        <v>0</v>
      </c>
    </row>
    <row r="66" spans="2:8" ht="14.85" customHeight="1" x14ac:dyDescent="0.3">
      <c r="B66" s="26">
        <v>43928</v>
      </c>
      <c r="C66" s="14" t="s">
        <v>5058</v>
      </c>
      <c r="D66" s="34" t="s">
        <v>5083</v>
      </c>
      <c r="E66" s="35">
        <v>26298</v>
      </c>
      <c r="F66" s="10">
        <v>2.64</v>
      </c>
      <c r="G66" s="12">
        <v>27</v>
      </c>
      <c r="H66" s="12">
        <v>0</v>
      </c>
    </row>
    <row r="67" spans="2:8" ht="14.85" customHeight="1" x14ac:dyDescent="0.3">
      <c r="B67" s="26">
        <v>43928</v>
      </c>
      <c r="C67" s="14" t="s">
        <v>5028</v>
      </c>
      <c r="D67" s="34" t="s">
        <v>5085</v>
      </c>
      <c r="E67" s="35">
        <v>29451</v>
      </c>
      <c r="F67" s="10">
        <v>2.19</v>
      </c>
      <c r="G67" s="12">
        <v>66</v>
      </c>
      <c r="H67" s="12">
        <v>0</v>
      </c>
    </row>
    <row r="68" spans="2:8" ht="14.85" customHeight="1" x14ac:dyDescent="0.3">
      <c r="B68" s="26">
        <v>43931</v>
      </c>
      <c r="C68" s="14" t="s">
        <v>5025</v>
      </c>
      <c r="D68" s="34" t="s">
        <v>5089</v>
      </c>
      <c r="E68" s="35">
        <v>71537</v>
      </c>
      <c r="F68" s="10">
        <v>2.4900000000000002</v>
      </c>
      <c r="G68" s="12">
        <v>46</v>
      </c>
      <c r="H68" s="12">
        <v>0</v>
      </c>
    </row>
    <row r="69" spans="2:8" ht="14.85" customHeight="1" x14ac:dyDescent="0.3">
      <c r="B69" s="26">
        <v>43931</v>
      </c>
      <c r="C69" s="14" t="s">
        <v>5026</v>
      </c>
      <c r="D69" s="34" t="s">
        <v>5087</v>
      </c>
      <c r="E69" s="35">
        <v>13119</v>
      </c>
      <c r="F69" s="10">
        <v>1.1299999999999999</v>
      </c>
      <c r="G69" s="12">
        <v>34</v>
      </c>
      <c r="H69" s="12">
        <v>0</v>
      </c>
    </row>
    <row r="70" spans="2:8" ht="14.85" customHeight="1" x14ac:dyDescent="0.3">
      <c r="B70" s="26">
        <v>43931</v>
      </c>
      <c r="C70" s="14" t="s">
        <v>5027</v>
      </c>
      <c r="D70" s="34" t="s">
        <v>5087</v>
      </c>
      <c r="E70" s="35">
        <v>16754</v>
      </c>
      <c r="F70" s="10">
        <v>2.2200000000000002</v>
      </c>
      <c r="G70" s="12">
        <v>30</v>
      </c>
      <c r="H70" s="12">
        <v>0</v>
      </c>
    </row>
    <row r="71" spans="2:8" ht="14.85" customHeight="1" x14ac:dyDescent="0.3">
      <c r="B71" s="26">
        <v>43931</v>
      </c>
      <c r="C71" s="14" t="s">
        <v>5059</v>
      </c>
      <c r="D71" s="34" t="str">
        <f>IF($L$37=TRUE,"Canned Goods &amp; Soups","Canned Goods &amp; Soups ")</f>
        <v xml:space="preserve">Canned Goods &amp; Soups </v>
      </c>
      <c r="E71" s="35">
        <v>84230</v>
      </c>
      <c r="F71" s="10">
        <v>2.19</v>
      </c>
      <c r="G71" s="12">
        <v>35</v>
      </c>
      <c r="H71" s="12">
        <v>0</v>
      </c>
    </row>
    <row r="72" spans="2:8" ht="14.85" customHeight="1" x14ac:dyDescent="0.3">
      <c r="B72" s="26">
        <v>43931</v>
      </c>
      <c r="C72" s="33" t="s">
        <v>5029</v>
      </c>
      <c r="D72" s="34" t="s">
        <v>5083</v>
      </c>
      <c r="E72" s="35">
        <v>10074</v>
      </c>
      <c r="F72" s="10">
        <v>2.4900000000000002</v>
      </c>
      <c r="G72" s="12">
        <v>18</v>
      </c>
      <c r="H72" s="12">
        <v>0</v>
      </c>
    </row>
    <row r="73" spans="2:8" ht="14.85" customHeight="1" x14ac:dyDescent="0.3">
      <c r="B73" s="26">
        <v>43935</v>
      </c>
      <c r="C73" s="14" t="s">
        <v>5030</v>
      </c>
      <c r="D73" s="34" t="s">
        <v>5087</v>
      </c>
      <c r="E73" s="35">
        <v>28607</v>
      </c>
      <c r="F73" s="10">
        <v>2.99</v>
      </c>
      <c r="G73" s="12">
        <v>30</v>
      </c>
      <c r="H73" s="12">
        <v>0</v>
      </c>
    </row>
    <row r="74" spans="2:8" ht="14.85" customHeight="1" x14ac:dyDescent="0.3">
      <c r="B74" s="26">
        <v>43935</v>
      </c>
      <c r="C74" s="14" t="s">
        <v>5031</v>
      </c>
      <c r="D74" s="34" t="s">
        <v>5083</v>
      </c>
      <c r="E74" s="35">
        <v>67811</v>
      </c>
      <c r="F74" s="10">
        <v>2.35</v>
      </c>
      <c r="G74" s="12">
        <v>43</v>
      </c>
      <c r="H74" s="12">
        <v>0</v>
      </c>
    </row>
    <row r="75" spans="2:8" ht="14.85" customHeight="1" x14ac:dyDescent="0.3">
      <c r="B75" s="26">
        <v>43935</v>
      </c>
      <c r="C75" s="14" t="s">
        <v>5032</v>
      </c>
      <c r="D75" s="34" t="s">
        <v>5082</v>
      </c>
      <c r="E75" s="35">
        <v>98560</v>
      </c>
      <c r="F75" s="10">
        <v>3.17</v>
      </c>
      <c r="G75" s="12">
        <v>23</v>
      </c>
      <c r="H75" s="12">
        <v>0</v>
      </c>
    </row>
    <row r="76" spans="2:8" ht="14.85" customHeight="1" x14ac:dyDescent="0.3">
      <c r="B76" s="26">
        <v>43935</v>
      </c>
      <c r="C76" s="14" t="s">
        <v>5033</v>
      </c>
      <c r="D76" s="34" t="s">
        <v>5088</v>
      </c>
      <c r="E76" s="35">
        <v>96012</v>
      </c>
      <c r="F76" s="10">
        <v>1.67</v>
      </c>
      <c r="G76" s="12">
        <v>22</v>
      </c>
      <c r="H76" s="12">
        <v>0</v>
      </c>
    </row>
    <row r="77" spans="2:8" ht="14.85" customHeight="1" x14ac:dyDescent="0.3">
      <c r="B77" s="26">
        <v>43941</v>
      </c>
      <c r="C77" s="14" t="s">
        <v>5034</v>
      </c>
      <c r="D77" s="34" t="s">
        <v>5085</v>
      </c>
      <c r="E77" s="35">
        <v>61137</v>
      </c>
      <c r="F77" s="10">
        <v>2.78</v>
      </c>
      <c r="G77" s="12">
        <v>21</v>
      </c>
      <c r="H77" s="12">
        <v>0</v>
      </c>
    </row>
    <row r="78" spans="2:8" ht="14.85" customHeight="1" x14ac:dyDescent="0.3">
      <c r="B78" s="26">
        <v>43941</v>
      </c>
      <c r="C78" s="14" t="s">
        <v>5035</v>
      </c>
      <c r="D78" s="34" t="s">
        <v>5085</v>
      </c>
      <c r="E78" s="35">
        <v>55655</v>
      </c>
      <c r="F78" s="10">
        <v>2.2799999999999998</v>
      </c>
      <c r="G78" s="12">
        <v>35</v>
      </c>
      <c r="H78" s="12">
        <v>0</v>
      </c>
    </row>
    <row r="79" spans="2:8" ht="14.85" customHeight="1" x14ac:dyDescent="0.3">
      <c r="B79" s="26">
        <v>43941</v>
      </c>
      <c r="C79" s="14" t="s">
        <v>5095</v>
      </c>
      <c r="D79" s="34" t="s">
        <v>5091</v>
      </c>
      <c r="E79" s="35">
        <v>28279</v>
      </c>
      <c r="F79" s="10">
        <v>3.9500000000000006</v>
      </c>
      <c r="G79" s="12">
        <v>3</v>
      </c>
      <c r="H79" s="12">
        <v>0</v>
      </c>
    </row>
    <row r="80" spans="2:8" ht="14.85" customHeight="1" x14ac:dyDescent="0.3">
      <c r="B80" s="26">
        <v>43941</v>
      </c>
      <c r="C80" s="14" t="s">
        <v>5036</v>
      </c>
      <c r="D80" s="34" t="s">
        <v>5085</v>
      </c>
      <c r="E80" s="35">
        <v>74257</v>
      </c>
      <c r="F80" s="10">
        <v>1.89</v>
      </c>
      <c r="G80" s="12">
        <v>11</v>
      </c>
      <c r="H80" s="12">
        <v>0</v>
      </c>
    </row>
    <row r="81" spans="2:8" ht="14.85" customHeight="1" x14ac:dyDescent="0.3">
      <c r="B81" s="26">
        <v>43945</v>
      </c>
      <c r="C81" s="14" t="s">
        <v>5094</v>
      </c>
      <c r="D81" s="34" t="s">
        <v>5091</v>
      </c>
      <c r="E81" s="35">
        <v>68624</v>
      </c>
      <c r="F81" s="10">
        <v>2.23</v>
      </c>
      <c r="G81" s="12">
        <v>26</v>
      </c>
      <c r="H81" s="12">
        <v>0</v>
      </c>
    </row>
    <row r="82" spans="2:8" ht="14.85" customHeight="1" x14ac:dyDescent="0.3">
      <c r="B82" s="26">
        <v>43945</v>
      </c>
      <c r="C82" s="14" t="s">
        <v>5037</v>
      </c>
      <c r="D82" s="34" t="s">
        <v>5089</v>
      </c>
      <c r="E82" s="35">
        <v>34403</v>
      </c>
      <c r="F82" s="10">
        <v>2.4500000000000002</v>
      </c>
      <c r="G82" s="12">
        <v>37</v>
      </c>
      <c r="H82" s="12">
        <v>0</v>
      </c>
    </row>
    <row r="83" spans="2:8" ht="14.85" customHeight="1" x14ac:dyDescent="0.3">
      <c r="B83" s="26">
        <v>43945</v>
      </c>
      <c r="C83" s="14" t="s">
        <v>5038</v>
      </c>
      <c r="D83" s="34" t="s">
        <v>5084</v>
      </c>
      <c r="E83" s="35">
        <v>26928</v>
      </c>
      <c r="F83" s="10">
        <v>7.99</v>
      </c>
      <c r="G83" s="12">
        <v>1</v>
      </c>
      <c r="H83" s="12">
        <v>0</v>
      </c>
    </row>
    <row r="84" spans="2:8" ht="14.85" customHeight="1" x14ac:dyDescent="0.3">
      <c r="B84" s="26">
        <v>43945</v>
      </c>
      <c r="C84" s="14" t="s">
        <v>5039</v>
      </c>
      <c r="D84" s="34" t="s">
        <v>5087</v>
      </c>
      <c r="E84" s="35">
        <v>46227</v>
      </c>
      <c r="F84" s="10">
        <v>3.7</v>
      </c>
      <c r="G84" s="12">
        <v>26</v>
      </c>
      <c r="H84" s="12">
        <v>0</v>
      </c>
    </row>
    <row r="85" spans="2:8" ht="14.85" customHeight="1" x14ac:dyDescent="0.3">
      <c r="B85" s="26">
        <v>43945</v>
      </c>
      <c r="C85" s="14" t="s">
        <v>5093</v>
      </c>
      <c r="D85" s="34" t="s">
        <v>5091</v>
      </c>
      <c r="E85" s="35">
        <v>55577</v>
      </c>
      <c r="F85" s="10">
        <f>IF($L$33=TRUE,"",0)</f>
        <v>0</v>
      </c>
      <c r="G85" s="12">
        <v>33</v>
      </c>
      <c r="H85" s="12">
        <v>0</v>
      </c>
    </row>
    <row r="86" spans="2:8" ht="14.85" customHeight="1" x14ac:dyDescent="0.3">
      <c r="B86" s="26">
        <v>43949</v>
      </c>
      <c r="C86" s="14" t="s">
        <v>5040</v>
      </c>
      <c r="D86" s="34" t="s">
        <v>5090</v>
      </c>
      <c r="E86" s="35">
        <v>15330</v>
      </c>
      <c r="F86" s="10">
        <v>1.3</v>
      </c>
      <c r="G86" s="12">
        <v>23</v>
      </c>
      <c r="H86" s="12">
        <v>0</v>
      </c>
    </row>
    <row r="87" spans="2:8" ht="14.85" customHeight="1" x14ac:dyDescent="0.3">
      <c r="B87" s="26">
        <v>43949</v>
      </c>
      <c r="C87" s="14" t="s">
        <v>5078</v>
      </c>
      <c r="D87" s="34" t="s">
        <v>5089</v>
      </c>
      <c r="E87" s="35">
        <v>90404</v>
      </c>
      <c r="F87" s="10">
        <v>3.25</v>
      </c>
      <c r="G87" s="12">
        <v>27</v>
      </c>
      <c r="H87" s="12">
        <v>0</v>
      </c>
    </row>
    <row r="88" spans="2:8" ht="14.85" customHeight="1" x14ac:dyDescent="0.3">
      <c r="B88" s="26">
        <v>43949</v>
      </c>
      <c r="C88" s="14" t="s">
        <v>5041</v>
      </c>
      <c r="D88" s="34" t="s">
        <v>5082</v>
      </c>
      <c r="E88" s="35">
        <v>45463</v>
      </c>
      <c r="F88" s="10">
        <v>1.8</v>
      </c>
      <c r="G88" s="12">
        <v>32</v>
      </c>
      <c r="H88" s="12">
        <v>0</v>
      </c>
    </row>
    <row r="89" spans="2:8" ht="14.85" customHeight="1" x14ac:dyDescent="0.3">
      <c r="B89" s="32" t="str">
        <f>IF($L$34=TRUE,DATEVALUE("3-May-20"),"3-May-20")</f>
        <v>3-May-20</v>
      </c>
      <c r="C89" s="14" t="s">
        <v>5042</v>
      </c>
      <c r="D89" s="34" t="s">
        <v>5091</v>
      </c>
      <c r="E89" s="35">
        <v>84849</v>
      </c>
      <c r="F89" s="10">
        <v>2.1</v>
      </c>
      <c r="G89" s="12">
        <v>41</v>
      </c>
      <c r="H89" s="12">
        <v>1</v>
      </c>
    </row>
    <row r="90" spans="2:8" ht="14.85" customHeight="1" x14ac:dyDescent="0.3">
      <c r="B90" s="32" t="str">
        <f>IF($L$34=TRUE,DATEVALUE("3-May-20"),"3-May-20")</f>
        <v>3-May-20</v>
      </c>
      <c r="C90" s="14" t="s">
        <v>5097</v>
      </c>
      <c r="D90" s="34" t="s">
        <v>5087</v>
      </c>
      <c r="E90" s="35">
        <v>77862</v>
      </c>
      <c r="F90" s="10">
        <v>1.1299999999999999</v>
      </c>
      <c r="G90" s="12">
        <v>39</v>
      </c>
      <c r="H90" s="12">
        <v>1</v>
      </c>
    </row>
    <row r="91" spans="2:8" ht="14.85" customHeight="1" x14ac:dyDescent="0.3">
      <c r="B91" s="32" t="str">
        <f>IF($L$34=TRUE,DATEVALUE("6-May-20"),"6-May-20")</f>
        <v>6-May-20</v>
      </c>
      <c r="C91" s="14" t="s">
        <v>5043</v>
      </c>
      <c r="D91" s="34" t="s">
        <v>5083</v>
      </c>
      <c r="E91" s="35">
        <v>33595</v>
      </c>
      <c r="F91" s="10">
        <v>1.33</v>
      </c>
      <c r="G91" s="12">
        <v>25</v>
      </c>
      <c r="H91" s="12">
        <v>1</v>
      </c>
    </row>
    <row r="92" spans="2:8" ht="14.85" customHeight="1" x14ac:dyDescent="0.3">
      <c r="B92" s="32" t="str">
        <f>IF($L$34=TRUE,DATEVALUE("6-May-20"),"6-May-20")</f>
        <v>6-May-20</v>
      </c>
      <c r="C92" s="14" t="s">
        <v>5044</v>
      </c>
      <c r="D92" s="34" t="s">
        <v>5083</v>
      </c>
      <c r="E92" s="35">
        <v>39069</v>
      </c>
      <c r="F92" s="10">
        <v>1.64</v>
      </c>
      <c r="G92" s="12">
        <v>13</v>
      </c>
      <c r="H92" s="12">
        <v>0</v>
      </c>
    </row>
    <row r="93" spans="2:8" ht="14.85" customHeight="1" x14ac:dyDescent="0.3">
      <c r="B93" s="32" t="str">
        <f>IF($L$34=TRUE,DATEVALUE("9-May-20"),"9-May-20")</f>
        <v>9-May-20</v>
      </c>
      <c r="C93" s="14" t="s">
        <v>5045</v>
      </c>
      <c r="D93" s="34" t="s">
        <v>5085</v>
      </c>
      <c r="E93" s="35">
        <v>30689</v>
      </c>
      <c r="F93" s="10">
        <v>3.51</v>
      </c>
      <c r="G93" s="12">
        <v>39</v>
      </c>
      <c r="H93" s="12">
        <v>0</v>
      </c>
    </row>
    <row r="94" spans="2:8" ht="14.85" customHeight="1" x14ac:dyDescent="0.3">
      <c r="B94" s="32" t="str">
        <f>IF($L$34=TRUE,DATEVALUE("9-May-20"),"9-May-20")</f>
        <v>9-May-20</v>
      </c>
      <c r="C94" s="14" t="s">
        <v>5046</v>
      </c>
      <c r="D94" s="34" t="s">
        <v>5086</v>
      </c>
      <c r="E94" s="35">
        <v>49175</v>
      </c>
      <c r="F94" s="10">
        <v>2.4700000000000002</v>
      </c>
      <c r="G94" s="12">
        <v>37</v>
      </c>
      <c r="H94" s="12">
        <v>0</v>
      </c>
    </row>
    <row r="95" spans="2:8" ht="14.85" customHeight="1" x14ac:dyDescent="0.3">
      <c r="B95" s="32" t="str">
        <f>IF($L$34=TRUE,DATEVALUE("9-May-20"),"9-May-20")</f>
        <v>9-May-20</v>
      </c>
      <c r="C95" s="14" t="s">
        <v>5047</v>
      </c>
      <c r="D95" s="34" t="s">
        <v>5087</v>
      </c>
      <c r="E95" s="35">
        <v>68891</v>
      </c>
      <c r="F95" s="10">
        <v>2.1</v>
      </c>
      <c r="G95" s="12">
        <v>25</v>
      </c>
      <c r="H95" s="12">
        <v>0</v>
      </c>
    </row>
    <row r="96" spans="2:8" ht="14.85" customHeight="1" x14ac:dyDescent="0.3">
      <c r="B96" s="32" t="str">
        <f>IF($L$34=TRUE,DATEVALUE("14-May-20"),"14-May-20")</f>
        <v>14-May-20</v>
      </c>
      <c r="C96" s="14" t="s">
        <v>5048</v>
      </c>
      <c r="D96" s="34" t="s">
        <v>5089</v>
      </c>
      <c r="E96" s="35">
        <v>86442</v>
      </c>
      <c r="F96" s="10">
        <v>1.77</v>
      </c>
      <c r="G96" s="12">
        <v>13</v>
      </c>
      <c r="H96" s="12">
        <v>1</v>
      </c>
    </row>
    <row r="97" spans="2:8" ht="14.85" customHeight="1" x14ac:dyDescent="0.3">
      <c r="B97" s="32" t="str">
        <f>IF($L$34=TRUE,DATEVALUE("14-May-20"),"14-May-20")</f>
        <v>14-May-20</v>
      </c>
      <c r="C97" s="14" t="s">
        <v>5049</v>
      </c>
      <c r="D97" s="34" t="s">
        <v>5083</v>
      </c>
      <c r="E97" s="35">
        <v>26169</v>
      </c>
      <c r="F97" s="10">
        <v>3.46</v>
      </c>
      <c r="G97" s="12">
        <v>17</v>
      </c>
      <c r="H97" s="12">
        <v>1</v>
      </c>
    </row>
    <row r="98" spans="2:8" ht="14.85" customHeight="1" x14ac:dyDescent="0.3">
      <c r="B98" s="32" t="str">
        <f>IF($L$34=TRUE,DATEVALUE("14-May-20"),"14-May-20")</f>
        <v>14-May-20</v>
      </c>
      <c r="C98" s="33" t="s">
        <v>4991</v>
      </c>
      <c r="D98" s="34" t="s">
        <v>5089</v>
      </c>
      <c r="E98" s="35">
        <v>67869</v>
      </c>
      <c r="F98" s="10">
        <f>IF($L$33=TRUE,"",0)</f>
        <v>0</v>
      </c>
      <c r="G98" s="12">
        <v>9</v>
      </c>
      <c r="H98" s="12">
        <v>0</v>
      </c>
    </row>
    <row r="99" spans="2:8" ht="14.85" customHeight="1" x14ac:dyDescent="0.3">
      <c r="B99" s="32" t="str">
        <f>IF($L$34=TRUE,DATEVALUE("20-May-20"),"20-May-20")</f>
        <v>20-May-20</v>
      </c>
      <c r="C99" s="14" t="s">
        <v>5050</v>
      </c>
      <c r="D99" s="34" t="s">
        <v>5086</v>
      </c>
      <c r="E99" s="35">
        <v>28159</v>
      </c>
      <c r="F99" s="10">
        <v>2.12</v>
      </c>
      <c r="G99" s="12">
        <v>12</v>
      </c>
      <c r="H99" s="12">
        <v>0</v>
      </c>
    </row>
    <row r="100" spans="2:8" ht="14.85" customHeight="1" x14ac:dyDescent="0.3">
      <c r="B100" s="32" t="str">
        <f>IF($L$34=TRUE,DATEVALUE("20-May-20"),"20-May-20")</f>
        <v>20-May-20</v>
      </c>
      <c r="C100" s="14" t="s">
        <v>5051</v>
      </c>
      <c r="D100" s="34" t="s">
        <v>5082</v>
      </c>
      <c r="E100" s="35">
        <v>32527</v>
      </c>
      <c r="F100" s="10">
        <v>1.49</v>
      </c>
      <c r="G100" s="12">
        <v>8</v>
      </c>
      <c r="H100" s="12">
        <v>0</v>
      </c>
    </row>
    <row r="101" spans="2:8" ht="14.85" customHeight="1" x14ac:dyDescent="0.3">
      <c r="B101" s="32" t="str">
        <f>IF($L$34=TRUE,DATEVALUE("24-May-20"),"24-May-20")</f>
        <v>24-May-20</v>
      </c>
      <c r="C101" s="33" t="s">
        <v>5080</v>
      </c>
      <c r="D101" s="34" t="s">
        <v>5089</v>
      </c>
      <c r="E101" s="35">
        <v>79724</v>
      </c>
      <c r="F101" s="10">
        <v>2.4900000000000002</v>
      </c>
      <c r="G101" s="12">
        <v>3</v>
      </c>
      <c r="H101" s="12">
        <v>0</v>
      </c>
    </row>
    <row r="102" spans="2:8" ht="14.85" customHeight="1" x14ac:dyDescent="0.3">
      <c r="B102" s="32" t="str">
        <f>IF($L$34=TRUE,DATEVALUE("30-May-20"),"30-May-20")</f>
        <v>30-May-20</v>
      </c>
      <c r="C102" s="14" t="s">
        <v>5052</v>
      </c>
      <c r="D102" s="34" t="s">
        <v>5089</v>
      </c>
      <c r="E102" s="35">
        <v>19405</v>
      </c>
      <c r="F102" s="10">
        <v>2.97</v>
      </c>
      <c r="G102" s="12">
        <v>5</v>
      </c>
      <c r="H102" s="12">
        <v>0</v>
      </c>
    </row>
    <row r="103" spans="2:8" ht="14.85" customHeight="1" x14ac:dyDescent="0.3">
      <c r="B103" s="32" t="str">
        <f>IF($L$34=TRUE,DATEVALUE("30-May-20"),"30-May-20")</f>
        <v>30-May-20</v>
      </c>
      <c r="C103" s="14" t="s">
        <v>5053</v>
      </c>
      <c r="D103" s="34" t="s">
        <v>5087</v>
      </c>
      <c r="E103" s="35">
        <v>86045</v>
      </c>
      <c r="F103" s="10">
        <v>1.17</v>
      </c>
      <c r="G103" s="12">
        <v>2</v>
      </c>
      <c r="H103" s="12">
        <v>0</v>
      </c>
    </row>
    <row r="104" spans="2:8" ht="14.85" customHeight="1" x14ac:dyDescent="0.3"/>
    <row r="105" spans="2:8" ht="14.85" customHeight="1" x14ac:dyDescent="0.3"/>
    <row r="106" spans="2:8" ht="14.85" customHeight="1" x14ac:dyDescent="0.3"/>
    <row r="107" spans="2:8" ht="14.85" customHeight="1" x14ac:dyDescent="0.3"/>
    <row r="108" spans="2:8" ht="14.85" customHeight="1" x14ac:dyDescent="0.3"/>
    <row r="109" spans="2:8" ht="14.85" customHeight="1" x14ac:dyDescent="0.3"/>
    <row r="110" spans="2:8" ht="14.85" customHeight="1" x14ac:dyDescent="0.3"/>
    <row r="111" spans="2:8" ht="14.85" customHeight="1" x14ac:dyDescent="0.3"/>
    <row r="112" spans="2:8" ht="14.85" customHeight="1" x14ac:dyDescent="0.3"/>
    <row r="113" ht="14.85" customHeight="1" x14ac:dyDescent="0.3"/>
    <row r="114" ht="14.85" customHeight="1" x14ac:dyDescent="0.3"/>
    <row r="115" ht="14.85" customHeight="1" x14ac:dyDescent="0.3"/>
    <row r="116" ht="14.85" customHeight="1" x14ac:dyDescent="0.3"/>
    <row r="117" ht="14.85" customHeight="1" x14ac:dyDescent="0.3"/>
    <row r="118" ht="14.85" customHeight="1" x14ac:dyDescent="0.3"/>
    <row r="119" ht="14.85" customHeight="1" x14ac:dyDescent="0.3"/>
    <row r="120" ht="14.85" customHeight="1" x14ac:dyDescent="0.3"/>
    <row r="121" ht="14.85" customHeight="1" x14ac:dyDescent="0.3"/>
    <row r="122" ht="14.85" customHeight="1" x14ac:dyDescent="0.3"/>
    <row r="123" ht="14.85" customHeight="1" x14ac:dyDescent="0.3"/>
    <row r="124" ht="14.85" customHeight="1" x14ac:dyDescent="0.3"/>
    <row r="125" ht="14.85" customHeight="1" x14ac:dyDescent="0.3"/>
    <row r="126" ht="14.85" customHeight="1" x14ac:dyDescent="0.3"/>
    <row r="127" ht="14.85" customHeight="1" x14ac:dyDescent="0.3"/>
    <row r="128" ht="14.85" customHeight="1" x14ac:dyDescent="0.3"/>
    <row r="129" ht="14.85" customHeight="1" x14ac:dyDescent="0.3"/>
    <row r="130" ht="14.85" customHeight="1" x14ac:dyDescent="0.3"/>
    <row r="131" ht="14.85" customHeight="1" x14ac:dyDescent="0.3"/>
    <row r="132" ht="14.85" customHeight="1" x14ac:dyDescent="0.3"/>
    <row r="133" ht="14.85" customHeight="1" x14ac:dyDescent="0.3"/>
    <row r="134" ht="14.85" customHeight="1" x14ac:dyDescent="0.3"/>
    <row r="135" ht="14.85" customHeight="1" x14ac:dyDescent="0.3"/>
    <row r="136" ht="14.85" customHeight="1" x14ac:dyDescent="0.3"/>
    <row r="137" ht="14.85" customHeight="1" x14ac:dyDescent="0.3"/>
    <row r="138" ht="14.85" customHeight="1" x14ac:dyDescent="0.3"/>
    <row r="139" ht="14.85" customHeight="1" x14ac:dyDescent="0.3"/>
    <row r="140" ht="14.85" customHeight="1" x14ac:dyDescent="0.3"/>
    <row r="141" ht="14.85" customHeight="1" x14ac:dyDescent="0.3"/>
    <row r="142" ht="14.85" customHeight="1" x14ac:dyDescent="0.3"/>
    <row r="143" ht="14.85" customHeight="1" x14ac:dyDescent="0.3"/>
    <row r="144" ht="14.85" customHeight="1" x14ac:dyDescent="0.3"/>
    <row r="145" ht="14.85" customHeight="1" x14ac:dyDescent="0.3"/>
    <row r="146" ht="14.85" customHeight="1" x14ac:dyDescent="0.3"/>
    <row r="147" ht="14.85" customHeight="1" x14ac:dyDescent="0.3"/>
    <row r="148" ht="14.85" customHeight="1" x14ac:dyDescent="0.3"/>
    <row r="149" ht="14.85" customHeight="1" x14ac:dyDescent="0.3"/>
    <row r="150" ht="14.85" customHeight="1" x14ac:dyDescent="0.3"/>
    <row r="151" ht="14.85" customHeight="1" x14ac:dyDescent="0.3"/>
    <row r="152" ht="14.85" customHeight="1" x14ac:dyDescent="0.3"/>
    <row r="153" ht="14.85" customHeight="1" x14ac:dyDescent="0.3"/>
    <row r="154" ht="14.85" customHeight="1" x14ac:dyDescent="0.3"/>
    <row r="155" ht="14.85" customHeight="1" x14ac:dyDescent="0.3"/>
    <row r="156" ht="14.85" customHeight="1" x14ac:dyDescent="0.3"/>
    <row r="157" ht="14.85" customHeight="1" x14ac:dyDescent="0.3"/>
    <row r="158" ht="14.85" customHeight="1" x14ac:dyDescent="0.3"/>
    <row r="159" ht="14.85" customHeight="1" x14ac:dyDescent="0.3"/>
    <row r="160" ht="14.85" customHeight="1" x14ac:dyDescent="0.3"/>
    <row r="161" ht="14.85" customHeight="1" x14ac:dyDescent="0.3"/>
    <row r="162" ht="14.85" customHeight="1" x14ac:dyDescent="0.3"/>
    <row r="163" ht="14.85" customHeight="1" x14ac:dyDescent="0.3"/>
    <row r="164" ht="14.85" customHeight="1" x14ac:dyDescent="0.3"/>
    <row r="165" ht="14.85" customHeight="1" x14ac:dyDescent="0.3"/>
    <row r="166" ht="14.85" customHeight="1" x14ac:dyDescent="0.3"/>
    <row r="167" ht="14.85" customHeight="1" x14ac:dyDescent="0.3"/>
    <row r="168" ht="14.85" customHeight="1" x14ac:dyDescent="0.3"/>
    <row r="169" ht="14.85" customHeight="1" x14ac:dyDescent="0.3"/>
    <row r="170" ht="14.85" customHeight="1" x14ac:dyDescent="0.3"/>
    <row r="171" ht="14.85" customHeight="1" x14ac:dyDescent="0.3"/>
    <row r="172" ht="14.85" customHeight="1" x14ac:dyDescent="0.3"/>
    <row r="173" ht="14.85" customHeight="1" x14ac:dyDescent="0.3"/>
    <row r="174" ht="14.85" customHeight="1" x14ac:dyDescent="0.3"/>
    <row r="175" ht="14.85" customHeight="1" x14ac:dyDescent="0.3"/>
    <row r="176" ht="14.85" customHeight="1" x14ac:dyDescent="0.3"/>
    <row r="177" ht="14.85" customHeight="1" x14ac:dyDescent="0.3"/>
    <row r="178" ht="14.85" customHeight="1" x14ac:dyDescent="0.3"/>
    <row r="179" ht="14.85" customHeight="1" x14ac:dyDescent="0.3"/>
    <row r="180" ht="14.85" customHeight="1" x14ac:dyDescent="0.3"/>
    <row r="181" ht="14.85" customHeight="1" x14ac:dyDescent="0.3"/>
    <row r="182" ht="14.85" customHeight="1" x14ac:dyDescent="0.3"/>
    <row r="183" ht="14.85" customHeight="1" x14ac:dyDescent="0.3"/>
    <row r="184" ht="14.85" customHeight="1" x14ac:dyDescent="0.3"/>
    <row r="185" ht="14.85" customHeight="1" x14ac:dyDescent="0.3"/>
    <row r="186" ht="14.85" customHeight="1" x14ac:dyDescent="0.3"/>
    <row r="187" ht="14.85" customHeight="1" x14ac:dyDescent="0.3"/>
    <row r="188" ht="14.85" customHeight="1" x14ac:dyDescent="0.3"/>
    <row r="189" ht="14.85" customHeight="1" x14ac:dyDescent="0.3"/>
    <row r="190" ht="14.85" customHeight="1" x14ac:dyDescent="0.3"/>
    <row r="191" ht="14.85" customHeight="1" x14ac:dyDescent="0.3"/>
    <row r="192" ht="14.85" customHeight="1" x14ac:dyDescent="0.3"/>
    <row r="193" ht="14.85" customHeight="1" x14ac:dyDescent="0.3"/>
    <row r="194" ht="14.85" customHeight="1" x14ac:dyDescent="0.3"/>
    <row r="195" ht="14.85" customHeight="1" x14ac:dyDescent="0.3"/>
    <row r="196" ht="14.85" customHeight="1" x14ac:dyDescent="0.3"/>
    <row r="197" ht="14.85" customHeight="1" x14ac:dyDescent="0.3"/>
    <row r="198" ht="14.85" customHeight="1" x14ac:dyDescent="0.3"/>
    <row r="199" ht="14.85" customHeight="1" x14ac:dyDescent="0.3"/>
    <row r="200" ht="14.85" customHeight="1" x14ac:dyDescent="0.3"/>
    <row r="201" ht="14.85" customHeight="1" x14ac:dyDescent="0.3"/>
    <row r="202" ht="14.85" customHeight="1" x14ac:dyDescent="0.3"/>
    <row r="203" ht="14.85" customHeight="1" x14ac:dyDescent="0.3"/>
    <row r="204" ht="14.85" customHeight="1" x14ac:dyDescent="0.3"/>
    <row r="205" ht="14.85" customHeight="1" x14ac:dyDescent="0.3"/>
    <row r="206" ht="14.85" customHeight="1" x14ac:dyDescent="0.3"/>
    <row r="207" ht="14.85" customHeight="1" x14ac:dyDescent="0.3"/>
    <row r="208" ht="14.85" customHeight="1" x14ac:dyDescent="0.3"/>
    <row r="209" ht="14.85" customHeight="1" x14ac:dyDescent="0.3"/>
    <row r="210" ht="14.85" customHeight="1" x14ac:dyDescent="0.3"/>
    <row r="211" ht="14.85" customHeight="1" x14ac:dyDescent="0.3"/>
    <row r="212" ht="14.85" customHeight="1" x14ac:dyDescent="0.3"/>
    <row r="213" ht="14.85" customHeight="1" x14ac:dyDescent="0.3"/>
    <row r="214" ht="14.85" customHeight="1" x14ac:dyDescent="0.3"/>
    <row r="215" ht="14.85" customHeight="1" x14ac:dyDescent="0.3"/>
    <row r="216" ht="14.85" customHeight="1" x14ac:dyDescent="0.3"/>
    <row r="217" ht="14.85" customHeight="1" x14ac:dyDescent="0.3"/>
    <row r="218" ht="14.85" customHeight="1" x14ac:dyDescent="0.3"/>
    <row r="219" ht="14.85" customHeight="1" x14ac:dyDescent="0.3"/>
    <row r="220" ht="14.85" customHeight="1" x14ac:dyDescent="0.3"/>
    <row r="221" ht="14.85" customHeight="1" x14ac:dyDescent="0.3"/>
    <row r="222" ht="14.85" customHeight="1" x14ac:dyDescent="0.3"/>
    <row r="223" ht="14.85" customHeight="1" x14ac:dyDescent="0.3"/>
    <row r="224" ht="14.85" customHeight="1" x14ac:dyDescent="0.3"/>
    <row r="225" ht="14.85" customHeight="1" x14ac:dyDescent="0.3"/>
    <row r="226" ht="14.85" customHeight="1" x14ac:dyDescent="0.3"/>
    <row r="227" ht="14.85" customHeight="1" x14ac:dyDescent="0.3"/>
    <row r="228" ht="14.85" customHeight="1" x14ac:dyDescent="0.3"/>
    <row r="229" ht="14.85" customHeight="1" x14ac:dyDescent="0.3"/>
    <row r="230" ht="14.85" customHeight="1" x14ac:dyDescent="0.3"/>
    <row r="231" ht="14.85" customHeight="1" x14ac:dyDescent="0.3"/>
    <row r="232" ht="14.85" customHeight="1" x14ac:dyDescent="0.3"/>
    <row r="233" ht="14.85" customHeight="1" x14ac:dyDescent="0.3"/>
    <row r="234" ht="14.85" customHeight="1" x14ac:dyDescent="0.3"/>
    <row r="235" ht="14.85" customHeight="1" x14ac:dyDescent="0.3"/>
    <row r="236" ht="14.85" customHeight="1" x14ac:dyDescent="0.3"/>
    <row r="237" ht="14.85" customHeight="1" x14ac:dyDescent="0.3"/>
    <row r="238" ht="14.85" customHeight="1" x14ac:dyDescent="0.3"/>
    <row r="239" ht="14.85" customHeight="1" x14ac:dyDescent="0.3"/>
    <row r="240" ht="14.85" customHeight="1" x14ac:dyDescent="0.3"/>
    <row r="241" ht="14.85" customHeight="1" x14ac:dyDescent="0.3"/>
    <row r="242" ht="14.85" customHeight="1" x14ac:dyDescent="0.3"/>
    <row r="243" ht="14.85" customHeight="1" x14ac:dyDescent="0.3"/>
    <row r="244" ht="14.85" customHeight="1" x14ac:dyDescent="0.3"/>
    <row r="245" ht="14.85" customHeight="1" x14ac:dyDescent="0.3"/>
    <row r="246" ht="14.85" customHeight="1" x14ac:dyDescent="0.3"/>
    <row r="247" ht="14.85" customHeight="1" x14ac:dyDescent="0.3"/>
    <row r="248" ht="14.85" customHeight="1" x14ac:dyDescent="0.3"/>
    <row r="249" ht="14.85" customHeight="1" x14ac:dyDescent="0.3"/>
    <row r="250" ht="14.85" customHeight="1" x14ac:dyDescent="0.3"/>
    <row r="251" ht="14.85" customHeight="1" x14ac:dyDescent="0.3"/>
    <row r="252" ht="14.85" customHeight="1" x14ac:dyDescent="0.3"/>
    <row r="253" ht="14.85" customHeight="1" x14ac:dyDescent="0.3"/>
    <row r="254" ht="14.85" customHeight="1" x14ac:dyDescent="0.3"/>
    <row r="255" ht="14.85" customHeight="1" x14ac:dyDescent="0.3"/>
    <row r="256" ht="14.85" customHeight="1" x14ac:dyDescent="0.3"/>
    <row r="257" ht="14.85" customHeight="1" x14ac:dyDescent="0.3"/>
    <row r="258" ht="14.85" customHeight="1" x14ac:dyDescent="0.3"/>
    <row r="259" ht="14.85" customHeight="1" x14ac:dyDescent="0.3"/>
    <row r="260" ht="14.85" customHeight="1" x14ac:dyDescent="0.3"/>
    <row r="261" ht="14.85" customHeight="1" x14ac:dyDescent="0.3"/>
    <row r="262" ht="14.85" customHeight="1" x14ac:dyDescent="0.3"/>
    <row r="263" ht="14.85" customHeight="1" x14ac:dyDescent="0.3"/>
    <row r="264" ht="14.85" customHeight="1" x14ac:dyDescent="0.3"/>
    <row r="265" ht="14.85" customHeight="1" x14ac:dyDescent="0.3"/>
    <row r="266" ht="14.85" customHeight="1" x14ac:dyDescent="0.3"/>
    <row r="267" ht="14.85" customHeight="1" x14ac:dyDescent="0.3"/>
    <row r="268" ht="14.85" customHeight="1" x14ac:dyDescent="0.3"/>
    <row r="269" ht="14.85" customHeight="1" x14ac:dyDescent="0.3"/>
    <row r="270" ht="14.85" customHeight="1" x14ac:dyDescent="0.3"/>
    <row r="271" ht="14.85" customHeight="1" x14ac:dyDescent="0.3"/>
    <row r="272" ht="14.85" customHeight="1" x14ac:dyDescent="0.3"/>
    <row r="273" ht="14.85" customHeight="1" x14ac:dyDescent="0.3"/>
    <row r="274" ht="14.85" customHeight="1" x14ac:dyDescent="0.3"/>
    <row r="275" ht="14.85" customHeight="1" x14ac:dyDescent="0.3"/>
    <row r="276" ht="14.85" customHeight="1" x14ac:dyDescent="0.3"/>
    <row r="277" ht="14.85" customHeight="1" x14ac:dyDescent="0.3"/>
    <row r="278" ht="14.85" customHeight="1" x14ac:dyDescent="0.3"/>
    <row r="279" ht="14.85" customHeight="1" x14ac:dyDescent="0.3"/>
    <row r="280" ht="14.85" customHeight="1" x14ac:dyDescent="0.3"/>
    <row r="281" ht="14.85" customHeight="1" x14ac:dyDescent="0.3"/>
    <row r="282" ht="14.85" customHeight="1" x14ac:dyDescent="0.3"/>
    <row r="283" ht="14.85" customHeight="1" x14ac:dyDescent="0.3"/>
    <row r="284" ht="14.85" customHeight="1" x14ac:dyDescent="0.3"/>
    <row r="285" ht="14.85" customHeight="1" x14ac:dyDescent="0.3"/>
    <row r="286" ht="14.85" customHeight="1" x14ac:dyDescent="0.3"/>
    <row r="287" ht="14.85" customHeight="1" x14ac:dyDescent="0.3"/>
    <row r="288" ht="14.85" customHeight="1" x14ac:dyDescent="0.3"/>
    <row r="289" ht="14.85" customHeight="1" x14ac:dyDescent="0.3"/>
    <row r="290" ht="14.85" customHeight="1" x14ac:dyDescent="0.3"/>
    <row r="291" ht="14.85" customHeight="1" x14ac:dyDescent="0.3"/>
    <row r="292" ht="14.85" customHeight="1" x14ac:dyDescent="0.3"/>
    <row r="293" ht="14.85" customHeight="1" x14ac:dyDescent="0.3"/>
    <row r="294" ht="14.85" customHeight="1" x14ac:dyDescent="0.3"/>
    <row r="295" ht="14.85" customHeight="1" x14ac:dyDescent="0.3"/>
    <row r="296" ht="14.85" customHeight="1" x14ac:dyDescent="0.3"/>
    <row r="297" ht="14.85" customHeight="1" x14ac:dyDescent="0.3"/>
    <row r="298" ht="14.85" customHeight="1" x14ac:dyDescent="0.3"/>
    <row r="299" ht="14.85" customHeight="1" x14ac:dyDescent="0.3"/>
    <row r="300" ht="14.85" customHeight="1" x14ac:dyDescent="0.3"/>
    <row r="301" ht="14.85" customHeight="1" x14ac:dyDescent="0.3"/>
    <row r="302" ht="14.85" customHeight="1" x14ac:dyDescent="0.3"/>
    <row r="303" ht="14.85" customHeight="1" x14ac:dyDescent="0.3"/>
    <row r="304" ht="14.85" customHeight="1" x14ac:dyDescent="0.3"/>
    <row r="305" ht="14.85" customHeight="1" x14ac:dyDescent="0.3"/>
    <row r="306" ht="14.85" customHeight="1" x14ac:dyDescent="0.3"/>
    <row r="307" ht="14.85" customHeight="1" x14ac:dyDescent="0.3"/>
    <row r="308" ht="14.85" customHeight="1" x14ac:dyDescent="0.3"/>
    <row r="309" ht="14.85" customHeight="1" x14ac:dyDescent="0.3"/>
    <row r="310" ht="14.85" customHeight="1" x14ac:dyDescent="0.3"/>
    <row r="311" ht="14.85" customHeight="1" x14ac:dyDescent="0.3"/>
    <row r="312" ht="14.85" customHeight="1" x14ac:dyDescent="0.3"/>
    <row r="313" ht="14.85" customHeight="1" x14ac:dyDescent="0.3"/>
    <row r="314" ht="14.85" customHeight="1" x14ac:dyDescent="0.3"/>
    <row r="315" ht="14.85" customHeight="1" x14ac:dyDescent="0.3"/>
    <row r="316" ht="14.85" customHeight="1" x14ac:dyDescent="0.3"/>
    <row r="317" ht="14.85" customHeight="1" x14ac:dyDescent="0.3"/>
    <row r="318" ht="14.85" customHeight="1" x14ac:dyDescent="0.3"/>
    <row r="319" ht="14.85" customHeight="1" x14ac:dyDescent="0.3"/>
    <row r="320" ht="14.85" customHeight="1" x14ac:dyDescent="0.3"/>
    <row r="321" ht="14.85" customHeight="1" x14ac:dyDescent="0.3"/>
    <row r="322" ht="14.85" customHeight="1" x14ac:dyDescent="0.3"/>
    <row r="323" ht="14.85" customHeight="1" x14ac:dyDescent="0.3"/>
    <row r="324" ht="14.85" customHeight="1" x14ac:dyDescent="0.3"/>
    <row r="325" ht="14.85" customHeight="1" x14ac:dyDescent="0.3"/>
    <row r="326" ht="14.85" customHeight="1" x14ac:dyDescent="0.3"/>
    <row r="327" ht="14.85" customHeight="1" x14ac:dyDescent="0.3"/>
    <row r="328" ht="14.85" customHeight="1" x14ac:dyDescent="0.3"/>
    <row r="329" ht="14.85" customHeight="1" x14ac:dyDescent="0.3"/>
    <row r="330" ht="14.85" customHeight="1" x14ac:dyDescent="0.3"/>
    <row r="331" ht="14.85" customHeight="1" x14ac:dyDescent="0.3"/>
    <row r="332" ht="14.85" customHeight="1" x14ac:dyDescent="0.3"/>
    <row r="333" ht="14.85" customHeight="1" x14ac:dyDescent="0.3"/>
    <row r="334" ht="14.85" customHeight="1" x14ac:dyDescent="0.3"/>
    <row r="335" ht="14.85" customHeight="1" x14ac:dyDescent="0.3"/>
    <row r="336" ht="14.85" customHeight="1" x14ac:dyDescent="0.3"/>
    <row r="337" ht="14.85" customHeight="1" x14ac:dyDescent="0.3"/>
    <row r="338" ht="14.85" customHeight="1" x14ac:dyDescent="0.3"/>
    <row r="339" ht="14.85" customHeight="1" x14ac:dyDescent="0.3"/>
    <row r="340" ht="14.85" customHeight="1" x14ac:dyDescent="0.3"/>
    <row r="341" ht="14.85" customHeight="1" x14ac:dyDescent="0.3"/>
    <row r="342" ht="14.85" customHeight="1" x14ac:dyDescent="0.3"/>
    <row r="343" ht="14.85" customHeight="1" x14ac:dyDescent="0.3"/>
    <row r="344" ht="14.85" customHeight="1" x14ac:dyDescent="0.3"/>
    <row r="345" ht="14.85" customHeight="1" x14ac:dyDescent="0.3"/>
    <row r="346" ht="14.85" customHeight="1" x14ac:dyDescent="0.3"/>
    <row r="347" ht="14.85" customHeight="1" x14ac:dyDescent="0.3"/>
    <row r="348" ht="14.85" customHeight="1" x14ac:dyDescent="0.3"/>
    <row r="349" ht="14.85" customHeight="1" x14ac:dyDescent="0.3"/>
    <row r="350" ht="14.85" customHeight="1" x14ac:dyDescent="0.3"/>
    <row r="351" ht="14.85" customHeight="1" x14ac:dyDescent="0.3"/>
    <row r="352" ht="14.85" customHeight="1" x14ac:dyDescent="0.3"/>
    <row r="353" ht="14.85" customHeight="1" x14ac:dyDescent="0.3"/>
    <row r="354" ht="14.85" customHeight="1" x14ac:dyDescent="0.3"/>
    <row r="355" ht="14.85" customHeight="1" x14ac:dyDescent="0.3"/>
    <row r="356" ht="14.85" customHeight="1" x14ac:dyDescent="0.3"/>
    <row r="357" ht="14.85" customHeight="1" x14ac:dyDescent="0.3"/>
    <row r="358" ht="14.85" customHeight="1" x14ac:dyDescent="0.3"/>
    <row r="359" ht="14.85" customHeight="1" x14ac:dyDescent="0.3"/>
    <row r="360" ht="14.85" customHeight="1" x14ac:dyDescent="0.3"/>
    <row r="361" ht="14.85" customHeight="1" x14ac:dyDescent="0.3"/>
    <row r="362" ht="14.85" customHeight="1" x14ac:dyDescent="0.3"/>
    <row r="363" ht="14.85" customHeight="1" x14ac:dyDescent="0.3"/>
    <row r="364" ht="14.85" customHeight="1" x14ac:dyDescent="0.3"/>
    <row r="365" ht="14.85" customHeight="1" x14ac:dyDescent="0.3"/>
    <row r="366" ht="14.85" customHeight="1" x14ac:dyDescent="0.3"/>
    <row r="367" ht="14.85" customHeight="1" x14ac:dyDescent="0.3"/>
    <row r="368" ht="14.85" customHeight="1" x14ac:dyDescent="0.3"/>
    <row r="369" ht="14.85" customHeight="1" x14ac:dyDescent="0.3"/>
    <row r="370" ht="14.85" customHeight="1" x14ac:dyDescent="0.3"/>
    <row r="371" ht="14.85" customHeight="1" x14ac:dyDescent="0.3"/>
    <row r="372" ht="14.85" customHeight="1" x14ac:dyDescent="0.3"/>
    <row r="373" ht="14.85" customHeight="1" x14ac:dyDescent="0.3"/>
    <row r="374" ht="14.85" customHeight="1" x14ac:dyDescent="0.3"/>
    <row r="375" ht="14.85" customHeight="1" x14ac:dyDescent="0.3"/>
    <row r="376" ht="14.85" customHeight="1" x14ac:dyDescent="0.3"/>
    <row r="377" ht="14.85" customHeight="1" x14ac:dyDescent="0.3"/>
    <row r="378" ht="14.85" customHeight="1" x14ac:dyDescent="0.3"/>
    <row r="379" ht="14.85" customHeight="1" x14ac:dyDescent="0.3"/>
    <row r="380" ht="14.85" customHeight="1" x14ac:dyDescent="0.3"/>
    <row r="381" ht="14.85" customHeight="1" x14ac:dyDescent="0.3"/>
    <row r="382" ht="14.85" customHeight="1" x14ac:dyDescent="0.3"/>
    <row r="383" ht="14.85" customHeight="1" x14ac:dyDescent="0.3"/>
    <row r="384" ht="14.85" customHeight="1" x14ac:dyDescent="0.3"/>
    <row r="385" ht="14.85" customHeight="1" x14ac:dyDescent="0.3"/>
    <row r="386" ht="14.85" customHeight="1" x14ac:dyDescent="0.3"/>
    <row r="387" ht="14.85" customHeight="1" x14ac:dyDescent="0.3"/>
    <row r="388" ht="14.85" customHeight="1" x14ac:dyDescent="0.3"/>
    <row r="389" ht="14.85" customHeight="1" x14ac:dyDescent="0.3"/>
    <row r="390" ht="14.85" customHeight="1" x14ac:dyDescent="0.3"/>
    <row r="391" ht="14.85" customHeight="1" x14ac:dyDescent="0.3"/>
    <row r="392" ht="14.85" customHeight="1" x14ac:dyDescent="0.3"/>
    <row r="393" ht="14.85" customHeight="1" x14ac:dyDescent="0.3"/>
    <row r="394" ht="14.85" customHeight="1" x14ac:dyDescent="0.3"/>
    <row r="395" ht="14.85" customHeight="1" x14ac:dyDescent="0.3"/>
    <row r="396" ht="14.85" customHeight="1" x14ac:dyDescent="0.3"/>
    <row r="397" ht="14.85" customHeight="1" x14ac:dyDescent="0.3"/>
    <row r="398" ht="14.85" customHeight="1" x14ac:dyDescent="0.3"/>
    <row r="399" ht="14.85" customHeight="1" x14ac:dyDescent="0.3"/>
    <row r="400" ht="14.85" customHeight="1" x14ac:dyDescent="0.3"/>
    <row r="401" ht="14.85" customHeight="1" x14ac:dyDescent="0.3"/>
    <row r="402" ht="14.85" customHeight="1" x14ac:dyDescent="0.3"/>
    <row r="403" ht="14.85" customHeight="1" x14ac:dyDescent="0.3"/>
    <row r="404" ht="14.85" customHeight="1" x14ac:dyDescent="0.3"/>
    <row r="405" ht="14.85" customHeight="1" x14ac:dyDescent="0.3"/>
    <row r="406" ht="14.85" customHeight="1" x14ac:dyDescent="0.3"/>
    <row r="407" ht="14.85" customHeight="1" x14ac:dyDescent="0.3"/>
    <row r="408" ht="14.85" customHeight="1" x14ac:dyDescent="0.3"/>
    <row r="409" ht="14.85" customHeight="1" x14ac:dyDescent="0.3"/>
    <row r="410" ht="14.85" customHeight="1" x14ac:dyDescent="0.3"/>
    <row r="411" ht="14.85" customHeight="1" x14ac:dyDescent="0.3"/>
    <row r="412" ht="14.85" customHeight="1" x14ac:dyDescent="0.3"/>
    <row r="413" ht="14.85" customHeight="1" x14ac:dyDescent="0.3"/>
    <row r="414" ht="14.85" customHeight="1" x14ac:dyDescent="0.3"/>
    <row r="415" ht="14.85" customHeight="1" x14ac:dyDescent="0.3"/>
    <row r="416" ht="14.85" customHeight="1" x14ac:dyDescent="0.3"/>
    <row r="417" ht="14.85" customHeight="1" x14ac:dyDescent="0.3"/>
    <row r="418" ht="14.85" customHeight="1" x14ac:dyDescent="0.3"/>
    <row r="419" ht="14.85" customHeight="1" x14ac:dyDescent="0.3"/>
    <row r="420" ht="14.85" customHeight="1" x14ac:dyDescent="0.3"/>
    <row r="421" ht="14.85" customHeight="1" x14ac:dyDescent="0.3"/>
    <row r="422" ht="14.85" customHeight="1" x14ac:dyDescent="0.3"/>
    <row r="423" ht="14.85" customHeight="1" x14ac:dyDescent="0.3"/>
    <row r="424" ht="14.85" customHeight="1" x14ac:dyDescent="0.3"/>
    <row r="425" ht="14.85" customHeight="1" x14ac:dyDescent="0.3"/>
    <row r="426" ht="14.85" customHeight="1" x14ac:dyDescent="0.3"/>
    <row r="427" ht="14.85" customHeight="1" x14ac:dyDescent="0.3"/>
    <row r="428" ht="14.85" customHeight="1" x14ac:dyDescent="0.3"/>
    <row r="429" ht="14.85" customHeight="1" x14ac:dyDescent="0.3"/>
    <row r="430" ht="14.85" customHeight="1" x14ac:dyDescent="0.3"/>
    <row r="431" ht="14.85" customHeight="1" x14ac:dyDescent="0.3"/>
    <row r="432" ht="14.85" customHeight="1" x14ac:dyDescent="0.3"/>
    <row r="433" ht="14.85" customHeight="1" x14ac:dyDescent="0.3"/>
    <row r="434" ht="14.85" customHeight="1" x14ac:dyDescent="0.3"/>
    <row r="435" ht="14.85" customHeight="1" x14ac:dyDescent="0.3"/>
    <row r="436" ht="14.85" customHeight="1" x14ac:dyDescent="0.3"/>
    <row r="437" ht="14.85" customHeight="1" x14ac:dyDescent="0.3"/>
    <row r="438" ht="14.85" customHeight="1" x14ac:dyDescent="0.3"/>
    <row r="439" ht="14.85" customHeight="1" x14ac:dyDescent="0.3"/>
    <row r="440" ht="14.85" customHeight="1" x14ac:dyDescent="0.3"/>
    <row r="441" ht="14.85" customHeight="1" x14ac:dyDescent="0.3"/>
    <row r="442" ht="14.85" customHeight="1" x14ac:dyDescent="0.3"/>
    <row r="443" ht="14.85" customHeight="1" x14ac:dyDescent="0.3"/>
    <row r="444" ht="14.85" customHeight="1" x14ac:dyDescent="0.3"/>
    <row r="445" ht="14.85" customHeight="1" x14ac:dyDescent="0.3"/>
    <row r="446" ht="14.85" customHeight="1" x14ac:dyDescent="0.3"/>
    <row r="447" ht="14.85" customHeight="1" x14ac:dyDescent="0.3"/>
    <row r="448" ht="14.85" customHeight="1" x14ac:dyDescent="0.3"/>
    <row r="449" ht="14.85" customHeight="1" x14ac:dyDescent="0.3"/>
    <row r="450" ht="14.85" customHeight="1" x14ac:dyDescent="0.3"/>
    <row r="451" ht="14.85" customHeight="1" x14ac:dyDescent="0.3"/>
    <row r="452" ht="14.85" customHeight="1" x14ac:dyDescent="0.3"/>
    <row r="453" ht="14.85" customHeight="1" x14ac:dyDescent="0.3"/>
    <row r="454" ht="14.85" customHeight="1" x14ac:dyDescent="0.3"/>
    <row r="455" ht="14.85" customHeight="1" x14ac:dyDescent="0.3"/>
    <row r="456" ht="14.85" customHeight="1" x14ac:dyDescent="0.3"/>
    <row r="457" ht="14.85" customHeight="1" x14ac:dyDescent="0.3"/>
    <row r="458" ht="14.85" customHeight="1" x14ac:dyDescent="0.3"/>
    <row r="459" ht="14.85" customHeight="1" x14ac:dyDescent="0.3"/>
    <row r="460" ht="14.85" customHeight="1" x14ac:dyDescent="0.3"/>
    <row r="461" ht="14.85" customHeight="1" x14ac:dyDescent="0.3"/>
    <row r="462" ht="14.85" customHeight="1" x14ac:dyDescent="0.3"/>
    <row r="463" ht="14.85" customHeight="1" x14ac:dyDescent="0.3"/>
    <row r="464" ht="14.85" customHeight="1" x14ac:dyDescent="0.3"/>
    <row r="465" ht="14.85" customHeight="1" x14ac:dyDescent="0.3"/>
    <row r="466" ht="14.85" customHeight="1" x14ac:dyDescent="0.3"/>
    <row r="467" ht="14.85" customHeight="1" x14ac:dyDescent="0.3"/>
    <row r="468" ht="14.85" customHeight="1" x14ac:dyDescent="0.3"/>
    <row r="469" ht="14.85" customHeight="1" x14ac:dyDescent="0.3"/>
    <row r="470" ht="14.85" customHeight="1" x14ac:dyDescent="0.3"/>
    <row r="471" ht="14.85" customHeight="1" x14ac:dyDescent="0.3"/>
    <row r="472" ht="14.85" customHeight="1" x14ac:dyDescent="0.3"/>
    <row r="473" ht="14.85" customHeight="1" x14ac:dyDescent="0.3"/>
    <row r="474" ht="14.85" customHeight="1" x14ac:dyDescent="0.3"/>
    <row r="475" ht="14.85" customHeight="1" x14ac:dyDescent="0.3"/>
    <row r="476" ht="14.85" customHeight="1" x14ac:dyDescent="0.3"/>
    <row r="477" ht="14.85" customHeight="1" x14ac:dyDescent="0.3"/>
    <row r="478" ht="14.85" customHeight="1" x14ac:dyDescent="0.3"/>
    <row r="479" ht="14.85" customHeight="1" x14ac:dyDescent="0.3"/>
    <row r="480" ht="14.85" customHeight="1" x14ac:dyDescent="0.3"/>
    <row r="481" ht="14.85" customHeight="1" x14ac:dyDescent="0.3"/>
    <row r="482" ht="14.85" customHeight="1" x14ac:dyDescent="0.3"/>
    <row r="483" ht="14.85" customHeight="1" x14ac:dyDescent="0.3"/>
    <row r="484" ht="14.85" customHeight="1" x14ac:dyDescent="0.3"/>
    <row r="485" ht="14.85" customHeight="1" x14ac:dyDescent="0.3"/>
    <row r="486" ht="14.85" customHeight="1" x14ac:dyDescent="0.3"/>
    <row r="487" ht="14.85" customHeight="1" x14ac:dyDescent="0.3"/>
    <row r="488" ht="14.85" customHeight="1" x14ac:dyDescent="0.3"/>
    <row r="489" ht="14.85" customHeight="1" x14ac:dyDescent="0.3"/>
    <row r="490" ht="14.85" customHeight="1" x14ac:dyDescent="0.3"/>
    <row r="491" ht="14.85" customHeight="1" x14ac:dyDescent="0.3"/>
    <row r="492" ht="14.85" customHeight="1" x14ac:dyDescent="0.3"/>
    <row r="493" ht="14.85" customHeight="1" x14ac:dyDescent="0.3"/>
    <row r="494" ht="14.85" customHeight="1" x14ac:dyDescent="0.3"/>
    <row r="495" ht="14.85" customHeight="1" x14ac:dyDescent="0.3"/>
    <row r="496" ht="14.85" customHeight="1" x14ac:dyDescent="0.3"/>
    <row r="497" ht="14.85" customHeight="1" x14ac:dyDescent="0.3"/>
    <row r="498" ht="14.85" customHeight="1" x14ac:dyDescent="0.3"/>
    <row r="499" ht="14.85" customHeight="1" x14ac:dyDescent="0.3"/>
    <row r="500" ht="14.85" customHeight="1" x14ac:dyDescent="0.3"/>
    <row r="501" ht="14.85" customHeight="1" x14ac:dyDescent="0.3"/>
    <row r="502" ht="14.85" customHeight="1" x14ac:dyDescent="0.3"/>
    <row r="503" ht="14.85" customHeight="1" x14ac:dyDescent="0.3"/>
    <row r="504" ht="14.85" customHeight="1" x14ac:dyDescent="0.3"/>
    <row r="505" ht="14.85" customHeight="1" x14ac:dyDescent="0.3"/>
    <row r="506" ht="14.85" customHeight="1" x14ac:dyDescent="0.3"/>
    <row r="507" ht="14.85" customHeight="1" x14ac:dyDescent="0.3"/>
    <row r="508" ht="14.85" customHeight="1" x14ac:dyDescent="0.3"/>
    <row r="509" ht="14.85" customHeight="1" x14ac:dyDescent="0.3"/>
    <row r="510" ht="14.85" customHeight="1" x14ac:dyDescent="0.3"/>
    <row r="511" ht="14.85" customHeight="1" x14ac:dyDescent="0.3"/>
    <row r="512" ht="14.85" customHeight="1" x14ac:dyDescent="0.3"/>
    <row r="513" ht="14.85" customHeight="1" x14ac:dyDescent="0.3"/>
    <row r="514" ht="14.85" customHeight="1" x14ac:dyDescent="0.3"/>
    <row r="515" ht="14.85" customHeight="1" x14ac:dyDescent="0.3"/>
    <row r="516" ht="14.85" customHeight="1" x14ac:dyDescent="0.3"/>
    <row r="517" ht="14.85" customHeight="1" x14ac:dyDescent="0.3"/>
    <row r="518" ht="14.85" customHeight="1" x14ac:dyDescent="0.3"/>
    <row r="519" ht="14.85" customHeight="1" x14ac:dyDescent="0.3"/>
    <row r="520" ht="14.85" customHeight="1" x14ac:dyDescent="0.3"/>
    <row r="521" ht="14.85" customHeight="1" x14ac:dyDescent="0.3"/>
    <row r="522" ht="14.85" customHeight="1" x14ac:dyDescent="0.3"/>
    <row r="523" ht="14.85" customHeight="1" x14ac:dyDescent="0.3"/>
    <row r="524" ht="14.85" customHeight="1" x14ac:dyDescent="0.3"/>
    <row r="525" ht="14.85" customHeight="1" x14ac:dyDescent="0.3"/>
    <row r="526" ht="14.85" customHeight="1" x14ac:dyDescent="0.3"/>
    <row r="527" ht="14.85" customHeight="1" x14ac:dyDescent="0.3"/>
    <row r="528" ht="14.85" customHeight="1" x14ac:dyDescent="0.3"/>
    <row r="529" ht="14.85" customHeight="1" x14ac:dyDescent="0.3"/>
    <row r="530" ht="14.85" customHeight="1" x14ac:dyDescent="0.3"/>
    <row r="531" ht="14.85" customHeight="1" x14ac:dyDescent="0.3"/>
    <row r="532" ht="14.85" customHeight="1" x14ac:dyDescent="0.3"/>
    <row r="533" ht="14.85" customHeight="1" x14ac:dyDescent="0.3"/>
    <row r="534" ht="14.85" customHeight="1" x14ac:dyDescent="0.3"/>
    <row r="535" ht="14.85" customHeight="1" x14ac:dyDescent="0.3"/>
    <row r="536" ht="14.85" customHeight="1" x14ac:dyDescent="0.3"/>
    <row r="537" ht="14.85" customHeight="1" x14ac:dyDescent="0.3"/>
    <row r="538" ht="14.85" customHeight="1" x14ac:dyDescent="0.3"/>
    <row r="539" ht="14.85" customHeight="1" x14ac:dyDescent="0.3"/>
    <row r="540" ht="14.85" customHeight="1" x14ac:dyDescent="0.3"/>
    <row r="541" ht="14.85" customHeight="1" x14ac:dyDescent="0.3"/>
    <row r="542" ht="14.85" customHeight="1" x14ac:dyDescent="0.3"/>
    <row r="543" ht="14.85" customHeight="1" x14ac:dyDescent="0.3"/>
    <row r="544" ht="14.85" customHeight="1" x14ac:dyDescent="0.3"/>
    <row r="545" ht="14.85" customHeight="1" x14ac:dyDescent="0.3"/>
    <row r="546" ht="14.85" customHeight="1" x14ac:dyDescent="0.3"/>
    <row r="547" ht="14.85" customHeight="1" x14ac:dyDescent="0.3"/>
    <row r="548" ht="14.85" customHeight="1" x14ac:dyDescent="0.3"/>
    <row r="549" ht="14.85" customHeight="1" x14ac:dyDescent="0.3"/>
    <row r="550" ht="14.85" customHeight="1" x14ac:dyDescent="0.3"/>
    <row r="551" ht="14.85" customHeight="1" x14ac:dyDescent="0.3"/>
    <row r="552" ht="14.85" customHeight="1" x14ac:dyDescent="0.3"/>
    <row r="553" ht="14.85" customHeight="1" x14ac:dyDescent="0.3"/>
    <row r="554" ht="14.85" customHeight="1" x14ac:dyDescent="0.3"/>
    <row r="555" ht="14.85" customHeight="1" x14ac:dyDescent="0.3"/>
    <row r="556" ht="14.85" customHeight="1" x14ac:dyDescent="0.3"/>
    <row r="557" ht="14.85" customHeight="1" x14ac:dyDescent="0.3"/>
    <row r="558" ht="14.85" customHeight="1" x14ac:dyDescent="0.3"/>
    <row r="559" ht="14.85" customHeight="1" x14ac:dyDescent="0.3"/>
    <row r="560" ht="14.85" customHeight="1" x14ac:dyDescent="0.3"/>
    <row r="561" ht="14.85" customHeight="1" x14ac:dyDescent="0.3"/>
    <row r="562" ht="14.85" customHeight="1" x14ac:dyDescent="0.3"/>
    <row r="563" ht="14.85" customHeight="1" x14ac:dyDescent="0.3"/>
    <row r="564" ht="14.85" customHeight="1" x14ac:dyDescent="0.3"/>
    <row r="565" ht="14.85" customHeight="1" x14ac:dyDescent="0.3"/>
    <row r="566" ht="14.85" customHeight="1" x14ac:dyDescent="0.3"/>
    <row r="567" ht="14.85" customHeight="1" x14ac:dyDescent="0.3"/>
    <row r="568" ht="14.85" customHeight="1" x14ac:dyDescent="0.3"/>
    <row r="569" ht="14.85" customHeight="1" x14ac:dyDescent="0.3"/>
    <row r="570" ht="14.85" customHeight="1" x14ac:dyDescent="0.3"/>
    <row r="571" ht="14.85" customHeight="1" x14ac:dyDescent="0.3"/>
    <row r="572" ht="14.85" customHeight="1" x14ac:dyDescent="0.3"/>
    <row r="573" ht="14.85" customHeight="1" x14ac:dyDescent="0.3"/>
    <row r="574" ht="14.85" customHeight="1" x14ac:dyDescent="0.3"/>
    <row r="575" ht="14.85" customHeight="1" x14ac:dyDescent="0.3"/>
    <row r="576" ht="14.85" customHeight="1" x14ac:dyDescent="0.3"/>
    <row r="577" ht="14.85" customHeight="1" x14ac:dyDescent="0.3"/>
    <row r="578" ht="14.85" customHeight="1" x14ac:dyDescent="0.3"/>
    <row r="579" ht="14.85" customHeight="1" x14ac:dyDescent="0.3"/>
    <row r="580" ht="14.85" customHeight="1" x14ac:dyDescent="0.3"/>
    <row r="581" ht="14.85" customHeight="1" x14ac:dyDescent="0.3"/>
    <row r="582" ht="14.85" customHeight="1" x14ac:dyDescent="0.3"/>
    <row r="583" ht="14.85" customHeight="1" x14ac:dyDescent="0.3"/>
    <row r="584" ht="14.85" customHeight="1" x14ac:dyDescent="0.3"/>
    <row r="585" ht="14.85" customHeight="1" x14ac:dyDescent="0.3"/>
    <row r="586" ht="14.85" customHeight="1" x14ac:dyDescent="0.3"/>
    <row r="587" ht="14.85" customHeight="1" x14ac:dyDescent="0.3"/>
    <row r="588" ht="14.85" customHeight="1" x14ac:dyDescent="0.3"/>
    <row r="589" ht="14.85" customHeight="1" x14ac:dyDescent="0.3"/>
    <row r="590" ht="14.85" customHeight="1" x14ac:dyDescent="0.3"/>
    <row r="591" ht="14.85" customHeight="1" x14ac:dyDescent="0.3"/>
    <row r="592" ht="14.85" customHeight="1" x14ac:dyDescent="0.3"/>
    <row r="593" ht="14.85" customHeight="1" x14ac:dyDescent="0.3"/>
    <row r="594" ht="14.85" customHeight="1" x14ac:dyDescent="0.3"/>
    <row r="595" ht="14.85" customHeight="1" x14ac:dyDescent="0.3"/>
    <row r="596" ht="14.85" customHeight="1" x14ac:dyDescent="0.3"/>
    <row r="597" ht="14.85" customHeight="1" x14ac:dyDescent="0.3"/>
    <row r="598" ht="14.85" customHeight="1" x14ac:dyDescent="0.3"/>
    <row r="599" ht="14.85" customHeight="1" x14ac:dyDescent="0.3"/>
    <row r="600" ht="14.85" customHeight="1" x14ac:dyDescent="0.3"/>
    <row r="601" ht="14.85" customHeight="1" x14ac:dyDescent="0.3"/>
    <row r="602" ht="14.85" customHeight="1" x14ac:dyDescent="0.3"/>
    <row r="603" ht="14.85" customHeight="1" x14ac:dyDescent="0.3"/>
    <row r="604" ht="14.85" customHeight="1" x14ac:dyDescent="0.3"/>
    <row r="605" ht="14.85" customHeight="1" x14ac:dyDescent="0.3"/>
    <row r="606" ht="14.85" customHeight="1" x14ac:dyDescent="0.3"/>
    <row r="607" ht="14.85" customHeight="1" x14ac:dyDescent="0.3"/>
    <row r="608" ht="14.85" customHeight="1" x14ac:dyDescent="0.3"/>
    <row r="609" ht="14.85" customHeight="1" x14ac:dyDescent="0.3"/>
    <row r="610" ht="14.85" customHeight="1" x14ac:dyDescent="0.3"/>
    <row r="611" ht="14.85" customHeight="1" x14ac:dyDescent="0.3"/>
    <row r="612" ht="14.85" customHeight="1" x14ac:dyDescent="0.3"/>
    <row r="613" ht="14.85" customHeight="1" x14ac:dyDescent="0.3"/>
    <row r="614" ht="14.85" customHeight="1" x14ac:dyDescent="0.3"/>
    <row r="615" ht="14.85" customHeight="1" x14ac:dyDescent="0.3"/>
    <row r="616" ht="14.85" customHeight="1" x14ac:dyDescent="0.3"/>
    <row r="617" ht="14.85" customHeight="1" x14ac:dyDescent="0.3"/>
    <row r="618" ht="14.85" customHeight="1" x14ac:dyDescent="0.3"/>
    <row r="619" ht="14.85" customHeight="1" x14ac:dyDescent="0.3"/>
    <row r="620" ht="14.85" customHeight="1" x14ac:dyDescent="0.3"/>
    <row r="621" ht="14.85" customHeight="1" x14ac:dyDescent="0.3"/>
    <row r="622" ht="14.85" customHeight="1" x14ac:dyDescent="0.3"/>
    <row r="623" ht="14.85" customHeight="1" x14ac:dyDescent="0.3"/>
    <row r="624" ht="14.85" customHeight="1" x14ac:dyDescent="0.3"/>
    <row r="625" ht="14.85" customHeight="1" x14ac:dyDescent="0.3"/>
    <row r="626" ht="14.85" customHeight="1" x14ac:dyDescent="0.3"/>
    <row r="627" ht="14.85" customHeight="1" x14ac:dyDescent="0.3"/>
    <row r="628" ht="14.85" customHeight="1" x14ac:dyDescent="0.3"/>
    <row r="629" ht="14.85" customHeight="1" x14ac:dyDescent="0.3"/>
    <row r="630" ht="14.85" customHeight="1" x14ac:dyDescent="0.3"/>
    <row r="631" ht="14.85" customHeight="1" x14ac:dyDescent="0.3"/>
    <row r="632" ht="14.85" customHeight="1" x14ac:dyDescent="0.3"/>
    <row r="633" ht="14.85" customHeight="1" x14ac:dyDescent="0.3"/>
    <row r="634" ht="14.85" customHeight="1" x14ac:dyDescent="0.3"/>
    <row r="635" ht="14.85" customHeight="1" x14ac:dyDescent="0.3"/>
    <row r="636" ht="14.85" customHeight="1" x14ac:dyDescent="0.3"/>
    <row r="637" ht="14.85" customHeight="1" x14ac:dyDescent="0.3"/>
    <row r="638" ht="14.85" customHeight="1" x14ac:dyDescent="0.3"/>
    <row r="639" ht="14.85" customHeight="1" x14ac:dyDescent="0.3"/>
    <row r="640" ht="14.85" customHeight="1" x14ac:dyDescent="0.3"/>
    <row r="641" ht="14.85" customHeight="1" x14ac:dyDescent="0.3"/>
    <row r="642" ht="14.85" customHeight="1" x14ac:dyDescent="0.3"/>
    <row r="643" ht="14.85" customHeight="1" x14ac:dyDescent="0.3"/>
    <row r="644" ht="14.85" customHeight="1" x14ac:dyDescent="0.3"/>
    <row r="645" ht="14.85" customHeight="1" x14ac:dyDescent="0.3"/>
    <row r="646" ht="14.85" customHeight="1" x14ac:dyDescent="0.3"/>
    <row r="647" ht="14.85" customHeight="1" x14ac:dyDescent="0.3"/>
    <row r="648" ht="14.85" customHeight="1" x14ac:dyDescent="0.3"/>
    <row r="649" ht="14.85" customHeight="1" x14ac:dyDescent="0.3"/>
    <row r="650" ht="14.85" customHeight="1" x14ac:dyDescent="0.3"/>
    <row r="651" ht="14.85" customHeight="1" x14ac:dyDescent="0.3"/>
    <row r="652" ht="14.85" customHeight="1" x14ac:dyDescent="0.3"/>
    <row r="653" ht="14.85" customHeight="1" x14ac:dyDescent="0.3"/>
    <row r="654" ht="14.85" customHeight="1" x14ac:dyDescent="0.3"/>
    <row r="655" ht="14.85" customHeight="1" x14ac:dyDescent="0.3"/>
    <row r="656" ht="14.85" customHeight="1" x14ac:dyDescent="0.3"/>
    <row r="657" ht="14.85" customHeight="1" x14ac:dyDescent="0.3"/>
    <row r="658" ht="14.85" customHeight="1" x14ac:dyDescent="0.3"/>
    <row r="659" ht="14.85" customHeight="1" x14ac:dyDescent="0.3"/>
    <row r="660" ht="14.85" customHeight="1" x14ac:dyDescent="0.3"/>
    <row r="661" ht="14.85" customHeight="1" x14ac:dyDescent="0.3"/>
    <row r="662" ht="14.85" customHeight="1" x14ac:dyDescent="0.3"/>
    <row r="663" ht="14.85" customHeight="1" x14ac:dyDescent="0.3"/>
    <row r="664" ht="14.85" customHeight="1" x14ac:dyDescent="0.3"/>
    <row r="665" ht="14.85" customHeight="1" x14ac:dyDescent="0.3"/>
    <row r="666" ht="14.85" customHeight="1" x14ac:dyDescent="0.3"/>
    <row r="667" ht="14.85" customHeight="1" x14ac:dyDescent="0.3"/>
    <row r="668" ht="14.85" customHeight="1" x14ac:dyDescent="0.3"/>
    <row r="669" ht="14.85" customHeight="1" x14ac:dyDescent="0.3"/>
    <row r="670" ht="14.85" customHeight="1" x14ac:dyDescent="0.3"/>
    <row r="671" ht="14.85" customHeight="1" x14ac:dyDescent="0.3"/>
    <row r="672" ht="14.85" customHeight="1" x14ac:dyDescent="0.3"/>
    <row r="673" ht="14.85" customHeight="1" x14ac:dyDescent="0.3"/>
    <row r="674" ht="14.85" customHeight="1" x14ac:dyDescent="0.3"/>
    <row r="675" ht="14.85" customHeight="1" x14ac:dyDescent="0.3"/>
    <row r="676" ht="14.85" customHeight="1" x14ac:dyDescent="0.3"/>
    <row r="677" ht="14.85" customHeight="1" x14ac:dyDescent="0.3"/>
    <row r="678" ht="14.85" customHeight="1" x14ac:dyDescent="0.3"/>
    <row r="679" ht="14.85" customHeight="1" x14ac:dyDescent="0.3"/>
    <row r="680" ht="14.85" customHeight="1" x14ac:dyDescent="0.3"/>
    <row r="681" ht="14.85" customHeight="1" x14ac:dyDescent="0.3"/>
    <row r="682" ht="14.85" customHeight="1" x14ac:dyDescent="0.3"/>
    <row r="683" ht="14.85" customHeight="1" x14ac:dyDescent="0.3"/>
    <row r="684" ht="14.85" customHeight="1" x14ac:dyDescent="0.3"/>
    <row r="685" ht="14.85" customHeight="1" x14ac:dyDescent="0.3"/>
    <row r="686" ht="14.85" customHeight="1" x14ac:dyDescent="0.3"/>
    <row r="687" ht="14.85" customHeight="1" x14ac:dyDescent="0.3"/>
    <row r="688" ht="14.85" customHeight="1" x14ac:dyDescent="0.3"/>
    <row r="689" ht="14.85" customHeight="1" x14ac:dyDescent="0.3"/>
    <row r="690" ht="14.85" customHeight="1" x14ac:dyDescent="0.3"/>
    <row r="691" ht="14.85" customHeight="1" x14ac:dyDescent="0.3"/>
    <row r="692" ht="14.85" customHeight="1" x14ac:dyDescent="0.3"/>
    <row r="693" ht="14.85" customHeight="1" x14ac:dyDescent="0.3"/>
    <row r="694" ht="14.85" customHeight="1" x14ac:dyDescent="0.3"/>
    <row r="695" ht="14.85" customHeight="1" x14ac:dyDescent="0.3"/>
    <row r="696" ht="14.85" customHeight="1" x14ac:dyDescent="0.3"/>
    <row r="697" ht="14.85" customHeight="1" x14ac:dyDescent="0.3"/>
    <row r="698" ht="14.85" customHeight="1" x14ac:dyDescent="0.3"/>
    <row r="699" ht="14.85" customHeight="1" x14ac:dyDescent="0.3"/>
    <row r="700" ht="14.85" customHeight="1" x14ac:dyDescent="0.3"/>
    <row r="701" ht="14.85" customHeight="1" x14ac:dyDescent="0.3"/>
    <row r="702" ht="14.85" customHeight="1" x14ac:dyDescent="0.3"/>
    <row r="703" ht="14.85" customHeight="1" x14ac:dyDescent="0.3"/>
    <row r="704" ht="14.85" customHeight="1" x14ac:dyDescent="0.3"/>
    <row r="705" ht="14.85" customHeight="1" x14ac:dyDescent="0.3"/>
    <row r="706" ht="14.85" customHeight="1" x14ac:dyDescent="0.3"/>
    <row r="707" ht="14.85" customHeight="1" x14ac:dyDescent="0.3"/>
    <row r="708" ht="14.85" customHeight="1" x14ac:dyDescent="0.3"/>
    <row r="709" ht="14.85" customHeight="1" x14ac:dyDescent="0.3"/>
    <row r="710" ht="14.85" customHeight="1" x14ac:dyDescent="0.3"/>
    <row r="711" ht="14.85" customHeight="1" x14ac:dyDescent="0.3"/>
    <row r="712" ht="14.85" customHeight="1" x14ac:dyDescent="0.3"/>
    <row r="713" ht="14.85" customHeight="1" x14ac:dyDescent="0.3"/>
    <row r="714" ht="14.85" customHeight="1" x14ac:dyDescent="0.3"/>
    <row r="715" ht="14.85" customHeight="1" x14ac:dyDescent="0.3"/>
    <row r="716" ht="14.85" customHeight="1" x14ac:dyDescent="0.3"/>
    <row r="717" ht="14.85" customHeight="1" x14ac:dyDescent="0.3"/>
    <row r="718" ht="14.85" customHeight="1" x14ac:dyDescent="0.3"/>
    <row r="719" ht="14.85" customHeight="1" x14ac:dyDescent="0.3"/>
    <row r="720" ht="14.85" customHeight="1" x14ac:dyDescent="0.3"/>
    <row r="721" ht="14.85" customHeight="1" x14ac:dyDescent="0.3"/>
    <row r="722" ht="14.85" customHeight="1" x14ac:dyDescent="0.3"/>
    <row r="723" ht="14.85" customHeight="1" x14ac:dyDescent="0.3"/>
    <row r="724" ht="14.85" customHeight="1" x14ac:dyDescent="0.3"/>
    <row r="725" ht="14.85" customHeight="1" x14ac:dyDescent="0.3"/>
    <row r="726" ht="14.85" customHeight="1" x14ac:dyDescent="0.3"/>
    <row r="727" ht="14.85" customHeight="1" x14ac:dyDescent="0.3"/>
    <row r="728" ht="14.85" customHeight="1" x14ac:dyDescent="0.3"/>
    <row r="729" ht="14.85" customHeight="1" x14ac:dyDescent="0.3"/>
    <row r="730" ht="14.85" customHeight="1" x14ac:dyDescent="0.3"/>
    <row r="731" ht="14.85" customHeight="1" x14ac:dyDescent="0.3"/>
    <row r="732" ht="14.85" customHeight="1" x14ac:dyDescent="0.3"/>
    <row r="733" ht="14.85" customHeight="1" x14ac:dyDescent="0.3"/>
    <row r="734" ht="14.85" customHeight="1" x14ac:dyDescent="0.3"/>
    <row r="735" ht="14.85" customHeight="1" x14ac:dyDescent="0.3"/>
    <row r="736" ht="14.85" customHeight="1" x14ac:dyDescent="0.3"/>
    <row r="737" ht="14.85" customHeight="1" x14ac:dyDescent="0.3"/>
    <row r="738" ht="14.85" customHeight="1" x14ac:dyDescent="0.3"/>
    <row r="739" ht="14.85" customHeight="1" x14ac:dyDescent="0.3"/>
    <row r="740" ht="14.85" customHeight="1" x14ac:dyDescent="0.3"/>
    <row r="741" ht="14.85" customHeight="1" x14ac:dyDescent="0.3"/>
    <row r="742" ht="14.85" customHeight="1" x14ac:dyDescent="0.3"/>
    <row r="743" ht="14.85" customHeight="1" x14ac:dyDescent="0.3"/>
    <row r="744" ht="14.85" customHeight="1" x14ac:dyDescent="0.3"/>
    <row r="745" ht="14.85" customHeight="1" x14ac:dyDescent="0.3"/>
    <row r="746" ht="14.85" customHeight="1" x14ac:dyDescent="0.3"/>
    <row r="747" ht="14.85" customHeight="1" x14ac:dyDescent="0.3"/>
    <row r="748" ht="14.85" customHeight="1" x14ac:dyDescent="0.3"/>
    <row r="749" ht="14.85" customHeight="1" x14ac:dyDescent="0.3"/>
    <row r="750" ht="14.85" customHeight="1" x14ac:dyDescent="0.3"/>
    <row r="751" ht="14.85" customHeight="1" x14ac:dyDescent="0.3"/>
    <row r="752" ht="14.85" customHeight="1" x14ac:dyDescent="0.3"/>
    <row r="753" ht="14.85" customHeight="1" x14ac:dyDescent="0.3"/>
    <row r="754" ht="14.85" customHeight="1" x14ac:dyDescent="0.3"/>
    <row r="755" ht="14.85" customHeight="1" x14ac:dyDescent="0.3"/>
    <row r="756" ht="14.85" customHeight="1" x14ac:dyDescent="0.3"/>
    <row r="757" ht="14.85" customHeight="1" x14ac:dyDescent="0.3"/>
    <row r="758" ht="14.85" customHeight="1" x14ac:dyDescent="0.3"/>
    <row r="759" ht="14.85" customHeight="1" x14ac:dyDescent="0.3"/>
    <row r="760" ht="14.85" customHeight="1" x14ac:dyDescent="0.3"/>
    <row r="761" ht="14.85" customHeight="1" x14ac:dyDescent="0.3"/>
    <row r="762" ht="14.85" customHeight="1" x14ac:dyDescent="0.3"/>
    <row r="763" ht="14.85" customHeight="1" x14ac:dyDescent="0.3"/>
    <row r="764" ht="14.85" customHeight="1" x14ac:dyDescent="0.3"/>
    <row r="765" ht="14.85" customHeight="1" x14ac:dyDescent="0.3"/>
    <row r="766" ht="14.85" customHeight="1" x14ac:dyDescent="0.3"/>
    <row r="767" ht="14.85" customHeight="1" x14ac:dyDescent="0.3"/>
    <row r="768" ht="14.85" customHeight="1" x14ac:dyDescent="0.3"/>
    <row r="769" ht="14.85" customHeight="1" x14ac:dyDescent="0.3"/>
    <row r="770" ht="14.85" customHeight="1" x14ac:dyDescent="0.3"/>
    <row r="771" ht="14.85" customHeight="1" x14ac:dyDescent="0.3"/>
    <row r="772" ht="14.85" customHeight="1" x14ac:dyDescent="0.3"/>
    <row r="773" ht="14.85" customHeight="1" x14ac:dyDescent="0.3"/>
    <row r="774" ht="14.85" customHeight="1" x14ac:dyDescent="0.3"/>
    <row r="775" ht="14.85" customHeight="1" x14ac:dyDescent="0.3"/>
    <row r="776" ht="14.85" customHeight="1" x14ac:dyDescent="0.3"/>
    <row r="777" ht="14.85" customHeight="1" x14ac:dyDescent="0.3"/>
    <row r="778" ht="14.85" customHeight="1" x14ac:dyDescent="0.3"/>
    <row r="779" ht="14.85" customHeight="1" x14ac:dyDescent="0.3"/>
    <row r="780" ht="14.85" customHeight="1" x14ac:dyDescent="0.3"/>
    <row r="781" ht="14.85" customHeight="1" x14ac:dyDescent="0.3"/>
    <row r="782" ht="14.85" customHeight="1" x14ac:dyDescent="0.3"/>
    <row r="783" ht="14.85" customHeight="1" x14ac:dyDescent="0.3"/>
    <row r="784" ht="14.85" customHeight="1" x14ac:dyDescent="0.3"/>
    <row r="785" ht="14.85" customHeight="1" x14ac:dyDescent="0.3"/>
    <row r="786" ht="14.85" customHeight="1" x14ac:dyDescent="0.3"/>
    <row r="787" ht="14.85" customHeight="1" x14ac:dyDescent="0.3"/>
    <row r="788" ht="14.85" customHeight="1" x14ac:dyDescent="0.3"/>
    <row r="789" ht="14.85" customHeight="1" x14ac:dyDescent="0.3"/>
    <row r="790" ht="14.85" customHeight="1" x14ac:dyDescent="0.3"/>
    <row r="791" ht="14.85" customHeight="1" x14ac:dyDescent="0.3"/>
    <row r="792" ht="14.85" customHeight="1" x14ac:dyDescent="0.3"/>
    <row r="793" ht="14.85" customHeight="1" x14ac:dyDescent="0.3"/>
    <row r="794" ht="14.85" customHeight="1" x14ac:dyDescent="0.3"/>
    <row r="795" ht="14.85" customHeight="1" x14ac:dyDescent="0.3"/>
    <row r="796" ht="14.85" customHeight="1" x14ac:dyDescent="0.3"/>
    <row r="797" ht="14.85" customHeight="1" x14ac:dyDescent="0.3"/>
    <row r="798" ht="14.85" customHeight="1" x14ac:dyDescent="0.3"/>
    <row r="799" ht="14.85" customHeight="1" x14ac:dyDescent="0.3"/>
    <row r="800" ht="14.85" customHeight="1" x14ac:dyDescent="0.3"/>
    <row r="801" ht="14.85" customHeight="1" x14ac:dyDescent="0.3"/>
    <row r="802" ht="14.85" customHeight="1" x14ac:dyDescent="0.3"/>
    <row r="803" ht="14.85" customHeight="1" x14ac:dyDescent="0.3"/>
    <row r="804" ht="14.85" customHeight="1" x14ac:dyDescent="0.3"/>
    <row r="805" ht="14.85" customHeight="1" x14ac:dyDescent="0.3"/>
    <row r="806" ht="14.85" customHeight="1" x14ac:dyDescent="0.3"/>
    <row r="807" ht="14.85" customHeight="1" x14ac:dyDescent="0.3"/>
    <row r="808" ht="14.85" customHeight="1" x14ac:dyDescent="0.3"/>
    <row r="809" ht="14.85" customHeight="1" x14ac:dyDescent="0.3"/>
    <row r="810" ht="14.85" customHeight="1" x14ac:dyDescent="0.3"/>
    <row r="811" ht="14.85" customHeight="1" x14ac:dyDescent="0.3"/>
    <row r="812" ht="14.85" customHeight="1" x14ac:dyDescent="0.3"/>
    <row r="813" ht="14.85" customHeight="1" x14ac:dyDescent="0.3"/>
    <row r="814" ht="14.85" customHeight="1" x14ac:dyDescent="0.3"/>
    <row r="815" ht="14.85" customHeight="1" x14ac:dyDescent="0.3"/>
    <row r="816" ht="14.85" customHeight="1" x14ac:dyDescent="0.3"/>
    <row r="817" ht="14.85" customHeight="1" x14ac:dyDescent="0.3"/>
    <row r="818" ht="14.85" customHeight="1" x14ac:dyDescent="0.3"/>
    <row r="819" ht="14.85" customHeight="1" x14ac:dyDescent="0.3"/>
    <row r="820" ht="14.85" customHeight="1" x14ac:dyDescent="0.3"/>
    <row r="821" ht="14.85" customHeight="1" x14ac:dyDescent="0.3"/>
    <row r="822" ht="14.85" customHeight="1" x14ac:dyDescent="0.3"/>
    <row r="823" ht="14.85" customHeight="1" x14ac:dyDescent="0.3"/>
    <row r="824" ht="14.85" customHeight="1" x14ac:dyDescent="0.3"/>
    <row r="825" ht="14.85" customHeight="1" x14ac:dyDescent="0.3"/>
    <row r="826" ht="14.85" customHeight="1" x14ac:dyDescent="0.3"/>
    <row r="827" ht="14.85" customHeight="1" x14ac:dyDescent="0.3"/>
    <row r="828" ht="14.85" customHeight="1" x14ac:dyDescent="0.3"/>
    <row r="829" ht="14.85" customHeight="1" x14ac:dyDescent="0.3"/>
    <row r="830" ht="14.85" customHeight="1" x14ac:dyDescent="0.3"/>
    <row r="831" ht="14.85" customHeight="1" x14ac:dyDescent="0.3"/>
    <row r="832" ht="14.85" customHeight="1" x14ac:dyDescent="0.3"/>
    <row r="833" ht="14.85" customHeight="1" x14ac:dyDescent="0.3"/>
    <row r="834" ht="14.85" customHeight="1" x14ac:dyDescent="0.3"/>
    <row r="835" ht="14.85" customHeight="1" x14ac:dyDescent="0.3"/>
    <row r="836" ht="14.85" customHeight="1" x14ac:dyDescent="0.3"/>
    <row r="837" ht="14.85" customHeight="1" x14ac:dyDescent="0.3"/>
    <row r="838" ht="14.85" customHeight="1" x14ac:dyDescent="0.3"/>
    <row r="839" ht="14.85" customHeight="1" x14ac:dyDescent="0.3"/>
    <row r="840" ht="14.85" customHeight="1" x14ac:dyDescent="0.3"/>
    <row r="841" ht="14.85" customHeight="1" x14ac:dyDescent="0.3"/>
    <row r="842" ht="14.85" customHeight="1" x14ac:dyDescent="0.3"/>
    <row r="843" ht="14.85" customHeight="1" x14ac:dyDescent="0.3"/>
    <row r="844" ht="14.85" customHeight="1" x14ac:dyDescent="0.3"/>
    <row r="845" ht="14.85" customHeight="1" x14ac:dyDescent="0.3"/>
    <row r="846" ht="14.85" customHeight="1" x14ac:dyDescent="0.3"/>
    <row r="847" ht="14.85" customHeight="1" x14ac:dyDescent="0.3"/>
    <row r="848" ht="14.85" customHeight="1" x14ac:dyDescent="0.3"/>
    <row r="849" ht="14.85" customHeight="1" x14ac:dyDescent="0.3"/>
    <row r="850" ht="14.85" customHeight="1" x14ac:dyDescent="0.3"/>
    <row r="851" ht="14.85" customHeight="1" x14ac:dyDescent="0.3"/>
    <row r="852" ht="14.85" customHeight="1" x14ac:dyDescent="0.3"/>
    <row r="853" ht="14.85" customHeight="1" x14ac:dyDescent="0.3"/>
    <row r="854" ht="14.85" customHeight="1" x14ac:dyDescent="0.3"/>
    <row r="855" ht="14.85" customHeight="1" x14ac:dyDescent="0.3"/>
    <row r="856" ht="14.85" customHeight="1" x14ac:dyDescent="0.3"/>
    <row r="857" ht="14.85" customHeight="1" x14ac:dyDescent="0.3"/>
    <row r="858" ht="14.85" customHeight="1" x14ac:dyDescent="0.3"/>
    <row r="859" ht="14.85" customHeight="1" x14ac:dyDescent="0.3"/>
    <row r="860" ht="14.85" customHeight="1" x14ac:dyDescent="0.3"/>
    <row r="861" ht="14.85" customHeight="1" x14ac:dyDescent="0.3"/>
    <row r="862" ht="14.85" customHeight="1" x14ac:dyDescent="0.3"/>
    <row r="863" ht="14.85" customHeight="1" x14ac:dyDescent="0.3"/>
    <row r="864" ht="14.85" customHeight="1" x14ac:dyDescent="0.3"/>
    <row r="865" ht="14.85" customHeight="1" x14ac:dyDescent="0.3"/>
    <row r="866" ht="14.85" customHeight="1" x14ac:dyDescent="0.3"/>
    <row r="867" ht="14.85" customHeight="1" x14ac:dyDescent="0.3"/>
    <row r="868" ht="14.85" customHeight="1" x14ac:dyDescent="0.3"/>
    <row r="869" ht="14.85" customHeight="1" x14ac:dyDescent="0.3"/>
    <row r="870" ht="14.85" customHeight="1" x14ac:dyDescent="0.3"/>
    <row r="871" ht="14.85" customHeight="1" x14ac:dyDescent="0.3"/>
    <row r="872" ht="14.85" customHeight="1" x14ac:dyDescent="0.3"/>
    <row r="873" ht="14.85" customHeight="1" x14ac:dyDescent="0.3"/>
    <row r="874" ht="14.85" customHeight="1" x14ac:dyDescent="0.3"/>
    <row r="875" ht="14.85" customHeight="1" x14ac:dyDescent="0.3"/>
    <row r="876" ht="14.85" customHeight="1" x14ac:dyDescent="0.3"/>
    <row r="877" ht="14.85" customHeight="1" x14ac:dyDescent="0.3"/>
    <row r="878" ht="14.85" customHeight="1" x14ac:dyDescent="0.3"/>
    <row r="879" ht="14.85" customHeight="1" x14ac:dyDescent="0.3"/>
    <row r="880" ht="14.85" customHeight="1" x14ac:dyDescent="0.3"/>
    <row r="881" ht="14.85" customHeight="1" x14ac:dyDescent="0.3"/>
    <row r="882" ht="14.85" customHeight="1" x14ac:dyDescent="0.3"/>
    <row r="883" ht="14.85" customHeight="1" x14ac:dyDescent="0.3"/>
    <row r="884" ht="14.85" customHeight="1" x14ac:dyDescent="0.3"/>
    <row r="885" ht="14.85" customHeight="1" x14ac:dyDescent="0.3"/>
    <row r="886" ht="14.85" customHeight="1" x14ac:dyDescent="0.3"/>
    <row r="887" ht="14.85" customHeight="1" x14ac:dyDescent="0.3"/>
    <row r="888" ht="14.85" customHeight="1" x14ac:dyDescent="0.3"/>
    <row r="889" ht="14.85" customHeight="1" x14ac:dyDescent="0.3"/>
    <row r="890" ht="14.85" customHeight="1" x14ac:dyDescent="0.3"/>
    <row r="891" ht="14.85" customHeight="1" x14ac:dyDescent="0.3"/>
    <row r="892" ht="14.85" customHeight="1" x14ac:dyDescent="0.3"/>
    <row r="893" ht="14.85" customHeight="1" x14ac:dyDescent="0.3"/>
    <row r="894" ht="14.85" customHeight="1" x14ac:dyDescent="0.3"/>
    <row r="895" ht="14.85" customHeight="1" x14ac:dyDescent="0.3"/>
    <row r="896" ht="14.85" customHeight="1" x14ac:dyDescent="0.3"/>
    <row r="897" ht="14.85" customHeight="1" x14ac:dyDescent="0.3"/>
    <row r="898" ht="14.85" customHeight="1" x14ac:dyDescent="0.3"/>
    <row r="899" ht="14.85" customHeight="1" x14ac:dyDescent="0.3"/>
    <row r="900" ht="14.85" customHeight="1" x14ac:dyDescent="0.3"/>
    <row r="901" ht="14.85" customHeight="1" x14ac:dyDescent="0.3"/>
    <row r="902" ht="14.85" customHeight="1" x14ac:dyDescent="0.3"/>
    <row r="903" ht="14.85" customHeight="1" x14ac:dyDescent="0.3"/>
    <row r="904" ht="14.85" customHeight="1" x14ac:dyDescent="0.3"/>
    <row r="905" ht="14.85" customHeight="1" x14ac:dyDescent="0.3"/>
    <row r="906" ht="14.85" customHeight="1" x14ac:dyDescent="0.3"/>
    <row r="907" ht="14.85" customHeight="1" x14ac:dyDescent="0.3"/>
    <row r="908" ht="14.85" customHeight="1" x14ac:dyDescent="0.3"/>
    <row r="909" ht="14.85" customHeight="1" x14ac:dyDescent="0.3"/>
    <row r="910" ht="14.85" customHeight="1" x14ac:dyDescent="0.3"/>
    <row r="911" ht="14.85" customHeight="1" x14ac:dyDescent="0.3"/>
    <row r="912" ht="14.85" customHeight="1" x14ac:dyDescent="0.3"/>
    <row r="913" ht="14.85" customHeight="1" x14ac:dyDescent="0.3"/>
    <row r="914" ht="14.85" customHeight="1" x14ac:dyDescent="0.3"/>
    <row r="915" ht="14.85" customHeight="1" x14ac:dyDescent="0.3"/>
    <row r="916" ht="14.85" customHeight="1" x14ac:dyDescent="0.3"/>
    <row r="917" ht="14.85" customHeight="1" x14ac:dyDescent="0.3"/>
    <row r="918" ht="14.85" customHeight="1" x14ac:dyDescent="0.3"/>
    <row r="919" ht="14.85" customHeight="1" x14ac:dyDescent="0.3"/>
    <row r="920" ht="14.85" customHeight="1" x14ac:dyDescent="0.3"/>
    <row r="921" ht="14.85" customHeight="1" x14ac:dyDescent="0.3"/>
    <row r="922" ht="14.85" customHeight="1" x14ac:dyDescent="0.3"/>
    <row r="923" ht="14.85" customHeight="1" x14ac:dyDescent="0.3"/>
    <row r="924" ht="14.85" customHeight="1" x14ac:dyDescent="0.3"/>
    <row r="925" ht="14.85" customHeight="1" x14ac:dyDescent="0.3"/>
    <row r="926" ht="14.85" customHeight="1" x14ac:dyDescent="0.3"/>
    <row r="927" ht="14.85" customHeight="1" x14ac:dyDescent="0.3"/>
    <row r="928" ht="14.85" customHeight="1" x14ac:dyDescent="0.3"/>
    <row r="929" ht="14.85" customHeight="1" x14ac:dyDescent="0.3"/>
    <row r="930" ht="14.85" customHeight="1" x14ac:dyDescent="0.3"/>
    <row r="931" ht="14.85" customHeight="1" x14ac:dyDescent="0.3"/>
    <row r="932" ht="14.85" customHeight="1" x14ac:dyDescent="0.3"/>
    <row r="933" ht="14.85" customHeight="1" x14ac:dyDescent="0.3"/>
    <row r="934" ht="14.85" customHeight="1" x14ac:dyDescent="0.3"/>
    <row r="935" ht="14.85" customHeight="1" x14ac:dyDescent="0.3"/>
    <row r="936" ht="14.85" customHeight="1" x14ac:dyDescent="0.3"/>
    <row r="937" ht="14.85" customHeight="1" x14ac:dyDescent="0.3"/>
    <row r="938" ht="14.85" customHeight="1" x14ac:dyDescent="0.3"/>
    <row r="939" ht="14.85" customHeight="1" x14ac:dyDescent="0.3"/>
    <row r="940" ht="14.85" customHeight="1" x14ac:dyDescent="0.3"/>
    <row r="941" ht="14.85" customHeight="1" x14ac:dyDescent="0.3"/>
    <row r="942" ht="14.85" customHeight="1" x14ac:dyDescent="0.3"/>
    <row r="943" ht="14.85" customHeight="1" x14ac:dyDescent="0.3"/>
    <row r="944" ht="14.85" customHeight="1" x14ac:dyDescent="0.3"/>
    <row r="945" ht="14.85" customHeight="1" x14ac:dyDescent="0.3"/>
    <row r="946" ht="14.85" customHeight="1" x14ac:dyDescent="0.3"/>
    <row r="947" ht="14.85" customHeight="1" x14ac:dyDescent="0.3"/>
    <row r="948" ht="14.85" customHeight="1" x14ac:dyDescent="0.3"/>
    <row r="949" ht="14.85" customHeight="1" x14ac:dyDescent="0.3"/>
    <row r="950" ht="14.85" customHeight="1" x14ac:dyDescent="0.3"/>
    <row r="951" ht="14.85" customHeight="1" x14ac:dyDescent="0.3"/>
    <row r="952" ht="14.85" customHeight="1" x14ac:dyDescent="0.3"/>
    <row r="953" ht="14.85" customHeight="1" x14ac:dyDescent="0.3"/>
    <row r="954" ht="14.85" customHeight="1" x14ac:dyDescent="0.3"/>
    <row r="955" ht="14.85" customHeight="1" x14ac:dyDescent="0.3"/>
    <row r="956" ht="14.85" customHeight="1" x14ac:dyDescent="0.3"/>
    <row r="957" ht="14.85" customHeight="1" x14ac:dyDescent="0.3"/>
    <row r="958" ht="14.85" customHeight="1" x14ac:dyDescent="0.3"/>
    <row r="959" ht="14.85" customHeight="1" x14ac:dyDescent="0.3"/>
    <row r="960" ht="14.85" customHeight="1" x14ac:dyDescent="0.3"/>
    <row r="961" ht="14.85" customHeight="1" x14ac:dyDescent="0.3"/>
    <row r="962" ht="14.85" customHeight="1" x14ac:dyDescent="0.3"/>
    <row r="963" ht="14.85" customHeight="1" x14ac:dyDescent="0.3"/>
    <row r="964" ht="14.85" customHeight="1" x14ac:dyDescent="0.3"/>
    <row r="965" ht="14.85" customHeight="1" x14ac:dyDescent="0.3"/>
    <row r="966" ht="14.85" customHeight="1" x14ac:dyDescent="0.3"/>
    <row r="967" ht="14.85" customHeight="1" x14ac:dyDescent="0.3"/>
    <row r="968" ht="14.85" customHeight="1" x14ac:dyDescent="0.3"/>
    <row r="969" ht="14.85" customHeight="1" x14ac:dyDescent="0.3"/>
    <row r="970" ht="14.85" customHeight="1" x14ac:dyDescent="0.3"/>
    <row r="971" ht="14.85" customHeight="1" x14ac:dyDescent="0.3"/>
    <row r="972" ht="14.85" customHeight="1" x14ac:dyDescent="0.3"/>
    <row r="973" ht="14.85" customHeight="1" x14ac:dyDescent="0.3"/>
    <row r="974" ht="14.85" customHeight="1" x14ac:dyDescent="0.3"/>
    <row r="975" ht="14.85" customHeight="1" x14ac:dyDescent="0.3"/>
    <row r="976" ht="14.85" customHeight="1" x14ac:dyDescent="0.3"/>
    <row r="977" ht="14.85" customHeight="1" x14ac:dyDescent="0.3"/>
    <row r="978" ht="14.85" customHeight="1" x14ac:dyDescent="0.3"/>
    <row r="979" ht="14.85" customHeight="1" x14ac:dyDescent="0.3"/>
    <row r="980" ht="14.85" customHeight="1" x14ac:dyDescent="0.3"/>
    <row r="981" ht="14.85" customHeight="1" x14ac:dyDescent="0.3"/>
    <row r="982" ht="14.85" customHeight="1" x14ac:dyDescent="0.3"/>
    <row r="983" ht="14.85" customHeight="1" x14ac:dyDescent="0.3"/>
    <row r="984" ht="14.85" customHeight="1" x14ac:dyDescent="0.3"/>
    <row r="985" ht="14.85" customHeight="1" x14ac:dyDescent="0.3"/>
    <row r="986" ht="14.85" customHeight="1" x14ac:dyDescent="0.3"/>
    <row r="987" ht="14.85" customHeight="1" x14ac:dyDescent="0.3"/>
    <row r="988" ht="14.85" customHeight="1" x14ac:dyDescent="0.3"/>
    <row r="989" ht="14.85" customHeight="1" x14ac:dyDescent="0.3"/>
    <row r="990" ht="14.85" customHeight="1" x14ac:dyDescent="0.3"/>
    <row r="991" ht="14.85" customHeight="1" x14ac:dyDescent="0.3"/>
    <row r="992" ht="14.85" customHeight="1" x14ac:dyDescent="0.3"/>
    <row r="993" ht="14.85" customHeight="1" x14ac:dyDescent="0.3"/>
    <row r="994" ht="14.85" customHeight="1" x14ac:dyDescent="0.3"/>
    <row r="995" ht="14.85" customHeight="1" x14ac:dyDescent="0.3"/>
    <row r="996" ht="14.85" customHeight="1" x14ac:dyDescent="0.3"/>
    <row r="997" ht="14.85" customHeight="1" x14ac:dyDescent="0.3"/>
    <row r="998" ht="14.85" customHeight="1" x14ac:dyDescent="0.3"/>
    <row r="999" ht="14.85" customHeight="1" x14ac:dyDescent="0.3"/>
    <row r="1000" ht="14.85" customHeight="1" x14ac:dyDescent="0.3"/>
    <row r="1001" ht="14.85" customHeight="1" x14ac:dyDescent="0.3"/>
    <row r="1002" ht="14.85" customHeight="1" x14ac:dyDescent="0.3"/>
    <row r="1003" ht="14.85" customHeight="1" x14ac:dyDescent="0.3"/>
    <row r="1004" ht="14.85" customHeight="1" x14ac:dyDescent="0.3"/>
    <row r="1005" ht="14.85" customHeight="1" x14ac:dyDescent="0.3"/>
    <row r="1006" ht="14.85" customHeight="1" x14ac:dyDescent="0.3"/>
    <row r="1007" ht="14.85" customHeight="1" x14ac:dyDescent="0.3"/>
    <row r="1008" ht="14.85" customHeight="1" x14ac:dyDescent="0.3"/>
    <row r="1009" ht="14.85" customHeight="1" x14ac:dyDescent="0.3"/>
    <row r="1010" ht="14.85" customHeight="1" x14ac:dyDescent="0.3"/>
    <row r="1011" ht="14.85" customHeight="1" x14ac:dyDescent="0.3"/>
    <row r="1012" ht="14.85" customHeight="1" x14ac:dyDescent="0.3"/>
  </sheetData>
  <sortState xmlns:xlrd2="http://schemas.microsoft.com/office/spreadsheetml/2017/richdata2" ref="P4:P17">
    <sortCondition ref="P4"/>
  </sortState>
  <mergeCells count="3">
    <mergeCell ref="B2:D2"/>
    <mergeCell ref="J18:K18"/>
    <mergeCell ref="J3:K4"/>
  </mergeCells>
  <conditionalFormatting sqref="J33:J37">
    <cfRule type="expression" dxfId="12" priority="4">
      <formula>$K$31=FALSE</formula>
    </cfRule>
  </conditionalFormatting>
  <conditionalFormatting sqref="F11 F19 F24:F25 F36 F53 F85 F98">
    <cfRule type="expression" dxfId="11" priority="195">
      <formula>$K$31=TRUE</formula>
    </cfRule>
  </conditionalFormatting>
  <conditionalFormatting sqref="F34">
    <cfRule type="expression" dxfId="10" priority="185">
      <formula>$L$36=TRUE</formula>
    </cfRule>
    <cfRule type="expression" dxfId="9" priority="186">
      <formula>$K$31=TRUE</formula>
    </cfRule>
  </conditionalFormatting>
  <conditionalFormatting sqref="D71 D24 D29 D42">
    <cfRule type="expression" dxfId="8" priority="202">
      <formula>$K$31=TRUE</formula>
    </cfRule>
  </conditionalFormatting>
  <conditionalFormatting sqref="B89:B103">
    <cfRule type="expression" dxfId="7" priority="191">
      <formula>$L$34=TRUE</formula>
    </cfRule>
    <cfRule type="expression" dxfId="6" priority="192">
      <formula>$K$31=TRUE</formula>
    </cfRule>
  </conditionalFormatting>
  <conditionalFormatting sqref="E4:E103">
    <cfRule type="expression" dxfId="5" priority="193">
      <formula>$L$35=TRUE</formula>
    </cfRule>
    <cfRule type="expression" dxfId="4" priority="194">
      <formula>$K$31=TRUE</formula>
    </cfRule>
  </conditionalFormatting>
  <conditionalFormatting sqref="F11 F19 F24:F25 F36 F53 F85 F98">
    <cfRule type="expression" dxfId="3" priority="178">
      <formula>$L$33=TRUE</formula>
    </cfRule>
  </conditionalFormatting>
  <conditionalFormatting sqref="D24 D29 D42 D71">
    <cfRule type="expression" dxfId="2" priority="187">
      <formula>$L$37=TRUE</formula>
    </cfRule>
  </conditionalFormatting>
  <pageMargins left="0.7" right="0.7" top="0.75" bottom="0.75" header="0.3" footer="0.3"/>
  <pageSetup orientation="portrait" horizontalDpi="1200" verticalDpi="1200" r:id="rId1"/>
  <ignoredErrors>
    <ignoredError sqref="B89:B103" twoDigitTextYear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4" name="Check Box 1">
              <controlPr defaultSize="0" autoFill="0" autoLine="0" autoPict="0" altText="Show Issues_x000a_">
                <anchor moveWithCells="1">
                  <from>
                    <xdr:col>8</xdr:col>
                    <xdr:colOff>403860</xdr:colOff>
                    <xdr:row>29</xdr:row>
                    <xdr:rowOff>144780</xdr:rowOff>
                  </from>
                  <to>
                    <xdr:col>9</xdr:col>
                    <xdr:colOff>982980</xdr:colOff>
                    <xdr:row>31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7" r:id="rId5" name="Check Box 5">
              <controlPr defaultSize="0" autoFill="0" autoLine="0" autoPict="0">
                <anchor moveWithCells="1">
                  <from>
                    <xdr:col>10</xdr:col>
                    <xdr:colOff>30480</xdr:colOff>
                    <xdr:row>31</xdr:row>
                    <xdr:rowOff>144780</xdr:rowOff>
                  </from>
                  <to>
                    <xdr:col>10</xdr:col>
                    <xdr:colOff>906780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8" r:id="rId6" name="Check Box 6">
              <controlPr defaultSize="0" autoFill="0" autoLine="0" autoPict="0">
                <anchor moveWithCells="1">
                  <from>
                    <xdr:col>10</xdr:col>
                    <xdr:colOff>30480</xdr:colOff>
                    <xdr:row>32</xdr:row>
                    <xdr:rowOff>167640</xdr:rowOff>
                  </from>
                  <to>
                    <xdr:col>10</xdr:col>
                    <xdr:colOff>868680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9" r:id="rId7" name="Check Box 7">
              <controlPr defaultSize="0" autoFill="0" autoLine="0" autoPict="0">
                <anchor moveWithCells="1">
                  <from>
                    <xdr:col>10</xdr:col>
                    <xdr:colOff>30480</xdr:colOff>
                    <xdr:row>33</xdr:row>
                    <xdr:rowOff>182880</xdr:rowOff>
                  </from>
                  <to>
                    <xdr:col>10</xdr:col>
                    <xdr:colOff>868680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0" r:id="rId8" name="Check Box 8">
              <controlPr defaultSize="0" autoFill="0" autoLine="0" autoPict="0">
                <anchor moveWithCells="1">
                  <from>
                    <xdr:col>10</xdr:col>
                    <xdr:colOff>30480</xdr:colOff>
                    <xdr:row>34</xdr:row>
                    <xdr:rowOff>167640</xdr:rowOff>
                  </from>
                  <to>
                    <xdr:col>10</xdr:col>
                    <xdr:colOff>868680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1" r:id="rId9" name="Check Box 9">
              <controlPr defaultSize="0" autoFill="0" autoLine="0" autoPict="0">
                <anchor moveWithCells="1">
                  <from>
                    <xdr:col>10</xdr:col>
                    <xdr:colOff>30480</xdr:colOff>
                    <xdr:row>35</xdr:row>
                    <xdr:rowOff>152400</xdr:rowOff>
                  </from>
                  <to>
                    <xdr:col>10</xdr:col>
                    <xdr:colOff>868680</xdr:colOff>
                    <xdr:row>37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DC4F-BC05-418B-B52E-E5D542DF4892}">
  <sheetPr>
    <tabColor theme="3" tint="0.59999389629810485"/>
  </sheetPr>
  <dimension ref="B1:AK38"/>
  <sheetViews>
    <sheetView showGridLines="0" workbookViewId="0">
      <selection activeCell="C5" sqref="C5"/>
    </sheetView>
  </sheetViews>
  <sheetFormatPr defaultColWidth="8.5546875" defaultRowHeight="14.4" x14ac:dyDescent="0.3"/>
  <cols>
    <col min="1" max="1" width="5.44140625" customWidth="1"/>
    <col min="2" max="2" width="12" customWidth="1"/>
    <col min="3" max="3" width="6.44140625" customWidth="1"/>
    <col min="4" max="12" width="8.5546875" style="21"/>
    <col min="13" max="15" width="8.5546875" customWidth="1"/>
    <col min="16" max="26" width="8" style="21" hidden="1" customWidth="1"/>
    <col min="27" max="37" width="8.5546875" hidden="1" customWidth="1"/>
  </cols>
  <sheetData>
    <row r="1" spans="2:37" ht="18" customHeight="1" x14ac:dyDescent="0.3">
      <c r="C1" s="16"/>
      <c r="M1" s="21"/>
      <c r="N1" s="21"/>
      <c r="O1" s="21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2:37" ht="22.5" customHeight="1" x14ac:dyDescent="0.3">
      <c r="B2" s="67" t="s">
        <v>5156</v>
      </c>
      <c r="C2" s="67"/>
      <c r="P2" s="25">
        <v>2</v>
      </c>
      <c r="Q2" s="25">
        <v>3</v>
      </c>
      <c r="R2" s="25">
        <v>4</v>
      </c>
      <c r="S2" s="25">
        <v>5</v>
      </c>
      <c r="T2" s="25">
        <v>6</v>
      </c>
      <c r="U2" s="25">
        <v>7</v>
      </c>
      <c r="V2" s="25">
        <v>8</v>
      </c>
      <c r="W2" s="25">
        <v>9</v>
      </c>
      <c r="X2" s="25">
        <v>10</v>
      </c>
      <c r="Y2" s="25">
        <v>11</v>
      </c>
      <c r="Z2" s="25">
        <v>12</v>
      </c>
      <c r="AA2" s="25">
        <v>2</v>
      </c>
      <c r="AB2" s="25">
        <v>3</v>
      </c>
      <c r="AC2" s="25">
        <v>4</v>
      </c>
      <c r="AD2" s="25">
        <v>5</v>
      </c>
      <c r="AE2" s="25">
        <v>6</v>
      </c>
      <c r="AF2" s="25">
        <v>7</v>
      </c>
      <c r="AG2" s="25">
        <v>8</v>
      </c>
      <c r="AH2" s="25">
        <v>9</v>
      </c>
      <c r="AI2" s="25">
        <v>10</v>
      </c>
      <c r="AJ2" s="25">
        <v>11</v>
      </c>
      <c r="AK2" s="25">
        <v>12</v>
      </c>
    </row>
    <row r="3" spans="2:37" x14ac:dyDescent="0.3">
      <c r="B3" s="23">
        <v>1</v>
      </c>
      <c r="C3" s="24"/>
      <c r="P3" s="21" t="str">
        <f t="shared" ref="P3:Z12" si="0">IF($C3="","",IF($C3=P$2,1,0))</f>
        <v/>
      </c>
      <c r="Q3" s="21" t="str">
        <f t="shared" si="0"/>
        <v/>
      </c>
      <c r="R3" s="21" t="str">
        <f t="shared" si="0"/>
        <v/>
      </c>
      <c r="S3" s="21" t="str">
        <f t="shared" si="0"/>
        <v/>
      </c>
      <c r="T3" s="21" t="str">
        <f t="shared" si="0"/>
        <v/>
      </c>
      <c r="U3" s="21" t="str">
        <f t="shared" si="0"/>
        <v/>
      </c>
      <c r="V3" s="21" t="str">
        <f t="shared" si="0"/>
        <v/>
      </c>
      <c r="W3" s="21" t="str">
        <f t="shared" si="0"/>
        <v/>
      </c>
      <c r="X3" s="21" t="str">
        <f t="shared" si="0"/>
        <v/>
      </c>
      <c r="Y3" s="21" t="str">
        <f t="shared" si="0"/>
        <v/>
      </c>
      <c r="Z3" s="21" t="str">
        <f t="shared" si="0"/>
        <v/>
      </c>
      <c r="AA3" s="21">
        <v>1</v>
      </c>
      <c r="AB3" s="21">
        <v>2</v>
      </c>
      <c r="AC3" s="21">
        <v>3</v>
      </c>
      <c r="AD3" s="21">
        <v>4</v>
      </c>
      <c r="AE3" s="21">
        <v>5</v>
      </c>
      <c r="AF3" s="21">
        <v>6</v>
      </c>
      <c r="AG3" s="21">
        <v>5</v>
      </c>
      <c r="AH3" s="21">
        <v>4</v>
      </c>
      <c r="AI3" s="21">
        <v>3</v>
      </c>
      <c r="AJ3" s="21">
        <v>2</v>
      </c>
      <c r="AK3" s="21">
        <v>1</v>
      </c>
    </row>
    <row r="4" spans="2:37" x14ac:dyDescent="0.3">
      <c r="B4" s="12">
        <f>B3+1</f>
        <v>2</v>
      </c>
      <c r="C4" s="24"/>
      <c r="P4" s="21" t="str">
        <f t="shared" si="0"/>
        <v/>
      </c>
      <c r="Q4" s="21" t="str">
        <f t="shared" si="0"/>
        <v/>
      </c>
      <c r="R4" s="21" t="str">
        <f t="shared" si="0"/>
        <v/>
      </c>
      <c r="S4" s="21" t="str">
        <f t="shared" si="0"/>
        <v/>
      </c>
      <c r="T4" s="21" t="str">
        <f t="shared" si="0"/>
        <v/>
      </c>
      <c r="U4" s="21" t="str">
        <f t="shared" si="0"/>
        <v/>
      </c>
      <c r="V4" s="21" t="str">
        <f t="shared" si="0"/>
        <v/>
      </c>
      <c r="W4" s="21" t="str">
        <f t="shared" si="0"/>
        <v/>
      </c>
      <c r="X4" s="21" t="str">
        <f t="shared" si="0"/>
        <v/>
      </c>
      <c r="Y4" s="21" t="str">
        <f t="shared" si="0"/>
        <v/>
      </c>
      <c r="Z4" s="21" t="str">
        <f t="shared" si="0"/>
        <v/>
      </c>
    </row>
    <row r="5" spans="2:37" x14ac:dyDescent="0.3">
      <c r="B5" s="12">
        <f t="shared" ref="B5:B12" si="1">B4+1</f>
        <v>3</v>
      </c>
      <c r="C5" s="24"/>
      <c r="P5" s="21" t="str">
        <f t="shared" si="0"/>
        <v/>
      </c>
      <c r="Q5" s="21" t="str">
        <f t="shared" si="0"/>
        <v/>
      </c>
      <c r="R5" s="21" t="str">
        <f t="shared" si="0"/>
        <v/>
      </c>
      <c r="S5" s="21" t="str">
        <f t="shared" si="0"/>
        <v/>
      </c>
      <c r="T5" s="21" t="str">
        <f t="shared" si="0"/>
        <v/>
      </c>
      <c r="U5" s="21" t="str">
        <f t="shared" si="0"/>
        <v/>
      </c>
      <c r="V5" s="21" t="str">
        <f t="shared" si="0"/>
        <v/>
      </c>
      <c r="W5" s="21" t="str">
        <f t="shared" si="0"/>
        <v/>
      </c>
      <c r="X5" s="21" t="str">
        <f t="shared" si="0"/>
        <v/>
      </c>
      <c r="Y5" s="21" t="str">
        <f t="shared" si="0"/>
        <v/>
      </c>
      <c r="Z5" s="21" t="str">
        <f t="shared" si="0"/>
        <v/>
      </c>
      <c r="AA5" s="25">
        <v>2</v>
      </c>
      <c r="AB5" s="25">
        <v>3</v>
      </c>
      <c r="AC5" s="25">
        <v>4</v>
      </c>
      <c r="AD5" s="25">
        <v>5</v>
      </c>
      <c r="AE5" s="25">
        <v>6</v>
      </c>
      <c r="AF5" s="25">
        <v>7</v>
      </c>
      <c r="AG5" s="25">
        <v>8</v>
      </c>
      <c r="AH5" s="25">
        <v>9</v>
      </c>
      <c r="AI5" s="25">
        <v>10</v>
      </c>
      <c r="AJ5" s="25">
        <v>11</v>
      </c>
      <c r="AK5" s="25">
        <v>12</v>
      </c>
    </row>
    <row r="6" spans="2:37" x14ac:dyDescent="0.3">
      <c r="B6" s="12">
        <f t="shared" si="1"/>
        <v>4</v>
      </c>
      <c r="C6" s="24"/>
      <c r="P6" s="21" t="str">
        <f t="shared" si="0"/>
        <v/>
      </c>
      <c r="Q6" s="21" t="str">
        <f t="shared" si="0"/>
        <v/>
      </c>
      <c r="R6" s="21" t="str">
        <f t="shared" si="0"/>
        <v/>
      </c>
      <c r="S6" s="21" t="str">
        <f t="shared" si="0"/>
        <v/>
      </c>
      <c r="T6" s="21" t="str">
        <f t="shared" si="0"/>
        <v/>
      </c>
      <c r="U6" s="21" t="str">
        <f t="shared" si="0"/>
        <v/>
      </c>
      <c r="V6" s="21" t="str">
        <f t="shared" si="0"/>
        <v/>
      </c>
      <c r="W6" s="21" t="str">
        <f t="shared" si="0"/>
        <v/>
      </c>
      <c r="X6" s="21" t="str">
        <f t="shared" si="0"/>
        <v/>
      </c>
      <c r="Y6" s="21" t="str">
        <f t="shared" si="0"/>
        <v/>
      </c>
      <c r="Z6" s="21" t="str">
        <f t="shared" si="0"/>
        <v/>
      </c>
      <c r="AA6" s="22" t="e">
        <f>IF($AA$10=TRUE,COUNTIF($C$3:$C$38,AA$5),NA())</f>
        <v>#N/A</v>
      </c>
      <c r="AB6" s="22" t="e">
        <f t="shared" ref="AB6:AK6" si="2">IF($AA$10=TRUE,COUNTIF($C$3:$C$38,AB$5),NA())</f>
        <v>#N/A</v>
      </c>
      <c r="AC6" s="22" t="e">
        <f t="shared" si="2"/>
        <v>#N/A</v>
      </c>
      <c r="AD6" s="22" t="e">
        <f t="shared" si="2"/>
        <v>#N/A</v>
      </c>
      <c r="AE6" s="22" t="e">
        <f t="shared" si="2"/>
        <v>#N/A</v>
      </c>
      <c r="AF6" s="22" t="e">
        <f t="shared" si="2"/>
        <v>#N/A</v>
      </c>
      <c r="AG6" s="22" t="e">
        <f t="shared" si="2"/>
        <v>#N/A</v>
      </c>
      <c r="AH6" s="22" t="e">
        <f t="shared" si="2"/>
        <v>#N/A</v>
      </c>
      <c r="AI6" s="22" t="e">
        <f t="shared" si="2"/>
        <v>#N/A</v>
      </c>
      <c r="AJ6" s="22" t="e">
        <f t="shared" si="2"/>
        <v>#N/A</v>
      </c>
      <c r="AK6" s="22" t="e">
        <f t="shared" si="2"/>
        <v>#N/A</v>
      </c>
    </row>
    <row r="7" spans="2:37" x14ac:dyDescent="0.3">
      <c r="B7" s="12">
        <f t="shared" si="1"/>
        <v>5</v>
      </c>
      <c r="C7" s="24"/>
      <c r="P7" s="21" t="str">
        <f t="shared" si="0"/>
        <v/>
      </c>
      <c r="Q7" s="21" t="str">
        <f t="shared" si="0"/>
        <v/>
      </c>
      <c r="R7" s="21" t="str">
        <f t="shared" si="0"/>
        <v/>
      </c>
      <c r="S7" s="21" t="str">
        <f t="shared" si="0"/>
        <v/>
      </c>
      <c r="T7" s="21" t="str">
        <f t="shared" si="0"/>
        <v/>
      </c>
      <c r="U7" s="21" t="str">
        <f t="shared" si="0"/>
        <v/>
      </c>
      <c r="V7" s="21" t="str">
        <f t="shared" si="0"/>
        <v/>
      </c>
      <c r="W7" s="21" t="str">
        <f t="shared" si="0"/>
        <v/>
      </c>
      <c r="X7" s="21" t="str">
        <f t="shared" si="0"/>
        <v/>
      </c>
      <c r="Y7" s="21" t="str">
        <f t="shared" si="0"/>
        <v/>
      </c>
      <c r="Z7" s="21" t="str">
        <f t="shared" si="0"/>
        <v/>
      </c>
    </row>
    <row r="8" spans="2:37" x14ac:dyDescent="0.3">
      <c r="B8" s="12">
        <f t="shared" si="1"/>
        <v>6</v>
      </c>
      <c r="C8" s="24"/>
      <c r="P8" s="21" t="str">
        <f t="shared" si="0"/>
        <v/>
      </c>
      <c r="Q8" s="21" t="str">
        <f t="shared" si="0"/>
        <v/>
      </c>
      <c r="R8" s="21" t="str">
        <f t="shared" si="0"/>
        <v/>
      </c>
      <c r="S8" s="21" t="str">
        <f t="shared" si="0"/>
        <v/>
      </c>
      <c r="T8" s="21" t="str">
        <f t="shared" si="0"/>
        <v/>
      </c>
      <c r="U8" s="21" t="str">
        <f t="shared" si="0"/>
        <v/>
      </c>
      <c r="V8" s="21" t="str">
        <f t="shared" si="0"/>
        <v/>
      </c>
      <c r="W8" s="21" t="str">
        <f t="shared" si="0"/>
        <v/>
      </c>
      <c r="X8" s="21" t="str">
        <f t="shared" si="0"/>
        <v/>
      </c>
      <c r="Y8" s="21" t="str">
        <f t="shared" si="0"/>
        <v/>
      </c>
      <c r="Z8" s="21" t="str">
        <f t="shared" si="0"/>
        <v/>
      </c>
    </row>
    <row r="9" spans="2:37" x14ac:dyDescent="0.3">
      <c r="B9" s="12">
        <f t="shared" si="1"/>
        <v>7</v>
      </c>
      <c r="C9" s="24"/>
      <c r="P9" s="21" t="str">
        <f t="shared" si="0"/>
        <v/>
      </c>
      <c r="Q9" s="21" t="str">
        <f t="shared" si="0"/>
        <v/>
      </c>
      <c r="R9" s="21" t="str">
        <f t="shared" si="0"/>
        <v/>
      </c>
      <c r="S9" s="21" t="str">
        <f t="shared" si="0"/>
        <v/>
      </c>
      <c r="T9" s="21" t="str">
        <f t="shared" si="0"/>
        <v/>
      </c>
      <c r="U9" s="21" t="str">
        <f t="shared" si="0"/>
        <v/>
      </c>
      <c r="V9" s="21" t="str">
        <f t="shared" si="0"/>
        <v/>
      </c>
      <c r="W9" s="21" t="str">
        <f t="shared" si="0"/>
        <v/>
      </c>
      <c r="X9" s="21" t="str">
        <f t="shared" si="0"/>
        <v/>
      </c>
      <c r="Y9" s="21" t="str">
        <f t="shared" si="0"/>
        <v/>
      </c>
      <c r="Z9" s="21" t="str">
        <f t="shared" si="0"/>
        <v/>
      </c>
    </row>
    <row r="10" spans="2:37" x14ac:dyDescent="0.3">
      <c r="B10" s="12">
        <f t="shared" si="1"/>
        <v>8</v>
      </c>
      <c r="C10" s="24"/>
      <c r="P10" s="21" t="str">
        <f t="shared" si="0"/>
        <v/>
      </c>
      <c r="Q10" s="21" t="str">
        <f t="shared" si="0"/>
        <v/>
      </c>
      <c r="R10" s="21" t="str">
        <f t="shared" si="0"/>
        <v/>
      </c>
      <c r="S10" s="21" t="str">
        <f t="shared" si="0"/>
        <v/>
      </c>
      <c r="T10" s="21" t="str">
        <f t="shared" si="0"/>
        <v/>
      </c>
      <c r="U10" s="21" t="str">
        <f t="shared" si="0"/>
        <v/>
      </c>
      <c r="V10" s="21" t="str">
        <f t="shared" si="0"/>
        <v/>
      </c>
      <c r="W10" s="21" t="str">
        <f t="shared" si="0"/>
        <v/>
      </c>
      <c r="X10" s="21" t="str">
        <f t="shared" si="0"/>
        <v/>
      </c>
      <c r="Y10" s="21" t="str">
        <f t="shared" si="0"/>
        <v/>
      </c>
      <c r="Z10" s="21" t="str">
        <f t="shared" si="0"/>
        <v/>
      </c>
      <c r="AA10" s="8" t="b">
        <v>0</v>
      </c>
    </row>
    <row r="11" spans="2:37" x14ac:dyDescent="0.3">
      <c r="B11" s="12">
        <f t="shared" si="1"/>
        <v>9</v>
      </c>
      <c r="C11" s="24"/>
      <c r="P11" s="21" t="str">
        <f t="shared" si="0"/>
        <v/>
      </c>
      <c r="Q11" s="21" t="str">
        <f t="shared" si="0"/>
        <v/>
      </c>
      <c r="R11" s="21" t="str">
        <f t="shared" si="0"/>
        <v/>
      </c>
      <c r="S11" s="21" t="str">
        <f t="shared" si="0"/>
        <v/>
      </c>
      <c r="T11" s="21" t="str">
        <f t="shared" si="0"/>
        <v/>
      </c>
      <c r="U11" s="21" t="str">
        <f t="shared" si="0"/>
        <v/>
      </c>
      <c r="V11" s="21" t="str">
        <f t="shared" si="0"/>
        <v/>
      </c>
      <c r="W11" s="21" t="str">
        <f t="shared" si="0"/>
        <v/>
      </c>
      <c r="X11" s="21" t="str">
        <f t="shared" si="0"/>
        <v/>
      </c>
      <c r="Y11" s="21" t="str">
        <f t="shared" si="0"/>
        <v/>
      </c>
      <c r="Z11" s="21" t="str">
        <f t="shared" si="0"/>
        <v/>
      </c>
    </row>
    <row r="12" spans="2:37" x14ac:dyDescent="0.3">
      <c r="B12" s="12">
        <f t="shared" si="1"/>
        <v>10</v>
      </c>
      <c r="C12" s="24"/>
      <c r="P12" s="21" t="str">
        <f t="shared" si="0"/>
        <v/>
      </c>
      <c r="Q12" s="21" t="str">
        <f t="shared" si="0"/>
        <v/>
      </c>
      <c r="R12" s="21" t="str">
        <f t="shared" si="0"/>
        <v/>
      </c>
      <c r="S12" s="21" t="str">
        <f t="shared" si="0"/>
        <v/>
      </c>
      <c r="T12" s="21" t="str">
        <f t="shared" si="0"/>
        <v/>
      </c>
      <c r="U12" s="21" t="str">
        <f t="shared" si="0"/>
        <v/>
      </c>
      <c r="V12" s="21" t="str">
        <f t="shared" si="0"/>
        <v/>
      </c>
      <c r="W12" s="21" t="str">
        <f t="shared" si="0"/>
        <v/>
      </c>
      <c r="X12" s="21" t="str">
        <f t="shared" si="0"/>
        <v/>
      </c>
      <c r="Y12" s="21" t="str">
        <f t="shared" si="0"/>
        <v/>
      </c>
      <c r="Z12" s="21" t="str">
        <f t="shared" si="0"/>
        <v/>
      </c>
    </row>
    <row r="13" spans="2:37" x14ac:dyDescent="0.3">
      <c r="B13" s="12">
        <f t="shared" ref="B13:B26" si="3">B12+1</f>
        <v>11</v>
      </c>
      <c r="C13" s="24"/>
      <c r="P13" s="21" t="str">
        <f t="shared" ref="P13:Z22" si="4">IF($C13="","",IF($C13=P$2,1,0))</f>
        <v/>
      </c>
      <c r="Q13" s="21" t="str">
        <f t="shared" si="4"/>
        <v/>
      </c>
      <c r="R13" s="21" t="str">
        <f t="shared" si="4"/>
        <v/>
      </c>
      <c r="S13" s="21" t="str">
        <f t="shared" si="4"/>
        <v/>
      </c>
      <c r="T13" s="21" t="str">
        <f t="shared" si="4"/>
        <v/>
      </c>
      <c r="U13" s="21" t="str">
        <f t="shared" si="4"/>
        <v/>
      </c>
      <c r="V13" s="21" t="str">
        <f t="shared" si="4"/>
        <v/>
      </c>
      <c r="W13" s="21" t="str">
        <f t="shared" si="4"/>
        <v/>
      </c>
      <c r="X13" s="21" t="str">
        <f t="shared" si="4"/>
        <v/>
      </c>
      <c r="Y13" s="21" t="str">
        <f t="shared" si="4"/>
        <v/>
      </c>
      <c r="Z13" s="21" t="str">
        <f t="shared" si="4"/>
        <v/>
      </c>
    </row>
    <row r="14" spans="2:37" x14ac:dyDescent="0.3">
      <c r="B14" s="12">
        <f t="shared" si="3"/>
        <v>12</v>
      </c>
      <c r="C14" s="24"/>
      <c r="P14" s="21" t="str">
        <f t="shared" si="4"/>
        <v/>
      </c>
      <c r="Q14" s="21" t="str">
        <f t="shared" si="4"/>
        <v/>
      </c>
      <c r="R14" s="21" t="str">
        <f t="shared" si="4"/>
        <v/>
      </c>
      <c r="S14" s="21" t="str">
        <f t="shared" si="4"/>
        <v/>
      </c>
      <c r="T14" s="21" t="str">
        <f t="shared" si="4"/>
        <v/>
      </c>
      <c r="U14" s="21" t="str">
        <f t="shared" si="4"/>
        <v/>
      </c>
      <c r="V14" s="21" t="str">
        <f t="shared" si="4"/>
        <v/>
      </c>
      <c r="W14" s="21" t="str">
        <f t="shared" si="4"/>
        <v/>
      </c>
      <c r="X14" s="21" t="str">
        <f t="shared" si="4"/>
        <v/>
      </c>
      <c r="Y14" s="21" t="str">
        <f t="shared" si="4"/>
        <v/>
      </c>
      <c r="Z14" s="21" t="str">
        <f t="shared" si="4"/>
        <v/>
      </c>
    </row>
    <row r="15" spans="2:37" x14ac:dyDescent="0.3">
      <c r="B15" s="12">
        <f t="shared" si="3"/>
        <v>13</v>
      </c>
      <c r="C15" s="24"/>
      <c r="P15" s="21" t="str">
        <f t="shared" si="4"/>
        <v/>
      </c>
      <c r="Q15" s="21" t="str">
        <f t="shared" si="4"/>
        <v/>
      </c>
      <c r="R15" s="21" t="str">
        <f t="shared" si="4"/>
        <v/>
      </c>
      <c r="S15" s="21" t="str">
        <f t="shared" si="4"/>
        <v/>
      </c>
      <c r="T15" s="21" t="str">
        <f t="shared" si="4"/>
        <v/>
      </c>
      <c r="U15" s="21" t="str">
        <f t="shared" si="4"/>
        <v/>
      </c>
      <c r="V15" s="21" t="str">
        <f t="shared" si="4"/>
        <v/>
      </c>
      <c r="W15" s="21" t="str">
        <f t="shared" si="4"/>
        <v/>
      </c>
      <c r="X15" s="21" t="str">
        <f t="shared" si="4"/>
        <v/>
      </c>
      <c r="Y15" s="21" t="str">
        <f t="shared" si="4"/>
        <v/>
      </c>
      <c r="Z15" s="21" t="str">
        <f t="shared" si="4"/>
        <v/>
      </c>
    </row>
    <row r="16" spans="2:37" x14ac:dyDescent="0.3">
      <c r="B16" s="12">
        <f t="shared" si="3"/>
        <v>14</v>
      </c>
      <c r="C16" s="24"/>
      <c r="P16" s="21" t="str">
        <f t="shared" si="4"/>
        <v/>
      </c>
      <c r="Q16" s="21" t="str">
        <f t="shared" si="4"/>
        <v/>
      </c>
      <c r="R16" s="21" t="str">
        <f t="shared" si="4"/>
        <v/>
      </c>
      <c r="S16" s="21" t="str">
        <f t="shared" si="4"/>
        <v/>
      </c>
      <c r="T16" s="21" t="str">
        <f t="shared" si="4"/>
        <v/>
      </c>
      <c r="U16" s="21" t="str">
        <f t="shared" si="4"/>
        <v/>
      </c>
      <c r="V16" s="21" t="str">
        <f t="shared" si="4"/>
        <v/>
      </c>
      <c r="W16" s="21" t="str">
        <f t="shared" si="4"/>
        <v/>
      </c>
      <c r="X16" s="21" t="str">
        <f t="shared" si="4"/>
        <v/>
      </c>
      <c r="Y16" s="21" t="str">
        <f t="shared" si="4"/>
        <v/>
      </c>
      <c r="Z16" s="21" t="str">
        <f t="shared" si="4"/>
        <v/>
      </c>
    </row>
    <row r="17" spans="2:26" x14ac:dyDescent="0.3">
      <c r="B17" s="12">
        <f t="shared" si="3"/>
        <v>15</v>
      </c>
      <c r="C17" s="24"/>
      <c r="P17" s="21" t="str">
        <f t="shared" si="4"/>
        <v/>
      </c>
      <c r="Q17" s="21" t="str">
        <f t="shared" si="4"/>
        <v/>
      </c>
      <c r="R17" s="21" t="str">
        <f t="shared" si="4"/>
        <v/>
      </c>
      <c r="S17" s="21" t="str">
        <f t="shared" si="4"/>
        <v/>
      </c>
      <c r="T17" s="21" t="str">
        <f t="shared" si="4"/>
        <v/>
      </c>
      <c r="U17" s="21" t="str">
        <f t="shared" si="4"/>
        <v/>
      </c>
      <c r="V17" s="21" t="str">
        <f t="shared" si="4"/>
        <v/>
      </c>
      <c r="W17" s="21" t="str">
        <f t="shared" si="4"/>
        <v/>
      </c>
      <c r="X17" s="21" t="str">
        <f t="shared" si="4"/>
        <v/>
      </c>
      <c r="Y17" s="21" t="str">
        <f t="shared" si="4"/>
        <v/>
      </c>
      <c r="Z17" s="21" t="str">
        <f t="shared" si="4"/>
        <v/>
      </c>
    </row>
    <row r="18" spans="2:26" x14ac:dyDescent="0.3">
      <c r="B18" s="12">
        <f t="shared" si="3"/>
        <v>16</v>
      </c>
      <c r="C18" s="24"/>
      <c r="P18" s="21" t="str">
        <f t="shared" si="4"/>
        <v/>
      </c>
      <c r="Q18" s="21" t="str">
        <f t="shared" si="4"/>
        <v/>
      </c>
      <c r="R18" s="21" t="str">
        <f t="shared" si="4"/>
        <v/>
      </c>
      <c r="S18" s="21" t="str">
        <f t="shared" si="4"/>
        <v/>
      </c>
      <c r="T18" s="21" t="str">
        <f t="shared" si="4"/>
        <v/>
      </c>
      <c r="U18" s="21" t="str">
        <f t="shared" si="4"/>
        <v/>
      </c>
      <c r="V18" s="21" t="str">
        <f t="shared" si="4"/>
        <v/>
      </c>
      <c r="W18" s="21" t="str">
        <f t="shared" si="4"/>
        <v/>
      </c>
      <c r="X18" s="21" t="str">
        <f t="shared" si="4"/>
        <v/>
      </c>
      <c r="Y18" s="21" t="str">
        <f t="shared" si="4"/>
        <v/>
      </c>
      <c r="Z18" s="21" t="str">
        <f t="shared" si="4"/>
        <v/>
      </c>
    </row>
    <row r="19" spans="2:26" x14ac:dyDescent="0.3">
      <c r="B19" s="12">
        <f t="shared" si="3"/>
        <v>17</v>
      </c>
      <c r="C19" s="24"/>
      <c r="P19" s="21" t="str">
        <f t="shared" si="4"/>
        <v/>
      </c>
      <c r="Q19" s="21" t="str">
        <f t="shared" si="4"/>
        <v/>
      </c>
      <c r="R19" s="21" t="str">
        <f t="shared" si="4"/>
        <v/>
      </c>
      <c r="S19" s="21" t="str">
        <f t="shared" si="4"/>
        <v/>
      </c>
      <c r="T19" s="21" t="str">
        <f t="shared" si="4"/>
        <v/>
      </c>
      <c r="U19" s="21" t="str">
        <f t="shared" si="4"/>
        <v/>
      </c>
      <c r="V19" s="21" t="str">
        <f t="shared" si="4"/>
        <v/>
      </c>
      <c r="W19" s="21" t="str">
        <f t="shared" si="4"/>
        <v/>
      </c>
      <c r="X19" s="21" t="str">
        <f t="shared" si="4"/>
        <v/>
      </c>
      <c r="Y19" s="21" t="str">
        <f t="shared" si="4"/>
        <v/>
      </c>
      <c r="Z19" s="21" t="str">
        <f t="shared" si="4"/>
        <v/>
      </c>
    </row>
    <row r="20" spans="2:26" x14ac:dyDescent="0.3">
      <c r="B20" s="12">
        <f t="shared" si="3"/>
        <v>18</v>
      </c>
      <c r="C20" s="24"/>
      <c r="P20" s="21" t="str">
        <f t="shared" si="4"/>
        <v/>
      </c>
      <c r="Q20" s="21" t="str">
        <f t="shared" si="4"/>
        <v/>
      </c>
      <c r="R20" s="21" t="str">
        <f t="shared" si="4"/>
        <v/>
      </c>
      <c r="S20" s="21" t="str">
        <f t="shared" si="4"/>
        <v/>
      </c>
      <c r="T20" s="21" t="str">
        <f t="shared" si="4"/>
        <v/>
      </c>
      <c r="U20" s="21" t="str">
        <f t="shared" si="4"/>
        <v/>
      </c>
      <c r="V20" s="21" t="str">
        <f t="shared" si="4"/>
        <v/>
      </c>
      <c r="W20" s="21" t="str">
        <f t="shared" si="4"/>
        <v/>
      </c>
      <c r="X20" s="21" t="str">
        <f t="shared" si="4"/>
        <v/>
      </c>
      <c r="Y20" s="21" t="str">
        <f t="shared" si="4"/>
        <v/>
      </c>
      <c r="Z20" s="21" t="str">
        <f t="shared" si="4"/>
        <v/>
      </c>
    </row>
    <row r="21" spans="2:26" x14ac:dyDescent="0.3">
      <c r="B21" s="12">
        <f t="shared" si="3"/>
        <v>19</v>
      </c>
      <c r="C21" s="24"/>
      <c r="P21" s="21" t="str">
        <f t="shared" si="4"/>
        <v/>
      </c>
      <c r="Q21" s="21" t="str">
        <f t="shared" si="4"/>
        <v/>
      </c>
      <c r="R21" s="21" t="str">
        <f t="shared" si="4"/>
        <v/>
      </c>
      <c r="S21" s="21" t="str">
        <f t="shared" si="4"/>
        <v/>
      </c>
      <c r="T21" s="21" t="str">
        <f t="shared" si="4"/>
        <v/>
      </c>
      <c r="U21" s="21" t="str">
        <f t="shared" si="4"/>
        <v/>
      </c>
      <c r="V21" s="21" t="str">
        <f t="shared" si="4"/>
        <v/>
      </c>
      <c r="W21" s="21" t="str">
        <f t="shared" si="4"/>
        <v/>
      </c>
      <c r="X21" s="21" t="str">
        <f t="shared" si="4"/>
        <v/>
      </c>
      <c r="Y21" s="21" t="str">
        <f t="shared" si="4"/>
        <v/>
      </c>
      <c r="Z21" s="21" t="str">
        <f t="shared" si="4"/>
        <v/>
      </c>
    </row>
    <row r="22" spans="2:26" x14ac:dyDescent="0.3">
      <c r="B22" s="12">
        <f t="shared" si="3"/>
        <v>20</v>
      </c>
      <c r="C22" s="24"/>
      <c r="P22" s="21" t="str">
        <f t="shared" si="4"/>
        <v/>
      </c>
      <c r="Q22" s="21" t="str">
        <f t="shared" si="4"/>
        <v/>
      </c>
      <c r="R22" s="21" t="str">
        <f t="shared" si="4"/>
        <v/>
      </c>
      <c r="S22" s="21" t="str">
        <f t="shared" si="4"/>
        <v/>
      </c>
      <c r="T22" s="21" t="str">
        <f t="shared" si="4"/>
        <v/>
      </c>
      <c r="U22" s="21" t="str">
        <f t="shared" si="4"/>
        <v/>
      </c>
      <c r="V22" s="21" t="str">
        <f t="shared" si="4"/>
        <v/>
      </c>
      <c r="W22" s="21" t="str">
        <f t="shared" si="4"/>
        <v/>
      </c>
      <c r="X22" s="21" t="str">
        <f t="shared" si="4"/>
        <v/>
      </c>
      <c r="Y22" s="21" t="str">
        <f t="shared" si="4"/>
        <v/>
      </c>
      <c r="Z22" s="21" t="str">
        <f t="shared" si="4"/>
        <v/>
      </c>
    </row>
    <row r="23" spans="2:26" x14ac:dyDescent="0.3">
      <c r="B23" s="12">
        <f t="shared" si="3"/>
        <v>21</v>
      </c>
      <c r="C23" s="24"/>
      <c r="P23" s="21" t="str">
        <f t="shared" ref="P23:Z32" si="5">IF($C23="","",IF($C23=P$2,1,0))</f>
        <v/>
      </c>
      <c r="Q23" s="21" t="str">
        <f t="shared" si="5"/>
        <v/>
      </c>
      <c r="R23" s="21" t="str">
        <f t="shared" si="5"/>
        <v/>
      </c>
      <c r="S23" s="21" t="str">
        <f t="shared" si="5"/>
        <v/>
      </c>
      <c r="T23" s="21" t="str">
        <f t="shared" si="5"/>
        <v/>
      </c>
      <c r="U23" s="21" t="str">
        <f t="shared" si="5"/>
        <v/>
      </c>
      <c r="V23" s="21" t="str">
        <f t="shared" si="5"/>
        <v/>
      </c>
      <c r="W23" s="21" t="str">
        <f t="shared" si="5"/>
        <v/>
      </c>
      <c r="X23" s="21" t="str">
        <f t="shared" si="5"/>
        <v/>
      </c>
      <c r="Y23" s="21" t="str">
        <f t="shared" si="5"/>
        <v/>
      </c>
      <c r="Z23" s="21" t="str">
        <f t="shared" si="5"/>
        <v/>
      </c>
    </row>
    <row r="24" spans="2:26" x14ac:dyDescent="0.3">
      <c r="B24" s="12">
        <f t="shared" si="3"/>
        <v>22</v>
      </c>
      <c r="C24" s="24"/>
      <c r="P24" s="21" t="str">
        <f t="shared" si="5"/>
        <v/>
      </c>
      <c r="Q24" s="21" t="str">
        <f t="shared" si="5"/>
        <v/>
      </c>
      <c r="R24" s="21" t="str">
        <f t="shared" si="5"/>
        <v/>
      </c>
      <c r="S24" s="21" t="str">
        <f t="shared" si="5"/>
        <v/>
      </c>
      <c r="T24" s="21" t="str">
        <f t="shared" si="5"/>
        <v/>
      </c>
      <c r="U24" s="21" t="str">
        <f t="shared" si="5"/>
        <v/>
      </c>
      <c r="V24" s="21" t="str">
        <f t="shared" si="5"/>
        <v/>
      </c>
      <c r="W24" s="21" t="str">
        <f t="shared" si="5"/>
        <v/>
      </c>
      <c r="X24" s="21" t="str">
        <f t="shared" si="5"/>
        <v/>
      </c>
      <c r="Y24" s="21" t="str">
        <f t="shared" si="5"/>
        <v/>
      </c>
      <c r="Z24" s="21" t="str">
        <f t="shared" si="5"/>
        <v/>
      </c>
    </row>
    <row r="25" spans="2:26" x14ac:dyDescent="0.3">
      <c r="B25" s="12">
        <f t="shared" si="3"/>
        <v>23</v>
      </c>
      <c r="C25" s="24"/>
      <c r="P25" s="21" t="str">
        <f t="shared" si="5"/>
        <v/>
      </c>
      <c r="Q25" s="21" t="str">
        <f t="shared" si="5"/>
        <v/>
      </c>
      <c r="R25" s="21" t="str">
        <f t="shared" si="5"/>
        <v/>
      </c>
      <c r="S25" s="21" t="str">
        <f t="shared" si="5"/>
        <v/>
      </c>
      <c r="T25" s="21" t="str">
        <f t="shared" si="5"/>
        <v/>
      </c>
      <c r="U25" s="21" t="str">
        <f t="shared" si="5"/>
        <v/>
      </c>
      <c r="V25" s="21" t="str">
        <f t="shared" si="5"/>
        <v/>
      </c>
      <c r="W25" s="21" t="str">
        <f t="shared" si="5"/>
        <v/>
      </c>
      <c r="X25" s="21" t="str">
        <f t="shared" si="5"/>
        <v/>
      </c>
      <c r="Y25" s="21" t="str">
        <f t="shared" si="5"/>
        <v/>
      </c>
      <c r="Z25" s="21" t="str">
        <f t="shared" si="5"/>
        <v/>
      </c>
    </row>
    <row r="26" spans="2:26" x14ac:dyDescent="0.3">
      <c r="B26" s="12">
        <f t="shared" si="3"/>
        <v>24</v>
      </c>
      <c r="C26" s="24"/>
      <c r="P26" s="21" t="str">
        <f t="shared" si="5"/>
        <v/>
      </c>
      <c r="Q26" s="21" t="str">
        <f t="shared" si="5"/>
        <v/>
      </c>
      <c r="R26" s="21" t="str">
        <f t="shared" si="5"/>
        <v/>
      </c>
      <c r="S26" s="21" t="str">
        <f t="shared" si="5"/>
        <v/>
      </c>
      <c r="T26" s="21" t="str">
        <f t="shared" si="5"/>
        <v/>
      </c>
      <c r="U26" s="21" t="str">
        <f t="shared" si="5"/>
        <v/>
      </c>
      <c r="V26" s="21" t="str">
        <f t="shared" si="5"/>
        <v/>
      </c>
      <c r="W26" s="21" t="str">
        <f t="shared" si="5"/>
        <v/>
      </c>
      <c r="X26" s="21" t="str">
        <f t="shared" si="5"/>
        <v/>
      </c>
      <c r="Y26" s="21" t="str">
        <f t="shared" si="5"/>
        <v/>
      </c>
      <c r="Z26" s="21" t="str">
        <f t="shared" si="5"/>
        <v/>
      </c>
    </row>
    <row r="27" spans="2:26" x14ac:dyDescent="0.3">
      <c r="B27" s="12">
        <f t="shared" ref="B27" si="6">B26+1</f>
        <v>25</v>
      </c>
      <c r="C27" s="24"/>
      <c r="P27" s="21" t="str">
        <f t="shared" si="5"/>
        <v/>
      </c>
      <c r="Q27" s="21" t="str">
        <f t="shared" si="5"/>
        <v/>
      </c>
      <c r="R27" s="21" t="str">
        <f t="shared" si="5"/>
        <v/>
      </c>
      <c r="S27" s="21" t="str">
        <f t="shared" si="5"/>
        <v/>
      </c>
      <c r="T27" s="21" t="str">
        <f t="shared" si="5"/>
        <v/>
      </c>
      <c r="U27" s="21" t="str">
        <f t="shared" si="5"/>
        <v/>
      </c>
      <c r="V27" s="21" t="str">
        <f t="shared" si="5"/>
        <v/>
      </c>
      <c r="W27" s="21" t="str">
        <f t="shared" si="5"/>
        <v/>
      </c>
      <c r="X27" s="21" t="str">
        <f t="shared" si="5"/>
        <v/>
      </c>
      <c r="Y27" s="21" t="str">
        <f t="shared" si="5"/>
        <v/>
      </c>
      <c r="Z27" s="21" t="str">
        <f t="shared" si="5"/>
        <v/>
      </c>
    </row>
    <row r="28" spans="2:26" x14ac:dyDescent="0.3">
      <c r="B28" s="12">
        <f t="shared" ref="B28:B38" si="7">B27+1</f>
        <v>26</v>
      </c>
      <c r="C28" s="24"/>
      <c r="P28" s="21" t="str">
        <f t="shared" si="5"/>
        <v/>
      </c>
      <c r="Q28" s="21" t="str">
        <f t="shared" si="5"/>
        <v/>
      </c>
      <c r="R28" s="21" t="str">
        <f t="shared" si="5"/>
        <v/>
      </c>
      <c r="S28" s="21" t="str">
        <f t="shared" si="5"/>
        <v/>
      </c>
      <c r="T28" s="21" t="str">
        <f t="shared" si="5"/>
        <v/>
      </c>
      <c r="U28" s="21" t="str">
        <f t="shared" si="5"/>
        <v/>
      </c>
      <c r="V28" s="21" t="str">
        <f t="shared" si="5"/>
        <v/>
      </c>
      <c r="W28" s="21" t="str">
        <f t="shared" si="5"/>
        <v/>
      </c>
      <c r="X28" s="21" t="str">
        <f t="shared" si="5"/>
        <v/>
      </c>
      <c r="Y28" s="21" t="str">
        <f t="shared" si="5"/>
        <v/>
      </c>
      <c r="Z28" s="21" t="str">
        <f t="shared" si="5"/>
        <v/>
      </c>
    </row>
    <row r="29" spans="2:26" x14ac:dyDescent="0.3">
      <c r="B29" s="12">
        <f t="shared" si="7"/>
        <v>27</v>
      </c>
      <c r="C29" s="24"/>
      <c r="P29" s="21" t="str">
        <f t="shared" si="5"/>
        <v/>
      </c>
      <c r="Q29" s="21" t="str">
        <f t="shared" si="5"/>
        <v/>
      </c>
      <c r="R29" s="21" t="str">
        <f t="shared" si="5"/>
        <v/>
      </c>
      <c r="S29" s="21" t="str">
        <f t="shared" si="5"/>
        <v/>
      </c>
      <c r="T29" s="21" t="str">
        <f t="shared" si="5"/>
        <v/>
      </c>
      <c r="U29" s="21" t="str">
        <f t="shared" si="5"/>
        <v/>
      </c>
      <c r="V29" s="21" t="str">
        <f t="shared" si="5"/>
        <v/>
      </c>
      <c r="W29" s="21" t="str">
        <f t="shared" si="5"/>
        <v/>
      </c>
      <c r="X29" s="21" t="str">
        <f t="shared" si="5"/>
        <v/>
      </c>
      <c r="Y29" s="21" t="str">
        <f t="shared" si="5"/>
        <v/>
      </c>
      <c r="Z29" s="21" t="str">
        <f t="shared" si="5"/>
        <v/>
      </c>
    </row>
    <row r="30" spans="2:26" x14ac:dyDescent="0.3">
      <c r="B30" s="12">
        <f t="shared" si="7"/>
        <v>28</v>
      </c>
      <c r="C30" s="24"/>
      <c r="P30" s="21" t="str">
        <f t="shared" si="5"/>
        <v/>
      </c>
      <c r="Q30" s="21" t="str">
        <f t="shared" si="5"/>
        <v/>
      </c>
      <c r="R30" s="21" t="str">
        <f t="shared" si="5"/>
        <v/>
      </c>
      <c r="S30" s="21" t="str">
        <f t="shared" si="5"/>
        <v/>
      </c>
      <c r="T30" s="21" t="str">
        <f t="shared" si="5"/>
        <v/>
      </c>
      <c r="U30" s="21" t="str">
        <f t="shared" si="5"/>
        <v/>
      </c>
      <c r="V30" s="21" t="str">
        <f t="shared" si="5"/>
        <v/>
      </c>
      <c r="W30" s="21" t="str">
        <f t="shared" si="5"/>
        <v/>
      </c>
      <c r="X30" s="21" t="str">
        <f t="shared" si="5"/>
        <v/>
      </c>
      <c r="Y30" s="21" t="str">
        <f t="shared" si="5"/>
        <v/>
      </c>
      <c r="Z30" s="21" t="str">
        <f t="shared" si="5"/>
        <v/>
      </c>
    </row>
    <row r="31" spans="2:26" x14ac:dyDescent="0.3">
      <c r="B31" s="12">
        <f t="shared" si="7"/>
        <v>29</v>
      </c>
      <c r="C31" s="24"/>
      <c r="P31" s="21" t="str">
        <f t="shared" si="5"/>
        <v/>
      </c>
      <c r="Q31" s="21" t="str">
        <f t="shared" si="5"/>
        <v/>
      </c>
      <c r="R31" s="21" t="str">
        <f t="shared" si="5"/>
        <v/>
      </c>
      <c r="S31" s="21" t="str">
        <f t="shared" si="5"/>
        <v/>
      </c>
      <c r="T31" s="21" t="str">
        <f t="shared" si="5"/>
        <v/>
      </c>
      <c r="U31" s="21" t="str">
        <f t="shared" si="5"/>
        <v/>
      </c>
      <c r="V31" s="21" t="str">
        <f t="shared" si="5"/>
        <v/>
      </c>
      <c r="W31" s="21" t="str">
        <f t="shared" si="5"/>
        <v/>
      </c>
      <c r="X31" s="21" t="str">
        <f t="shared" si="5"/>
        <v/>
      </c>
      <c r="Y31" s="21" t="str">
        <f t="shared" si="5"/>
        <v/>
      </c>
      <c r="Z31" s="21" t="str">
        <f t="shared" si="5"/>
        <v/>
      </c>
    </row>
    <row r="32" spans="2:26" x14ac:dyDescent="0.3">
      <c r="B32" s="12">
        <f t="shared" si="7"/>
        <v>30</v>
      </c>
      <c r="C32" s="24"/>
      <c r="P32" s="21" t="str">
        <f t="shared" si="5"/>
        <v/>
      </c>
      <c r="Q32" s="21" t="str">
        <f t="shared" si="5"/>
        <v/>
      </c>
      <c r="R32" s="21" t="str">
        <f t="shared" si="5"/>
        <v/>
      </c>
      <c r="S32" s="21" t="str">
        <f t="shared" si="5"/>
        <v/>
      </c>
      <c r="T32" s="21" t="str">
        <f t="shared" si="5"/>
        <v/>
      </c>
      <c r="U32" s="21" t="str">
        <f t="shared" si="5"/>
        <v/>
      </c>
      <c r="V32" s="21" t="str">
        <f t="shared" si="5"/>
        <v/>
      </c>
      <c r="W32" s="21" t="str">
        <f t="shared" si="5"/>
        <v/>
      </c>
      <c r="X32" s="21" t="str">
        <f t="shared" si="5"/>
        <v/>
      </c>
      <c r="Y32" s="21" t="str">
        <f t="shared" si="5"/>
        <v/>
      </c>
      <c r="Z32" s="21" t="str">
        <f t="shared" si="5"/>
        <v/>
      </c>
    </row>
    <row r="33" spans="2:26" x14ac:dyDescent="0.3">
      <c r="B33" s="12">
        <f t="shared" si="7"/>
        <v>31</v>
      </c>
      <c r="C33" s="24"/>
      <c r="P33" s="21" t="str">
        <f t="shared" ref="P33:Z38" si="8">IF($C33="","",IF($C33=P$2,1,0))</f>
        <v/>
      </c>
      <c r="Q33" s="21" t="str">
        <f t="shared" si="8"/>
        <v/>
      </c>
      <c r="R33" s="21" t="str">
        <f t="shared" si="8"/>
        <v/>
      </c>
      <c r="S33" s="21" t="str">
        <f t="shared" si="8"/>
        <v/>
      </c>
      <c r="T33" s="21" t="str">
        <f t="shared" si="8"/>
        <v/>
      </c>
      <c r="U33" s="21" t="str">
        <f t="shared" si="8"/>
        <v/>
      </c>
      <c r="V33" s="21" t="str">
        <f t="shared" si="8"/>
        <v/>
      </c>
      <c r="W33" s="21" t="str">
        <f t="shared" si="8"/>
        <v/>
      </c>
      <c r="X33" s="21" t="str">
        <f t="shared" si="8"/>
        <v/>
      </c>
      <c r="Y33" s="21" t="str">
        <f t="shared" si="8"/>
        <v/>
      </c>
      <c r="Z33" s="21" t="str">
        <f t="shared" si="8"/>
        <v/>
      </c>
    </row>
    <row r="34" spans="2:26" x14ac:dyDescent="0.3">
      <c r="B34" s="12">
        <f t="shared" si="7"/>
        <v>32</v>
      </c>
      <c r="C34" s="24"/>
      <c r="P34" s="21" t="str">
        <f t="shared" si="8"/>
        <v/>
      </c>
      <c r="Q34" s="21" t="str">
        <f t="shared" si="8"/>
        <v/>
      </c>
      <c r="R34" s="21" t="str">
        <f t="shared" si="8"/>
        <v/>
      </c>
      <c r="S34" s="21" t="str">
        <f t="shared" si="8"/>
        <v/>
      </c>
      <c r="T34" s="21" t="str">
        <f t="shared" si="8"/>
        <v/>
      </c>
      <c r="U34" s="21" t="str">
        <f t="shared" si="8"/>
        <v/>
      </c>
      <c r="V34" s="21" t="str">
        <f t="shared" si="8"/>
        <v/>
      </c>
      <c r="W34" s="21" t="str">
        <f t="shared" si="8"/>
        <v/>
      </c>
      <c r="X34" s="21" t="str">
        <f t="shared" si="8"/>
        <v/>
      </c>
      <c r="Y34" s="21" t="str">
        <f t="shared" si="8"/>
        <v/>
      </c>
      <c r="Z34" s="21" t="str">
        <f t="shared" si="8"/>
        <v/>
      </c>
    </row>
    <row r="35" spans="2:26" x14ac:dyDescent="0.3">
      <c r="B35" s="12">
        <f t="shared" si="7"/>
        <v>33</v>
      </c>
      <c r="C35" s="24"/>
      <c r="P35" s="21" t="str">
        <f t="shared" si="8"/>
        <v/>
      </c>
      <c r="Q35" s="21" t="str">
        <f t="shared" si="8"/>
        <v/>
      </c>
      <c r="R35" s="21" t="str">
        <f t="shared" si="8"/>
        <v/>
      </c>
      <c r="S35" s="21" t="str">
        <f t="shared" si="8"/>
        <v/>
      </c>
      <c r="T35" s="21" t="str">
        <f t="shared" si="8"/>
        <v/>
      </c>
      <c r="U35" s="21" t="str">
        <f t="shared" si="8"/>
        <v/>
      </c>
      <c r="V35" s="21" t="str">
        <f t="shared" si="8"/>
        <v/>
      </c>
      <c r="W35" s="21" t="str">
        <f t="shared" si="8"/>
        <v/>
      </c>
      <c r="X35" s="21" t="str">
        <f t="shared" si="8"/>
        <v/>
      </c>
      <c r="Y35" s="21" t="str">
        <f t="shared" si="8"/>
        <v/>
      </c>
      <c r="Z35" s="21" t="str">
        <f t="shared" si="8"/>
        <v/>
      </c>
    </row>
    <row r="36" spans="2:26" x14ac:dyDescent="0.3">
      <c r="B36" s="12">
        <f t="shared" si="7"/>
        <v>34</v>
      </c>
      <c r="C36" s="24"/>
      <c r="P36" s="21" t="str">
        <f t="shared" si="8"/>
        <v/>
      </c>
      <c r="Q36" s="21" t="str">
        <f t="shared" si="8"/>
        <v/>
      </c>
      <c r="R36" s="21" t="str">
        <f t="shared" si="8"/>
        <v/>
      </c>
      <c r="S36" s="21" t="str">
        <f t="shared" si="8"/>
        <v/>
      </c>
      <c r="T36" s="21" t="str">
        <f t="shared" si="8"/>
        <v/>
      </c>
      <c r="U36" s="21" t="str">
        <f t="shared" si="8"/>
        <v/>
      </c>
      <c r="V36" s="21" t="str">
        <f t="shared" si="8"/>
        <v/>
      </c>
      <c r="W36" s="21" t="str">
        <f t="shared" si="8"/>
        <v/>
      </c>
      <c r="X36" s="21" t="str">
        <f t="shared" si="8"/>
        <v/>
      </c>
      <c r="Y36" s="21" t="str">
        <f t="shared" si="8"/>
        <v/>
      </c>
      <c r="Z36" s="21" t="str">
        <f t="shared" si="8"/>
        <v/>
      </c>
    </row>
    <row r="37" spans="2:26" x14ac:dyDescent="0.3">
      <c r="B37" s="12">
        <f t="shared" si="7"/>
        <v>35</v>
      </c>
      <c r="C37" s="24"/>
      <c r="P37" s="21" t="str">
        <f t="shared" si="8"/>
        <v/>
      </c>
      <c r="Q37" s="21" t="str">
        <f t="shared" si="8"/>
        <v/>
      </c>
      <c r="R37" s="21" t="str">
        <f t="shared" si="8"/>
        <v/>
      </c>
      <c r="S37" s="21" t="str">
        <f t="shared" si="8"/>
        <v/>
      </c>
      <c r="T37" s="21" t="str">
        <f t="shared" si="8"/>
        <v/>
      </c>
      <c r="U37" s="21" t="str">
        <f t="shared" si="8"/>
        <v/>
      </c>
      <c r="V37" s="21" t="str">
        <f t="shared" si="8"/>
        <v/>
      </c>
      <c r="W37" s="21" t="str">
        <f t="shared" si="8"/>
        <v/>
      </c>
      <c r="X37" s="21" t="str">
        <f t="shared" si="8"/>
        <v/>
      </c>
      <c r="Y37" s="21" t="str">
        <f t="shared" si="8"/>
        <v/>
      </c>
      <c r="Z37" s="21" t="str">
        <f t="shared" si="8"/>
        <v/>
      </c>
    </row>
    <row r="38" spans="2:26" x14ac:dyDescent="0.3">
      <c r="B38" s="12">
        <f t="shared" si="7"/>
        <v>36</v>
      </c>
      <c r="C38" s="24"/>
      <c r="P38" s="21" t="str">
        <f t="shared" si="8"/>
        <v/>
      </c>
      <c r="Q38" s="21" t="str">
        <f t="shared" si="8"/>
        <v/>
      </c>
      <c r="R38" s="21" t="str">
        <f t="shared" si="8"/>
        <v/>
      </c>
      <c r="S38" s="21" t="str">
        <f t="shared" si="8"/>
        <v/>
      </c>
      <c r="T38" s="21" t="str">
        <f t="shared" si="8"/>
        <v/>
      </c>
      <c r="U38" s="21" t="str">
        <f t="shared" si="8"/>
        <v/>
      </c>
      <c r="V38" s="21" t="str">
        <f t="shared" si="8"/>
        <v/>
      </c>
      <c r="W38" s="21" t="str">
        <f t="shared" si="8"/>
        <v/>
      </c>
      <c r="X38" s="21" t="str">
        <f t="shared" si="8"/>
        <v/>
      </c>
      <c r="Y38" s="21" t="str">
        <f t="shared" si="8"/>
        <v/>
      </c>
      <c r="Z38" s="21" t="str">
        <f t="shared" si="8"/>
        <v/>
      </c>
    </row>
  </sheetData>
  <mergeCells count="1">
    <mergeCell ref="B2:C2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12</xdr:col>
                    <xdr:colOff>152400</xdr:colOff>
                    <xdr:row>23</xdr:row>
                    <xdr:rowOff>68580</xdr:rowOff>
                  </from>
                  <to>
                    <xdr:col>14</xdr:col>
                    <xdr:colOff>182880</xdr:colOff>
                    <xdr:row>25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A9E2-6934-4785-941A-3F295A56F296}">
  <sheetPr>
    <tabColor theme="3" tint="0.59999389629810485"/>
  </sheetPr>
  <dimension ref="B1:AB5003"/>
  <sheetViews>
    <sheetView showGridLines="0" zoomScaleNormal="100" workbookViewId="0">
      <selection activeCell="I4" sqref="I4"/>
    </sheetView>
  </sheetViews>
  <sheetFormatPr defaultColWidth="8.5546875" defaultRowHeight="14.4" x14ac:dyDescent="0.3"/>
  <cols>
    <col min="1" max="1" width="3.77734375" customWidth="1"/>
    <col min="2" max="2" width="13.44140625" customWidth="1"/>
    <col min="3" max="3" width="11.77734375" customWidth="1"/>
    <col min="4" max="4" width="3.44140625" customWidth="1"/>
    <col min="5" max="5" width="35.77734375" customWidth="1"/>
    <col min="6" max="6" width="12" style="2" bestFit="1" customWidth="1"/>
    <col min="7" max="7" width="14.21875" customWidth="1"/>
    <col min="21" max="21" width="9.5546875" customWidth="1"/>
    <col min="22" max="23" width="8.5546875" style="2" hidden="1" customWidth="1"/>
    <col min="24" max="25" width="9" style="4" hidden="1" customWidth="1"/>
    <col min="26" max="26" width="12.44140625" style="4" hidden="1" customWidth="1"/>
    <col min="27" max="27" width="15.5546875" style="2" hidden="1" customWidth="1"/>
    <col min="28" max="28" width="8.5546875" style="2" hidden="1" customWidth="1"/>
  </cols>
  <sheetData>
    <row r="1" spans="2:28" ht="16.350000000000001" customHeight="1" x14ac:dyDescent="0.3">
      <c r="F1" s="27"/>
      <c r="V1" s="27"/>
      <c r="W1" s="27"/>
      <c r="AA1" s="27"/>
      <c r="AB1" s="27"/>
    </row>
    <row r="2" spans="2:28" ht="18.600000000000001" customHeight="1" x14ac:dyDescent="0.3">
      <c r="B2" s="67" t="s">
        <v>5068</v>
      </c>
      <c r="C2" s="67"/>
      <c r="E2" s="67" t="s">
        <v>5071</v>
      </c>
      <c r="F2" s="67"/>
    </row>
    <row r="3" spans="2:28" x14ac:dyDescent="0.3">
      <c r="B3" s="29" t="s">
        <v>5067</v>
      </c>
      <c r="C3" s="15" t="s">
        <v>4966</v>
      </c>
      <c r="E3" s="13" t="s">
        <v>4968</v>
      </c>
      <c r="F3" s="15" t="s">
        <v>4966</v>
      </c>
      <c r="V3" s="1" t="s">
        <v>4967</v>
      </c>
      <c r="W3" s="1" t="s">
        <v>4969</v>
      </c>
      <c r="X3" s="3" t="s">
        <v>5069</v>
      </c>
      <c r="Y3" s="3" t="s">
        <v>5070</v>
      </c>
      <c r="Z3" s="3" t="s">
        <v>4970</v>
      </c>
      <c r="AA3" s="1" t="s">
        <v>4972</v>
      </c>
      <c r="AB3" s="1" t="s">
        <v>4971</v>
      </c>
    </row>
    <row r="4" spans="2:28" x14ac:dyDescent="0.3">
      <c r="B4" s="12">
        <v>1</v>
      </c>
      <c r="C4" s="28">
        <v>149.63325937401225</v>
      </c>
      <c r="E4" s="14" t="s">
        <v>477</v>
      </c>
      <c r="F4" s="28">
        <v>180</v>
      </c>
      <c r="J4" s="2"/>
      <c r="V4" s="2">
        <v>130</v>
      </c>
      <c r="W4" s="2">
        <f>IF(I6=1,V4,V4-I6&amp;"-"&amp;V4)</f>
        <v>130</v>
      </c>
      <c r="X4" s="4" cm="1">
        <f t="array" aca="1" ref="X4:X77" ca="1">FREQUENCY(Athlete_Heights,Bins)</f>
        <v>0</v>
      </c>
      <c r="Y4" s="4" cm="1">
        <f t="array" aca="1" ref="Y4:Y77" ca="1">FREQUENCY($C$4:$C$5003,Bins)</f>
        <v>0</v>
      </c>
      <c r="Z4" s="4" t="str">
        <f ca="1">IF(X4=0,"",X4)</f>
        <v/>
      </c>
      <c r="AA4" s="2" t="b">
        <v>0</v>
      </c>
      <c r="AB4" s="2" t="str">
        <f t="shared" ref="AB4:AB35" si="0">IF($AA$4*1=1,X4,"")</f>
        <v/>
      </c>
    </row>
    <row r="5" spans="2:28" ht="15" thickBot="1" x14ac:dyDescent="0.35">
      <c r="B5" s="12">
        <v>2</v>
      </c>
      <c r="C5" s="28">
        <v>165.6842317695905</v>
      </c>
      <c r="E5" s="14" t="s">
        <v>4823</v>
      </c>
      <c r="F5" s="11">
        <v>165</v>
      </c>
      <c r="V5" s="2">
        <f t="shared" ref="V5:V36" si="1">IFERROR(IF(V4+$I$6&gt;MAX($F:$F)+$I$6,"",V4+$I$6),"")</f>
        <v>131</v>
      </c>
      <c r="W5" s="2">
        <f t="shared" ref="W5:W36" si="2">IF($I$6=1,V5,IF(V5="","",V4+1&amp;"-"&amp;V5))</f>
        <v>131</v>
      </c>
      <c r="X5" s="4">
        <f ca="1"/>
        <v>0</v>
      </c>
      <c r="Y5" s="4">
        <f ca="1"/>
        <v>0</v>
      </c>
      <c r="Z5" s="4" t="str">
        <f t="shared" ref="Z5:Z68" ca="1" si="3">IF(X5=0,"",X5)</f>
        <v/>
      </c>
      <c r="AB5" s="2" t="str">
        <f t="shared" si="0"/>
        <v/>
      </c>
    </row>
    <row r="6" spans="2:28" ht="15" thickTop="1" x14ac:dyDescent="0.3">
      <c r="B6" s="12">
        <v>3</v>
      </c>
      <c r="C6" s="28">
        <v>160.95726954637129</v>
      </c>
      <c r="E6" s="14" t="s">
        <v>4689</v>
      </c>
      <c r="F6" s="11">
        <v>178</v>
      </c>
      <c r="G6" s="70" t="s">
        <v>4974</v>
      </c>
      <c r="H6" s="70"/>
      <c r="I6" s="68">
        <v>1</v>
      </c>
      <c r="V6" s="2">
        <f t="shared" si="1"/>
        <v>132</v>
      </c>
      <c r="W6" s="2">
        <f t="shared" si="2"/>
        <v>132</v>
      </c>
      <c r="X6" s="4">
        <f ca="1"/>
        <v>0</v>
      </c>
      <c r="Y6" s="4">
        <f ca="1"/>
        <v>0</v>
      </c>
      <c r="Z6" s="4" t="str">
        <f t="shared" ca="1" si="3"/>
        <v/>
      </c>
      <c r="AB6" s="2" t="str">
        <f t="shared" si="0"/>
        <v/>
      </c>
    </row>
    <row r="7" spans="2:28" x14ac:dyDescent="0.3">
      <c r="B7" s="12">
        <v>4</v>
      </c>
      <c r="C7" s="28">
        <v>163.77919346104457</v>
      </c>
      <c r="E7" s="14" t="s">
        <v>1165</v>
      </c>
      <c r="F7" s="11">
        <v>177</v>
      </c>
      <c r="G7" s="70"/>
      <c r="H7" s="70"/>
      <c r="I7" s="69"/>
      <c r="V7" s="2">
        <f t="shared" si="1"/>
        <v>133</v>
      </c>
      <c r="W7" s="2">
        <f t="shared" si="2"/>
        <v>133</v>
      </c>
      <c r="X7" s="4">
        <f ca="1"/>
        <v>1</v>
      </c>
      <c r="Y7" s="4">
        <f ca="1"/>
        <v>0</v>
      </c>
      <c r="Z7" s="4">
        <f t="shared" ca="1" si="3"/>
        <v>1</v>
      </c>
      <c r="AB7" s="2" t="str">
        <f t="shared" si="0"/>
        <v/>
      </c>
    </row>
    <row r="8" spans="2:28" x14ac:dyDescent="0.3">
      <c r="B8" s="12">
        <v>5</v>
      </c>
      <c r="C8" s="28">
        <v>156.95446421409503</v>
      </c>
      <c r="E8" s="14" t="s">
        <v>896</v>
      </c>
      <c r="F8" s="11">
        <v>160</v>
      </c>
      <c r="V8" s="2">
        <f t="shared" si="1"/>
        <v>134</v>
      </c>
      <c r="W8" s="2">
        <f t="shared" si="2"/>
        <v>134</v>
      </c>
      <c r="X8" s="4">
        <f ca="1"/>
        <v>0</v>
      </c>
      <c r="Y8" s="4">
        <f ca="1"/>
        <v>0</v>
      </c>
      <c r="Z8" s="4" t="str">
        <f t="shared" ca="1" si="3"/>
        <v/>
      </c>
      <c r="AB8" s="2" t="str">
        <f t="shared" si="0"/>
        <v/>
      </c>
    </row>
    <row r="9" spans="2:28" x14ac:dyDescent="0.3">
      <c r="B9" s="12">
        <v>6</v>
      </c>
      <c r="C9" s="28">
        <v>167.55876814305611</v>
      </c>
      <c r="E9" s="14" t="s">
        <v>552</v>
      </c>
      <c r="F9" s="11">
        <v>176</v>
      </c>
      <c r="V9" s="2">
        <f t="shared" si="1"/>
        <v>135</v>
      </c>
      <c r="W9" s="2">
        <f t="shared" si="2"/>
        <v>135</v>
      </c>
      <c r="X9" s="4">
        <f ca="1"/>
        <v>0</v>
      </c>
      <c r="Y9" s="4">
        <f ca="1"/>
        <v>0</v>
      </c>
      <c r="Z9" s="4" t="str">
        <f t="shared" ca="1" si="3"/>
        <v/>
      </c>
      <c r="AB9" s="2" t="str">
        <f t="shared" si="0"/>
        <v/>
      </c>
    </row>
    <row r="10" spans="2:28" x14ac:dyDescent="0.3">
      <c r="B10" s="12">
        <v>7</v>
      </c>
      <c r="C10" s="28">
        <v>159.63996175317453</v>
      </c>
      <c r="E10" s="14" t="s">
        <v>1906</v>
      </c>
      <c r="F10" s="11">
        <v>165</v>
      </c>
      <c r="V10" s="2">
        <f t="shared" si="1"/>
        <v>136</v>
      </c>
      <c r="W10" s="2">
        <f t="shared" si="2"/>
        <v>136</v>
      </c>
      <c r="X10" s="4">
        <f ca="1"/>
        <v>0</v>
      </c>
      <c r="Y10" s="4">
        <f ca="1"/>
        <v>0</v>
      </c>
      <c r="Z10" s="4" t="str">
        <f t="shared" ca="1" si="3"/>
        <v/>
      </c>
      <c r="AB10" s="2" t="str">
        <f t="shared" si="0"/>
        <v/>
      </c>
    </row>
    <row r="11" spans="2:28" x14ac:dyDescent="0.3">
      <c r="B11" s="12">
        <v>8</v>
      </c>
      <c r="C11" s="28">
        <v>166.75647734496454</v>
      </c>
      <c r="E11" s="14" t="s">
        <v>1916</v>
      </c>
      <c r="F11" s="11">
        <v>183</v>
      </c>
      <c r="V11" s="2">
        <f t="shared" si="1"/>
        <v>137</v>
      </c>
      <c r="W11" s="2">
        <f t="shared" si="2"/>
        <v>137</v>
      </c>
      <c r="X11" s="4">
        <f ca="1"/>
        <v>1</v>
      </c>
      <c r="Y11" s="4">
        <f ca="1"/>
        <v>0</v>
      </c>
      <c r="Z11" s="4">
        <f t="shared" ca="1" si="3"/>
        <v>1</v>
      </c>
      <c r="AB11" s="2" t="str">
        <f t="shared" si="0"/>
        <v/>
      </c>
    </row>
    <row r="12" spans="2:28" x14ac:dyDescent="0.3">
      <c r="B12" s="12">
        <v>9</v>
      </c>
      <c r="C12" s="28">
        <v>157.20119369415016</v>
      </c>
      <c r="E12" s="14" t="s">
        <v>1210</v>
      </c>
      <c r="F12" s="11">
        <v>193</v>
      </c>
      <c r="V12" s="2">
        <f t="shared" si="1"/>
        <v>138</v>
      </c>
      <c r="W12" s="2">
        <f t="shared" si="2"/>
        <v>138</v>
      </c>
      <c r="X12" s="4">
        <f ca="1"/>
        <v>0</v>
      </c>
      <c r="Y12" s="4">
        <f ca="1"/>
        <v>1</v>
      </c>
      <c r="Z12" s="4" t="str">
        <f t="shared" ca="1" si="3"/>
        <v/>
      </c>
      <c r="AB12" s="2" t="str">
        <f t="shared" si="0"/>
        <v/>
      </c>
    </row>
    <row r="13" spans="2:28" x14ac:dyDescent="0.3">
      <c r="B13" s="12">
        <v>10</v>
      </c>
      <c r="C13" s="28">
        <v>161.7417851062286</v>
      </c>
      <c r="E13" s="14" t="s">
        <v>3686</v>
      </c>
      <c r="F13" s="11">
        <v>169</v>
      </c>
      <c r="V13" s="2">
        <f t="shared" si="1"/>
        <v>139</v>
      </c>
      <c r="W13" s="2">
        <f t="shared" si="2"/>
        <v>139</v>
      </c>
      <c r="X13" s="4">
        <f ca="1"/>
        <v>0</v>
      </c>
      <c r="Y13" s="4">
        <f ca="1"/>
        <v>1</v>
      </c>
      <c r="Z13" s="4" t="str">
        <f t="shared" ca="1" si="3"/>
        <v/>
      </c>
      <c r="AB13" s="2" t="str">
        <f t="shared" si="0"/>
        <v/>
      </c>
    </row>
    <row r="14" spans="2:28" x14ac:dyDescent="0.3">
      <c r="B14" s="12">
        <v>11</v>
      </c>
      <c r="C14" s="28">
        <v>172.97697747940722</v>
      </c>
      <c r="E14" s="14" t="s">
        <v>3278</v>
      </c>
      <c r="F14" s="11">
        <v>168</v>
      </c>
      <c r="V14" s="2">
        <f t="shared" si="1"/>
        <v>140</v>
      </c>
      <c r="W14" s="2">
        <f t="shared" si="2"/>
        <v>140</v>
      </c>
      <c r="X14" s="4">
        <f ca="1"/>
        <v>1</v>
      </c>
      <c r="Y14" s="4">
        <f ca="1"/>
        <v>1</v>
      </c>
      <c r="Z14" s="4">
        <f t="shared" ca="1" si="3"/>
        <v>1</v>
      </c>
      <c r="AB14" s="2" t="str">
        <f t="shared" si="0"/>
        <v/>
      </c>
    </row>
    <row r="15" spans="2:28" x14ac:dyDescent="0.3">
      <c r="B15" s="12">
        <v>12</v>
      </c>
      <c r="C15" s="28">
        <v>156.96915146583146</v>
      </c>
      <c r="E15" s="14" t="s">
        <v>823</v>
      </c>
      <c r="F15" s="11">
        <v>186</v>
      </c>
      <c r="V15" s="2">
        <f t="shared" si="1"/>
        <v>141</v>
      </c>
      <c r="W15" s="2">
        <f t="shared" si="2"/>
        <v>141</v>
      </c>
      <c r="X15" s="4">
        <f ca="1"/>
        <v>0</v>
      </c>
      <c r="Y15" s="4">
        <f ca="1"/>
        <v>2</v>
      </c>
      <c r="Z15" s="4" t="str">
        <f t="shared" ca="1" si="3"/>
        <v/>
      </c>
      <c r="AB15" s="2" t="str">
        <f t="shared" si="0"/>
        <v/>
      </c>
    </row>
    <row r="16" spans="2:28" x14ac:dyDescent="0.3">
      <c r="B16" s="12">
        <v>13</v>
      </c>
      <c r="C16" s="28">
        <v>160.96350576278812</v>
      </c>
      <c r="E16" s="14" t="s">
        <v>1489</v>
      </c>
      <c r="F16" s="11">
        <v>173</v>
      </c>
      <c r="V16" s="2">
        <f t="shared" si="1"/>
        <v>142</v>
      </c>
      <c r="W16" s="2">
        <f t="shared" si="2"/>
        <v>142</v>
      </c>
      <c r="X16" s="4">
        <f ca="1"/>
        <v>0</v>
      </c>
      <c r="Y16" s="4">
        <f ca="1"/>
        <v>4</v>
      </c>
      <c r="Z16" s="4" t="str">
        <f t="shared" ca="1" si="3"/>
        <v/>
      </c>
      <c r="AB16" s="2" t="str">
        <f t="shared" si="0"/>
        <v/>
      </c>
    </row>
    <row r="17" spans="2:28" x14ac:dyDescent="0.3">
      <c r="B17" s="12">
        <v>14</v>
      </c>
      <c r="C17" s="28">
        <v>149.59555132901042</v>
      </c>
      <c r="E17" s="14" t="s">
        <v>39</v>
      </c>
      <c r="F17" s="11">
        <v>187</v>
      </c>
      <c r="V17" s="2">
        <f t="shared" si="1"/>
        <v>143</v>
      </c>
      <c r="W17" s="2">
        <f t="shared" si="2"/>
        <v>143</v>
      </c>
      <c r="X17" s="4">
        <f ca="1"/>
        <v>4</v>
      </c>
      <c r="Y17" s="4">
        <f ca="1"/>
        <v>8</v>
      </c>
      <c r="Z17" s="4">
        <f t="shared" ca="1" si="3"/>
        <v>4</v>
      </c>
      <c r="AB17" s="2" t="str">
        <f t="shared" si="0"/>
        <v/>
      </c>
    </row>
    <row r="18" spans="2:28" x14ac:dyDescent="0.3">
      <c r="B18" s="12">
        <v>15</v>
      </c>
      <c r="C18" s="28">
        <v>148.43315271290578</v>
      </c>
      <c r="E18" s="14" t="s">
        <v>232</v>
      </c>
      <c r="F18" s="11">
        <v>173</v>
      </c>
      <c r="V18" s="2">
        <f t="shared" si="1"/>
        <v>144</v>
      </c>
      <c r="W18" s="2">
        <f t="shared" si="2"/>
        <v>144</v>
      </c>
      <c r="X18" s="4">
        <f ca="1"/>
        <v>1</v>
      </c>
      <c r="Y18" s="4">
        <f ca="1"/>
        <v>6</v>
      </c>
      <c r="Z18" s="4">
        <f t="shared" ca="1" si="3"/>
        <v>1</v>
      </c>
      <c r="AB18" s="2" t="str">
        <f t="shared" si="0"/>
        <v/>
      </c>
    </row>
    <row r="19" spans="2:28" x14ac:dyDescent="0.3">
      <c r="B19" s="12">
        <v>16</v>
      </c>
      <c r="C19" s="28">
        <v>154.45688864367196</v>
      </c>
      <c r="E19" s="14" t="s">
        <v>41</v>
      </c>
      <c r="F19" s="11">
        <v>165</v>
      </c>
      <c r="V19" s="2">
        <f t="shared" si="1"/>
        <v>145</v>
      </c>
      <c r="W19" s="2">
        <f t="shared" si="2"/>
        <v>145</v>
      </c>
      <c r="X19" s="4">
        <f ca="1"/>
        <v>5</v>
      </c>
      <c r="Y19" s="4">
        <f ca="1"/>
        <v>16</v>
      </c>
      <c r="Z19" s="4">
        <f t="shared" ca="1" si="3"/>
        <v>5</v>
      </c>
      <c r="AB19" s="2" t="str">
        <f t="shared" si="0"/>
        <v/>
      </c>
    </row>
    <row r="20" spans="2:28" x14ac:dyDescent="0.3">
      <c r="B20" s="12">
        <v>17</v>
      </c>
      <c r="C20" s="28">
        <v>178.12677819640774</v>
      </c>
      <c r="E20" s="14" t="s">
        <v>1594</v>
      </c>
      <c r="F20" s="11">
        <v>171</v>
      </c>
      <c r="V20" s="2">
        <f t="shared" si="1"/>
        <v>146</v>
      </c>
      <c r="W20" s="2">
        <f t="shared" si="2"/>
        <v>146</v>
      </c>
      <c r="X20" s="4">
        <f ca="1"/>
        <v>4</v>
      </c>
      <c r="Y20" s="4">
        <f ca="1"/>
        <v>19</v>
      </c>
      <c r="Z20" s="4">
        <f t="shared" ca="1" si="3"/>
        <v>4</v>
      </c>
      <c r="AB20" s="2" t="str">
        <f t="shared" si="0"/>
        <v/>
      </c>
    </row>
    <row r="21" spans="2:28" x14ac:dyDescent="0.3">
      <c r="B21" s="12">
        <v>18</v>
      </c>
      <c r="C21" s="28">
        <v>158.13387130180698</v>
      </c>
      <c r="E21" s="14" t="s">
        <v>4198</v>
      </c>
      <c r="F21" s="11">
        <v>171</v>
      </c>
      <c r="V21" s="2">
        <f t="shared" si="1"/>
        <v>147</v>
      </c>
      <c r="W21" s="2">
        <f t="shared" si="2"/>
        <v>147</v>
      </c>
      <c r="X21" s="4">
        <f ca="1"/>
        <v>5</v>
      </c>
      <c r="Y21" s="4">
        <f ca="1"/>
        <v>25</v>
      </c>
      <c r="Z21" s="4">
        <f t="shared" ca="1" si="3"/>
        <v>5</v>
      </c>
      <c r="AB21" s="2" t="str">
        <f t="shared" si="0"/>
        <v/>
      </c>
    </row>
    <row r="22" spans="2:28" x14ac:dyDescent="0.3">
      <c r="B22" s="12">
        <v>19</v>
      </c>
      <c r="C22" s="28">
        <v>156.80712915803798</v>
      </c>
      <c r="E22" s="14" t="s">
        <v>43</v>
      </c>
      <c r="F22" s="11">
        <v>170</v>
      </c>
      <c r="V22" s="2">
        <f t="shared" si="1"/>
        <v>148</v>
      </c>
      <c r="W22" s="2">
        <f t="shared" si="2"/>
        <v>148</v>
      </c>
      <c r="X22" s="4">
        <f ca="1"/>
        <v>5</v>
      </c>
      <c r="Y22" s="4">
        <f ca="1"/>
        <v>30</v>
      </c>
      <c r="Z22" s="4">
        <f t="shared" ca="1" si="3"/>
        <v>5</v>
      </c>
      <c r="AB22" s="2" t="str">
        <f t="shared" si="0"/>
        <v/>
      </c>
    </row>
    <row r="23" spans="2:28" x14ac:dyDescent="0.3">
      <c r="B23" s="12">
        <v>20</v>
      </c>
      <c r="C23" s="28">
        <v>160.17127400455047</v>
      </c>
      <c r="E23" s="14" t="s">
        <v>900</v>
      </c>
      <c r="F23" s="11">
        <v>166</v>
      </c>
      <c r="V23" s="2">
        <f t="shared" si="1"/>
        <v>149</v>
      </c>
      <c r="W23" s="2">
        <f t="shared" si="2"/>
        <v>149</v>
      </c>
      <c r="X23" s="4">
        <f ca="1"/>
        <v>6</v>
      </c>
      <c r="Y23" s="4">
        <f ca="1"/>
        <v>48</v>
      </c>
      <c r="Z23" s="4">
        <f t="shared" ca="1" si="3"/>
        <v>6</v>
      </c>
      <c r="AB23" s="2" t="str">
        <f t="shared" si="0"/>
        <v/>
      </c>
    </row>
    <row r="24" spans="2:28" x14ac:dyDescent="0.3">
      <c r="B24" s="12">
        <v>21</v>
      </c>
      <c r="C24" s="28">
        <v>158.20856946633998</v>
      </c>
      <c r="E24" s="14" t="s">
        <v>193</v>
      </c>
      <c r="F24" s="11">
        <v>167</v>
      </c>
      <c r="V24" s="2">
        <f t="shared" si="1"/>
        <v>150</v>
      </c>
      <c r="W24" s="2">
        <f t="shared" si="2"/>
        <v>150</v>
      </c>
      <c r="X24" s="4">
        <f ca="1"/>
        <v>23</v>
      </c>
      <c r="Y24" s="4">
        <f ca="1"/>
        <v>57</v>
      </c>
      <c r="Z24" s="4">
        <f t="shared" ca="1" si="3"/>
        <v>23</v>
      </c>
      <c r="AB24" s="2" t="str">
        <f t="shared" si="0"/>
        <v/>
      </c>
    </row>
    <row r="25" spans="2:28" x14ac:dyDescent="0.3">
      <c r="B25" s="12">
        <v>22</v>
      </c>
      <c r="C25" s="28">
        <v>157.04179298937589</v>
      </c>
      <c r="E25" s="14" t="s">
        <v>2647</v>
      </c>
      <c r="F25" s="11">
        <v>162</v>
      </c>
      <c r="V25" s="2">
        <f t="shared" si="1"/>
        <v>151</v>
      </c>
      <c r="W25" s="2">
        <f t="shared" si="2"/>
        <v>151</v>
      </c>
      <c r="X25" s="4">
        <f ca="1"/>
        <v>12</v>
      </c>
      <c r="Y25" s="4">
        <f ca="1"/>
        <v>66</v>
      </c>
      <c r="Z25" s="4">
        <f t="shared" ca="1" si="3"/>
        <v>12</v>
      </c>
      <c r="AB25" s="2" t="str">
        <f t="shared" si="0"/>
        <v/>
      </c>
    </row>
    <row r="26" spans="2:28" x14ac:dyDescent="0.3">
      <c r="B26" s="12">
        <v>23</v>
      </c>
      <c r="C26" s="28">
        <v>168.52274452746525</v>
      </c>
      <c r="E26" s="14" t="s">
        <v>1010</v>
      </c>
      <c r="F26" s="11">
        <v>160</v>
      </c>
      <c r="V26" s="2">
        <f t="shared" si="1"/>
        <v>152</v>
      </c>
      <c r="W26" s="2">
        <f t="shared" si="2"/>
        <v>152</v>
      </c>
      <c r="X26" s="4">
        <f ca="1"/>
        <v>30</v>
      </c>
      <c r="Y26" s="4">
        <f ca="1"/>
        <v>86</v>
      </c>
      <c r="Z26" s="4">
        <f t="shared" ca="1" si="3"/>
        <v>30</v>
      </c>
      <c r="AB26" s="2" t="str">
        <f t="shared" si="0"/>
        <v/>
      </c>
    </row>
    <row r="27" spans="2:28" x14ac:dyDescent="0.3">
      <c r="B27" s="12">
        <v>24</v>
      </c>
      <c r="C27" s="28">
        <v>165.91440534837602</v>
      </c>
      <c r="E27" s="14" t="s">
        <v>2646</v>
      </c>
      <c r="F27" s="11">
        <v>186</v>
      </c>
      <c r="V27" s="2">
        <f t="shared" si="1"/>
        <v>153</v>
      </c>
      <c r="W27" s="2">
        <f t="shared" si="2"/>
        <v>153</v>
      </c>
      <c r="X27" s="4">
        <f ca="1"/>
        <v>33</v>
      </c>
      <c r="Y27" s="4">
        <f ca="1"/>
        <v>119</v>
      </c>
      <c r="Z27" s="4">
        <f t="shared" ca="1" si="3"/>
        <v>33</v>
      </c>
      <c r="AB27" s="2" t="str">
        <f t="shared" si="0"/>
        <v/>
      </c>
    </row>
    <row r="28" spans="2:28" x14ac:dyDescent="0.3">
      <c r="B28" s="12">
        <v>25</v>
      </c>
      <c r="C28" s="28">
        <v>167.90383690055376</v>
      </c>
      <c r="E28" s="14" t="s">
        <v>2192</v>
      </c>
      <c r="F28" s="11">
        <v>158</v>
      </c>
      <c r="V28" s="2">
        <f t="shared" si="1"/>
        <v>154</v>
      </c>
      <c r="W28" s="2">
        <f t="shared" si="2"/>
        <v>154</v>
      </c>
      <c r="X28" s="4">
        <f ca="1"/>
        <v>19</v>
      </c>
      <c r="Y28" s="4">
        <f ca="1"/>
        <v>138</v>
      </c>
      <c r="Z28" s="4">
        <f t="shared" ca="1" si="3"/>
        <v>19</v>
      </c>
      <c r="AB28" s="2" t="str">
        <f t="shared" si="0"/>
        <v/>
      </c>
    </row>
    <row r="29" spans="2:28" x14ac:dyDescent="0.3">
      <c r="B29" s="12">
        <v>26</v>
      </c>
      <c r="C29" s="28">
        <v>163.89904235530108</v>
      </c>
      <c r="E29" s="14" t="s">
        <v>3081</v>
      </c>
      <c r="F29" s="11">
        <v>160</v>
      </c>
      <c r="V29" s="2">
        <f t="shared" si="1"/>
        <v>155</v>
      </c>
      <c r="W29" s="2">
        <f t="shared" si="2"/>
        <v>155</v>
      </c>
      <c r="X29" s="4">
        <f ca="1"/>
        <v>66</v>
      </c>
      <c r="Y29" s="4">
        <f ca="1"/>
        <v>179</v>
      </c>
      <c r="Z29" s="4">
        <f t="shared" ca="1" si="3"/>
        <v>66</v>
      </c>
      <c r="AB29" s="2" t="str">
        <f t="shared" si="0"/>
        <v/>
      </c>
    </row>
    <row r="30" spans="2:28" x14ac:dyDescent="0.3">
      <c r="B30" s="12">
        <v>27</v>
      </c>
      <c r="C30" s="28">
        <v>143.63185645149514</v>
      </c>
      <c r="E30" s="14" t="s">
        <v>1824</v>
      </c>
      <c r="F30" s="11">
        <v>157</v>
      </c>
      <c r="V30" s="2">
        <f t="shared" si="1"/>
        <v>156</v>
      </c>
      <c r="W30" s="2">
        <f t="shared" si="2"/>
        <v>156</v>
      </c>
      <c r="X30" s="4">
        <f ca="1"/>
        <v>43</v>
      </c>
      <c r="Y30" s="4">
        <f ca="1"/>
        <v>171</v>
      </c>
      <c r="Z30" s="4">
        <f t="shared" ca="1" si="3"/>
        <v>43</v>
      </c>
      <c r="AB30" s="2" t="str">
        <f t="shared" si="0"/>
        <v/>
      </c>
    </row>
    <row r="31" spans="2:28" x14ac:dyDescent="0.3">
      <c r="B31" s="12">
        <v>28</v>
      </c>
      <c r="C31" s="28">
        <v>159.35777355991704</v>
      </c>
      <c r="E31" s="14" t="s">
        <v>1138</v>
      </c>
      <c r="F31" s="11">
        <v>163</v>
      </c>
      <c r="V31" s="2">
        <f t="shared" si="1"/>
        <v>157</v>
      </c>
      <c r="W31" s="2">
        <f t="shared" si="2"/>
        <v>157</v>
      </c>
      <c r="X31" s="4">
        <f ca="1"/>
        <v>79</v>
      </c>
      <c r="Y31" s="4">
        <f ca="1"/>
        <v>222</v>
      </c>
      <c r="Z31" s="4">
        <f t="shared" ca="1" si="3"/>
        <v>79</v>
      </c>
      <c r="AB31" s="2" t="str">
        <f t="shared" si="0"/>
        <v/>
      </c>
    </row>
    <row r="32" spans="2:28" x14ac:dyDescent="0.3">
      <c r="B32" s="12">
        <v>29</v>
      </c>
      <c r="C32" s="28">
        <v>156.42640456046411</v>
      </c>
      <c r="E32" s="14" t="s">
        <v>392</v>
      </c>
      <c r="F32" s="11">
        <v>173</v>
      </c>
      <c r="V32" s="2">
        <f t="shared" si="1"/>
        <v>158</v>
      </c>
      <c r="W32" s="2">
        <f t="shared" si="2"/>
        <v>158</v>
      </c>
      <c r="X32" s="4">
        <f ca="1"/>
        <v>92</v>
      </c>
      <c r="Y32" s="4">
        <f ca="1"/>
        <v>260</v>
      </c>
      <c r="Z32" s="4">
        <f t="shared" ca="1" si="3"/>
        <v>92</v>
      </c>
      <c r="AB32" s="2" t="str">
        <f t="shared" si="0"/>
        <v/>
      </c>
    </row>
    <row r="33" spans="2:28" x14ac:dyDescent="0.3">
      <c r="B33" s="12">
        <v>30</v>
      </c>
      <c r="C33" s="28">
        <v>157.54203907404784</v>
      </c>
      <c r="E33" s="14" t="s">
        <v>4891</v>
      </c>
      <c r="F33" s="11">
        <v>161</v>
      </c>
      <c r="V33" s="2">
        <f t="shared" si="1"/>
        <v>159</v>
      </c>
      <c r="W33" s="2">
        <f t="shared" si="2"/>
        <v>159</v>
      </c>
      <c r="X33" s="4">
        <f ca="1"/>
        <v>69</v>
      </c>
      <c r="Y33" s="4">
        <f ca="1"/>
        <v>250</v>
      </c>
      <c r="Z33" s="4">
        <f t="shared" ca="1" si="3"/>
        <v>69</v>
      </c>
      <c r="AB33" s="2" t="str">
        <f t="shared" si="0"/>
        <v/>
      </c>
    </row>
    <row r="34" spans="2:28" x14ac:dyDescent="0.3">
      <c r="B34" s="12">
        <v>31</v>
      </c>
      <c r="C34" s="28">
        <v>165.89078870986899</v>
      </c>
      <c r="E34" s="14" t="s">
        <v>3371</v>
      </c>
      <c r="F34" s="11">
        <v>175</v>
      </c>
      <c r="V34" s="2">
        <f t="shared" si="1"/>
        <v>160</v>
      </c>
      <c r="W34" s="2">
        <f t="shared" si="2"/>
        <v>160</v>
      </c>
      <c r="X34" s="4">
        <f ca="1"/>
        <v>188</v>
      </c>
      <c r="Y34" s="4">
        <f ca="1"/>
        <v>282</v>
      </c>
      <c r="Z34" s="4">
        <f t="shared" ca="1" si="3"/>
        <v>188</v>
      </c>
      <c r="AB34" s="2" t="str">
        <f t="shared" si="0"/>
        <v/>
      </c>
    </row>
    <row r="35" spans="2:28" x14ac:dyDescent="0.3">
      <c r="B35" s="12">
        <v>32</v>
      </c>
      <c r="C35" s="28">
        <v>155.46058841506138</v>
      </c>
      <c r="E35" s="14" t="s">
        <v>3197</v>
      </c>
      <c r="F35" s="11">
        <v>162</v>
      </c>
      <c r="V35" s="2">
        <f t="shared" si="1"/>
        <v>161</v>
      </c>
      <c r="W35" s="2">
        <f t="shared" si="2"/>
        <v>161</v>
      </c>
      <c r="X35" s="4">
        <f ca="1"/>
        <v>86</v>
      </c>
      <c r="Y35" s="4">
        <f ca="1"/>
        <v>279</v>
      </c>
      <c r="Z35" s="4">
        <f t="shared" ca="1" si="3"/>
        <v>86</v>
      </c>
      <c r="AB35" s="2" t="str">
        <f t="shared" si="0"/>
        <v/>
      </c>
    </row>
    <row r="36" spans="2:28" x14ac:dyDescent="0.3">
      <c r="B36" s="12">
        <v>33</v>
      </c>
      <c r="C36" s="28">
        <v>170.24373752897631</v>
      </c>
      <c r="E36" s="14" t="s">
        <v>3277</v>
      </c>
      <c r="F36" s="11">
        <v>179</v>
      </c>
      <c r="V36" s="2">
        <f t="shared" si="1"/>
        <v>162</v>
      </c>
      <c r="W36" s="2">
        <f t="shared" si="2"/>
        <v>162</v>
      </c>
      <c r="X36" s="4">
        <f ca="1"/>
        <v>131</v>
      </c>
      <c r="Y36" s="4">
        <f ca="1"/>
        <v>269</v>
      </c>
      <c r="Z36" s="4">
        <f t="shared" ca="1" si="3"/>
        <v>131</v>
      </c>
      <c r="AB36" s="2" t="str">
        <f t="shared" ref="AB36:AB68" si="4">IF($AA$4*1=1,X36,"")</f>
        <v/>
      </c>
    </row>
    <row r="37" spans="2:28" x14ac:dyDescent="0.3">
      <c r="B37" s="12">
        <v>34</v>
      </c>
      <c r="C37" s="28">
        <v>152.93636306843354</v>
      </c>
      <c r="E37" s="14" t="s">
        <v>4975</v>
      </c>
      <c r="F37" s="11">
        <v>172</v>
      </c>
      <c r="V37" s="2">
        <f t="shared" ref="V37:V68" si="5">IFERROR(IF(V36+$I$6&gt;MAX($F:$F)+$I$6,"",V36+$I$6),"")</f>
        <v>163</v>
      </c>
      <c r="W37" s="2">
        <f t="shared" ref="W37:W68" si="6">IF($I$6=1,V37,IF(V37="","",V36+1&amp;"-"&amp;V37))</f>
        <v>163</v>
      </c>
      <c r="X37" s="4">
        <f ca="1"/>
        <v>199</v>
      </c>
      <c r="Y37" s="4">
        <f ca="1"/>
        <v>308</v>
      </c>
      <c r="Z37" s="4">
        <f t="shared" ca="1" si="3"/>
        <v>199</v>
      </c>
      <c r="AB37" s="2" t="str">
        <f t="shared" si="4"/>
        <v/>
      </c>
    </row>
    <row r="38" spans="2:28" x14ac:dyDescent="0.3">
      <c r="B38" s="12">
        <v>35</v>
      </c>
      <c r="C38" s="28">
        <v>162.40753084591785</v>
      </c>
      <c r="E38" s="14" t="s">
        <v>1107</v>
      </c>
      <c r="F38" s="11">
        <v>160</v>
      </c>
      <c r="V38" s="2">
        <f t="shared" si="5"/>
        <v>164</v>
      </c>
      <c r="W38" s="2">
        <f t="shared" si="6"/>
        <v>164</v>
      </c>
      <c r="X38" s="4">
        <f ca="1"/>
        <v>153</v>
      </c>
      <c r="Y38" s="4">
        <f ca="1"/>
        <v>273</v>
      </c>
      <c r="Z38" s="4">
        <f t="shared" ca="1" si="3"/>
        <v>153</v>
      </c>
      <c r="AB38" s="2" t="str">
        <f t="shared" si="4"/>
        <v/>
      </c>
    </row>
    <row r="39" spans="2:28" x14ac:dyDescent="0.3">
      <c r="B39" s="12">
        <v>36</v>
      </c>
      <c r="C39" s="28">
        <v>160.92882510607183</v>
      </c>
      <c r="E39" s="14" t="s">
        <v>4712</v>
      </c>
      <c r="F39" s="11">
        <v>175</v>
      </c>
      <c r="V39" s="2">
        <f t="shared" si="5"/>
        <v>165</v>
      </c>
      <c r="W39" s="2">
        <f t="shared" si="6"/>
        <v>165</v>
      </c>
      <c r="X39" s="4">
        <f ca="1"/>
        <v>303</v>
      </c>
      <c r="Y39" s="4">
        <f ca="1"/>
        <v>268</v>
      </c>
      <c r="Z39" s="4">
        <f t="shared" ca="1" si="3"/>
        <v>303</v>
      </c>
      <c r="AB39" s="2" t="str">
        <f t="shared" si="4"/>
        <v/>
      </c>
    </row>
    <row r="40" spans="2:28" x14ac:dyDescent="0.3">
      <c r="B40" s="12">
        <v>37</v>
      </c>
      <c r="C40" s="28">
        <v>161.76007385117123</v>
      </c>
      <c r="E40" s="14" t="s">
        <v>1887</v>
      </c>
      <c r="F40" s="11">
        <v>170</v>
      </c>
      <c r="V40" s="2">
        <f t="shared" si="5"/>
        <v>166</v>
      </c>
      <c r="W40" s="2">
        <f t="shared" si="6"/>
        <v>166</v>
      </c>
      <c r="X40" s="4">
        <f ca="1"/>
        <v>144</v>
      </c>
      <c r="Y40" s="4">
        <f ca="1"/>
        <v>261</v>
      </c>
      <c r="Z40" s="4">
        <f t="shared" ca="1" si="3"/>
        <v>144</v>
      </c>
      <c r="AB40" s="2" t="str">
        <f t="shared" si="4"/>
        <v/>
      </c>
    </row>
    <row r="41" spans="2:28" x14ac:dyDescent="0.3">
      <c r="B41" s="12">
        <v>38</v>
      </c>
      <c r="C41" s="28">
        <v>153.13373079689691</v>
      </c>
      <c r="E41" s="14" t="s">
        <v>2128</v>
      </c>
      <c r="F41" s="11">
        <v>177</v>
      </c>
      <c r="V41" s="2">
        <f t="shared" si="5"/>
        <v>167</v>
      </c>
      <c r="W41" s="2">
        <f t="shared" si="6"/>
        <v>167</v>
      </c>
      <c r="X41" s="4">
        <f ca="1"/>
        <v>210</v>
      </c>
      <c r="Y41" s="4">
        <f ca="1"/>
        <v>209</v>
      </c>
      <c r="Z41" s="4">
        <f t="shared" ca="1" si="3"/>
        <v>210</v>
      </c>
      <c r="AB41" s="2" t="str">
        <f t="shared" si="4"/>
        <v/>
      </c>
    </row>
    <row r="42" spans="2:28" x14ac:dyDescent="0.3">
      <c r="B42" s="12">
        <v>39</v>
      </c>
      <c r="C42" s="28">
        <v>161.0545160716099</v>
      </c>
      <c r="E42" s="14" t="s">
        <v>3540</v>
      </c>
      <c r="F42" s="11">
        <v>172</v>
      </c>
      <c r="V42" s="2">
        <f t="shared" si="5"/>
        <v>168</v>
      </c>
      <c r="W42" s="2">
        <f t="shared" si="6"/>
        <v>168</v>
      </c>
      <c r="X42" s="4">
        <f ca="1"/>
        <v>309</v>
      </c>
      <c r="Y42" s="4">
        <f ca="1"/>
        <v>189</v>
      </c>
      <c r="Z42" s="4">
        <f t="shared" ca="1" si="3"/>
        <v>309</v>
      </c>
      <c r="AB42" s="2" t="str">
        <f t="shared" si="4"/>
        <v/>
      </c>
    </row>
    <row r="43" spans="2:28" x14ac:dyDescent="0.3">
      <c r="B43" s="12">
        <v>40</v>
      </c>
      <c r="C43" s="28">
        <v>154.00426430103192</v>
      </c>
      <c r="E43" s="14" t="s">
        <v>4017</v>
      </c>
      <c r="F43" s="11">
        <v>166</v>
      </c>
      <c r="V43" s="2">
        <f t="shared" si="5"/>
        <v>169</v>
      </c>
      <c r="W43" s="2">
        <f t="shared" si="6"/>
        <v>169</v>
      </c>
      <c r="X43" s="4">
        <f ca="1"/>
        <v>178</v>
      </c>
      <c r="Y43" s="4">
        <f ca="1"/>
        <v>210</v>
      </c>
      <c r="Z43" s="4">
        <f t="shared" ca="1" si="3"/>
        <v>178</v>
      </c>
      <c r="AB43" s="2" t="str">
        <f t="shared" si="4"/>
        <v/>
      </c>
    </row>
    <row r="44" spans="2:28" x14ac:dyDescent="0.3">
      <c r="B44" s="12">
        <v>41</v>
      </c>
      <c r="C44" s="28">
        <v>171.12893533527742</v>
      </c>
      <c r="E44" s="14" t="s">
        <v>4103</v>
      </c>
      <c r="F44" s="11">
        <v>169</v>
      </c>
      <c r="V44" s="2">
        <f t="shared" si="5"/>
        <v>170</v>
      </c>
      <c r="W44" s="2">
        <f t="shared" si="6"/>
        <v>170</v>
      </c>
      <c r="X44" s="4">
        <f ca="1"/>
        <v>356</v>
      </c>
      <c r="Y44" s="4">
        <f ca="1"/>
        <v>160</v>
      </c>
      <c r="Z44" s="4">
        <f t="shared" ca="1" si="3"/>
        <v>356</v>
      </c>
      <c r="AB44" s="2" t="str">
        <f t="shared" si="4"/>
        <v/>
      </c>
    </row>
    <row r="45" spans="2:28" x14ac:dyDescent="0.3">
      <c r="B45" s="12">
        <v>42</v>
      </c>
      <c r="C45" s="28">
        <v>169.85676365713516</v>
      </c>
      <c r="E45" s="14" t="s">
        <v>4213</v>
      </c>
      <c r="F45" s="11">
        <v>165</v>
      </c>
      <c r="V45" s="2">
        <f t="shared" si="5"/>
        <v>171</v>
      </c>
      <c r="W45" s="2">
        <f t="shared" si="6"/>
        <v>171</v>
      </c>
      <c r="X45" s="4">
        <f ca="1"/>
        <v>129</v>
      </c>
      <c r="Y45" s="4">
        <f ca="1"/>
        <v>128</v>
      </c>
      <c r="Z45" s="4">
        <f t="shared" ca="1" si="3"/>
        <v>129</v>
      </c>
      <c r="AB45" s="2" t="str">
        <f t="shared" si="4"/>
        <v/>
      </c>
    </row>
    <row r="46" spans="2:28" x14ac:dyDescent="0.3">
      <c r="B46" s="12">
        <v>43</v>
      </c>
      <c r="C46" s="28">
        <v>152.51975394744539</v>
      </c>
      <c r="E46" s="14" t="s">
        <v>93</v>
      </c>
      <c r="F46" s="11">
        <v>165</v>
      </c>
      <c r="V46" s="2">
        <f t="shared" si="5"/>
        <v>172</v>
      </c>
      <c r="W46" s="2">
        <f t="shared" si="6"/>
        <v>172</v>
      </c>
      <c r="X46" s="4">
        <f ca="1"/>
        <v>216</v>
      </c>
      <c r="Y46" s="4">
        <f ca="1"/>
        <v>108</v>
      </c>
      <c r="Z46" s="4">
        <f t="shared" ca="1" si="3"/>
        <v>216</v>
      </c>
      <c r="AB46" s="2" t="str">
        <f t="shared" si="4"/>
        <v/>
      </c>
    </row>
    <row r="47" spans="2:28" x14ac:dyDescent="0.3">
      <c r="B47" s="12">
        <v>44</v>
      </c>
      <c r="C47" s="28">
        <v>162.95235956255314</v>
      </c>
      <c r="E47" s="14" t="s">
        <v>1553</v>
      </c>
      <c r="F47" s="11">
        <v>165</v>
      </c>
      <c r="V47" s="2">
        <f t="shared" si="5"/>
        <v>173</v>
      </c>
      <c r="W47" s="2">
        <f t="shared" si="6"/>
        <v>173</v>
      </c>
      <c r="X47" s="4">
        <f ca="1"/>
        <v>258</v>
      </c>
      <c r="Y47" s="4">
        <f ca="1"/>
        <v>88</v>
      </c>
      <c r="Z47" s="4">
        <f t="shared" ca="1" si="3"/>
        <v>258</v>
      </c>
      <c r="AB47" s="2" t="str">
        <f t="shared" si="4"/>
        <v/>
      </c>
    </row>
    <row r="48" spans="2:28" x14ac:dyDescent="0.3">
      <c r="B48" s="12">
        <v>45</v>
      </c>
      <c r="C48" s="28">
        <v>161.19262882902873</v>
      </c>
      <c r="E48" s="14" t="s">
        <v>1188</v>
      </c>
      <c r="F48" s="11">
        <v>170</v>
      </c>
      <c r="V48" s="2">
        <f t="shared" si="5"/>
        <v>174</v>
      </c>
      <c r="W48" s="2">
        <f t="shared" si="6"/>
        <v>174</v>
      </c>
      <c r="X48" s="4">
        <f ca="1"/>
        <v>139</v>
      </c>
      <c r="Y48" s="4">
        <f ca="1"/>
        <v>70</v>
      </c>
      <c r="Z48" s="4">
        <f t="shared" ca="1" si="3"/>
        <v>139</v>
      </c>
      <c r="AB48" s="2" t="str">
        <f t="shared" si="4"/>
        <v/>
      </c>
    </row>
    <row r="49" spans="2:28" x14ac:dyDescent="0.3">
      <c r="B49" s="12">
        <v>46</v>
      </c>
      <c r="C49" s="28">
        <v>170.79942458724054</v>
      </c>
      <c r="E49" s="14" t="s">
        <v>1325</v>
      </c>
      <c r="F49" s="11">
        <v>156</v>
      </c>
      <c r="V49" s="2">
        <f t="shared" si="5"/>
        <v>175</v>
      </c>
      <c r="W49" s="2">
        <f t="shared" si="6"/>
        <v>175</v>
      </c>
      <c r="X49" s="4">
        <f ca="1"/>
        <v>251</v>
      </c>
      <c r="Y49" s="4">
        <f ca="1"/>
        <v>49</v>
      </c>
      <c r="Z49" s="4">
        <f t="shared" ca="1" si="3"/>
        <v>251</v>
      </c>
      <c r="AB49" s="2" t="str">
        <f t="shared" si="4"/>
        <v/>
      </c>
    </row>
    <row r="50" spans="2:28" x14ac:dyDescent="0.3">
      <c r="B50" s="12">
        <v>47</v>
      </c>
      <c r="C50" s="28">
        <v>168.18253005522499</v>
      </c>
      <c r="E50" s="14" t="s">
        <v>2149</v>
      </c>
      <c r="F50" s="11">
        <v>161</v>
      </c>
      <c r="V50" s="2">
        <f t="shared" si="5"/>
        <v>176</v>
      </c>
      <c r="W50" s="2">
        <f t="shared" si="6"/>
        <v>176</v>
      </c>
      <c r="X50" s="4">
        <f ca="1"/>
        <v>141</v>
      </c>
      <c r="Y50" s="4">
        <f ca="1"/>
        <v>40</v>
      </c>
      <c r="Z50" s="4">
        <f t="shared" ca="1" si="3"/>
        <v>141</v>
      </c>
      <c r="AB50" s="2" t="str">
        <f t="shared" si="4"/>
        <v/>
      </c>
    </row>
    <row r="51" spans="2:28" x14ac:dyDescent="0.3">
      <c r="B51" s="12">
        <v>48</v>
      </c>
      <c r="C51" s="28">
        <v>164.31976631511284</v>
      </c>
      <c r="E51" s="14" t="s">
        <v>4445</v>
      </c>
      <c r="F51" s="11">
        <v>155</v>
      </c>
      <c r="V51" s="2">
        <f t="shared" si="5"/>
        <v>177</v>
      </c>
      <c r="W51" s="2">
        <f t="shared" si="6"/>
        <v>177</v>
      </c>
      <c r="X51" s="4">
        <f ca="1"/>
        <v>113</v>
      </c>
      <c r="Y51" s="4">
        <f ca="1"/>
        <v>38</v>
      </c>
      <c r="Z51" s="4">
        <f t="shared" ca="1" si="3"/>
        <v>113</v>
      </c>
      <c r="AB51" s="2" t="str">
        <f t="shared" si="4"/>
        <v/>
      </c>
    </row>
    <row r="52" spans="2:28" x14ac:dyDescent="0.3">
      <c r="B52" s="12">
        <v>49</v>
      </c>
      <c r="C52" s="28">
        <v>168.14617953626626</v>
      </c>
      <c r="E52" s="14" t="s">
        <v>66</v>
      </c>
      <c r="F52" s="11">
        <v>168</v>
      </c>
      <c r="V52" s="2">
        <f t="shared" si="5"/>
        <v>178</v>
      </c>
      <c r="W52" s="2">
        <f t="shared" si="6"/>
        <v>178</v>
      </c>
      <c r="X52" s="4">
        <f ca="1"/>
        <v>190</v>
      </c>
      <c r="Y52" s="4">
        <f ca="1"/>
        <v>19</v>
      </c>
      <c r="Z52" s="4">
        <f t="shared" ca="1" si="3"/>
        <v>190</v>
      </c>
      <c r="AB52" s="2" t="str">
        <f t="shared" si="4"/>
        <v/>
      </c>
    </row>
    <row r="53" spans="2:28" x14ac:dyDescent="0.3">
      <c r="B53" s="12">
        <v>50</v>
      </c>
      <c r="C53" s="28">
        <v>167.26757459425795</v>
      </c>
      <c r="E53" s="14" t="s">
        <v>2855</v>
      </c>
      <c r="F53" s="11">
        <v>162</v>
      </c>
      <c r="V53" s="2">
        <f t="shared" si="5"/>
        <v>179</v>
      </c>
      <c r="W53" s="2">
        <f t="shared" si="6"/>
        <v>179</v>
      </c>
      <c r="X53" s="4">
        <f ca="1"/>
        <v>69</v>
      </c>
      <c r="Y53" s="4">
        <f ca="1"/>
        <v>17</v>
      </c>
      <c r="Z53" s="4">
        <f t="shared" ca="1" si="3"/>
        <v>69</v>
      </c>
      <c r="AB53" s="2" t="str">
        <f t="shared" si="4"/>
        <v/>
      </c>
    </row>
    <row r="54" spans="2:28" x14ac:dyDescent="0.3">
      <c r="B54" s="12">
        <v>51</v>
      </c>
      <c r="C54" s="28">
        <v>165.22578136258051</v>
      </c>
      <c r="E54" s="14" t="s">
        <v>3926</v>
      </c>
      <c r="F54" s="11">
        <v>173</v>
      </c>
      <c r="V54" s="2">
        <f t="shared" si="5"/>
        <v>180</v>
      </c>
      <c r="W54" s="2">
        <f t="shared" si="6"/>
        <v>180</v>
      </c>
      <c r="X54" s="4">
        <f ca="1"/>
        <v>180</v>
      </c>
      <c r="Y54" s="4">
        <f ca="1"/>
        <v>14</v>
      </c>
      <c r="Z54" s="4">
        <f t="shared" ca="1" si="3"/>
        <v>180</v>
      </c>
      <c r="AB54" s="2" t="str">
        <f t="shared" si="4"/>
        <v/>
      </c>
    </row>
    <row r="55" spans="2:28" x14ac:dyDescent="0.3">
      <c r="B55" s="12">
        <v>52</v>
      </c>
      <c r="C55" s="28">
        <v>163.77314248050976</v>
      </c>
      <c r="E55" s="14" t="s">
        <v>1567</v>
      </c>
      <c r="F55" s="11">
        <v>176</v>
      </c>
      <c r="V55" s="2">
        <f t="shared" si="5"/>
        <v>181</v>
      </c>
      <c r="W55" s="2">
        <f t="shared" si="6"/>
        <v>181</v>
      </c>
      <c r="X55" s="4">
        <f ca="1"/>
        <v>48</v>
      </c>
      <c r="Y55" s="4">
        <f ca="1"/>
        <v>4</v>
      </c>
      <c r="Z55" s="4">
        <f t="shared" ca="1" si="3"/>
        <v>48</v>
      </c>
      <c r="AB55" s="2" t="str">
        <f t="shared" si="4"/>
        <v/>
      </c>
    </row>
    <row r="56" spans="2:28" x14ac:dyDescent="0.3">
      <c r="B56" s="12">
        <v>53</v>
      </c>
      <c r="C56" s="28">
        <v>158.85179639106596</v>
      </c>
      <c r="E56" s="14" t="s">
        <v>4112</v>
      </c>
      <c r="F56" s="11">
        <v>173</v>
      </c>
      <c r="V56" s="2">
        <f t="shared" si="5"/>
        <v>182</v>
      </c>
      <c r="W56" s="2">
        <f t="shared" si="6"/>
        <v>182</v>
      </c>
      <c r="X56" s="4">
        <f ca="1"/>
        <v>65</v>
      </c>
      <c r="Y56" s="4">
        <f ca="1"/>
        <v>3</v>
      </c>
      <c r="Z56" s="4">
        <f t="shared" ca="1" si="3"/>
        <v>65</v>
      </c>
      <c r="AB56" s="2" t="str">
        <f t="shared" si="4"/>
        <v/>
      </c>
    </row>
    <row r="57" spans="2:28" x14ac:dyDescent="0.3">
      <c r="B57" s="12">
        <v>54</v>
      </c>
      <c r="C57" s="28">
        <v>156.45442831281881</v>
      </c>
      <c r="E57" s="14" t="s">
        <v>3061</v>
      </c>
      <c r="F57" s="11">
        <v>180</v>
      </c>
      <c r="V57" s="2">
        <f t="shared" si="5"/>
        <v>183</v>
      </c>
      <c r="W57" s="2">
        <f t="shared" si="6"/>
        <v>183</v>
      </c>
      <c r="X57" s="4">
        <f ca="1"/>
        <v>93</v>
      </c>
      <c r="Y57" s="4">
        <f ca="1"/>
        <v>1</v>
      </c>
      <c r="Z57" s="4">
        <f t="shared" ca="1" si="3"/>
        <v>93</v>
      </c>
      <c r="AB57" s="2" t="str">
        <f t="shared" si="4"/>
        <v/>
      </c>
    </row>
    <row r="58" spans="2:28" x14ac:dyDescent="0.3">
      <c r="B58" s="12">
        <v>55</v>
      </c>
      <c r="C58" s="28">
        <v>154.81383544354273</v>
      </c>
      <c r="E58" s="14" t="s">
        <v>2157</v>
      </c>
      <c r="F58" s="11">
        <v>168</v>
      </c>
      <c r="V58" s="2">
        <f t="shared" si="5"/>
        <v>184</v>
      </c>
      <c r="W58" s="2">
        <f t="shared" si="6"/>
        <v>184</v>
      </c>
      <c r="X58" s="4">
        <f ca="1"/>
        <v>47</v>
      </c>
      <c r="Y58" s="4">
        <f ca="1"/>
        <v>3</v>
      </c>
      <c r="Z58" s="4">
        <f t="shared" ca="1" si="3"/>
        <v>47</v>
      </c>
      <c r="AB58" s="2" t="str">
        <f t="shared" si="4"/>
        <v/>
      </c>
    </row>
    <row r="59" spans="2:28" x14ac:dyDescent="0.3">
      <c r="B59" s="12">
        <v>56</v>
      </c>
      <c r="C59" s="28">
        <v>161.42518845662076</v>
      </c>
      <c r="E59" s="14" t="s">
        <v>4159</v>
      </c>
      <c r="F59" s="11">
        <v>146</v>
      </c>
      <c r="V59" s="2">
        <f t="shared" si="5"/>
        <v>185</v>
      </c>
      <c r="W59" s="2">
        <f t="shared" si="6"/>
        <v>185</v>
      </c>
      <c r="X59" s="4">
        <f ca="1"/>
        <v>61</v>
      </c>
      <c r="Y59" s="4">
        <f ca="1"/>
        <v>0</v>
      </c>
      <c r="Z59" s="4">
        <f t="shared" ca="1" si="3"/>
        <v>61</v>
      </c>
      <c r="AB59" s="2" t="str">
        <f t="shared" si="4"/>
        <v/>
      </c>
    </row>
    <row r="60" spans="2:28" x14ac:dyDescent="0.3">
      <c r="B60" s="12">
        <v>57</v>
      </c>
      <c r="C60" s="28">
        <v>158.1107997313589</v>
      </c>
      <c r="E60" s="14" t="s">
        <v>2899</v>
      </c>
      <c r="F60" s="11">
        <v>169</v>
      </c>
      <c r="V60" s="2">
        <f t="shared" si="5"/>
        <v>186</v>
      </c>
      <c r="W60" s="2">
        <f t="shared" si="6"/>
        <v>186</v>
      </c>
      <c r="X60" s="4">
        <f ca="1"/>
        <v>38</v>
      </c>
      <c r="Y60" s="4">
        <f ca="1"/>
        <v>0</v>
      </c>
      <c r="Z60" s="4">
        <f t="shared" ca="1" si="3"/>
        <v>38</v>
      </c>
      <c r="AB60" s="2" t="str">
        <f t="shared" si="4"/>
        <v/>
      </c>
    </row>
    <row r="61" spans="2:28" x14ac:dyDescent="0.3">
      <c r="B61" s="12">
        <v>58</v>
      </c>
      <c r="C61" s="28">
        <v>168.12410074209123</v>
      </c>
      <c r="E61" s="14" t="s">
        <v>4484</v>
      </c>
      <c r="F61" s="11">
        <v>167</v>
      </c>
      <c r="V61" s="2">
        <f t="shared" si="5"/>
        <v>187</v>
      </c>
      <c r="W61" s="2">
        <f t="shared" si="6"/>
        <v>187</v>
      </c>
      <c r="X61" s="4">
        <f ca="1"/>
        <v>22</v>
      </c>
      <c r="Y61" s="4">
        <f ca="1"/>
        <v>1</v>
      </c>
      <c r="Z61" s="4">
        <f t="shared" ca="1" si="3"/>
        <v>22</v>
      </c>
      <c r="AB61" s="2" t="str">
        <f t="shared" si="4"/>
        <v/>
      </c>
    </row>
    <row r="62" spans="2:28" x14ac:dyDescent="0.3">
      <c r="B62" s="12">
        <v>59</v>
      </c>
      <c r="C62" s="28">
        <v>158.87206725915837</v>
      </c>
      <c r="E62" s="14" t="s">
        <v>1263</v>
      </c>
      <c r="F62" s="11">
        <v>183</v>
      </c>
      <c r="V62" s="2">
        <f t="shared" si="5"/>
        <v>188</v>
      </c>
      <c r="W62" s="2">
        <f t="shared" si="6"/>
        <v>188</v>
      </c>
      <c r="X62" s="4">
        <f ca="1"/>
        <v>35</v>
      </c>
      <c r="Y62" s="4">
        <f ca="1"/>
        <v>0</v>
      </c>
      <c r="Z62" s="4">
        <f t="shared" ca="1" si="3"/>
        <v>35</v>
      </c>
      <c r="AB62" s="2" t="str">
        <f t="shared" si="4"/>
        <v/>
      </c>
    </row>
    <row r="63" spans="2:28" x14ac:dyDescent="0.3">
      <c r="B63" s="12">
        <v>60</v>
      </c>
      <c r="C63" s="28">
        <v>169.2397791779303</v>
      </c>
      <c r="E63" s="14" t="s">
        <v>4737</v>
      </c>
      <c r="F63" s="11">
        <v>171</v>
      </c>
      <c r="V63" s="2">
        <f t="shared" si="5"/>
        <v>189</v>
      </c>
      <c r="W63" s="2">
        <f t="shared" si="6"/>
        <v>189</v>
      </c>
      <c r="X63" s="4">
        <f ca="1"/>
        <v>7</v>
      </c>
      <c r="Y63" s="4">
        <f ca="1"/>
        <v>0</v>
      </c>
      <c r="Z63" s="4">
        <f t="shared" ca="1" si="3"/>
        <v>7</v>
      </c>
      <c r="AB63" s="2" t="str">
        <f t="shared" si="4"/>
        <v/>
      </c>
    </row>
    <row r="64" spans="2:28" x14ac:dyDescent="0.3">
      <c r="B64" s="12">
        <v>61</v>
      </c>
      <c r="C64" s="28">
        <v>151.40574274594317</v>
      </c>
      <c r="E64" s="14" t="s">
        <v>799</v>
      </c>
      <c r="F64" s="11">
        <v>170</v>
      </c>
      <c r="V64" s="2">
        <f t="shared" si="5"/>
        <v>190</v>
      </c>
      <c r="W64" s="2">
        <f t="shared" si="6"/>
        <v>190</v>
      </c>
      <c r="X64" s="4">
        <f ca="1"/>
        <v>28</v>
      </c>
      <c r="Y64" s="4">
        <f ca="1"/>
        <v>0</v>
      </c>
      <c r="Z64" s="4">
        <f t="shared" ca="1" si="3"/>
        <v>28</v>
      </c>
      <c r="AB64" s="2" t="str">
        <f t="shared" si="4"/>
        <v/>
      </c>
    </row>
    <row r="65" spans="2:28" x14ac:dyDescent="0.3">
      <c r="B65" s="12">
        <v>62</v>
      </c>
      <c r="C65" s="28">
        <v>163.81322268911222</v>
      </c>
      <c r="E65" s="14" t="s">
        <v>3535</v>
      </c>
      <c r="F65" s="11">
        <v>167</v>
      </c>
      <c r="V65" s="2">
        <f t="shared" si="5"/>
        <v>191</v>
      </c>
      <c r="W65" s="2">
        <f t="shared" si="6"/>
        <v>191</v>
      </c>
      <c r="X65" s="4">
        <f ca="1"/>
        <v>14</v>
      </c>
      <c r="Y65" s="4">
        <f ca="1"/>
        <v>0</v>
      </c>
      <c r="Z65" s="4">
        <f t="shared" ca="1" si="3"/>
        <v>14</v>
      </c>
      <c r="AB65" s="2" t="str">
        <f t="shared" si="4"/>
        <v/>
      </c>
    </row>
    <row r="66" spans="2:28" x14ac:dyDescent="0.3">
      <c r="B66" s="12">
        <v>63</v>
      </c>
      <c r="C66" s="28">
        <v>164.93885198998984</v>
      </c>
      <c r="E66" s="14" t="s">
        <v>2947</v>
      </c>
      <c r="F66" s="11">
        <v>160</v>
      </c>
      <c r="V66" s="2">
        <f t="shared" si="5"/>
        <v>192</v>
      </c>
      <c r="W66" s="2">
        <f t="shared" si="6"/>
        <v>192</v>
      </c>
      <c r="X66" s="4">
        <f ca="1"/>
        <v>15</v>
      </c>
      <c r="Y66" s="4">
        <f ca="1"/>
        <v>0</v>
      </c>
      <c r="Z66" s="4">
        <f t="shared" ca="1" si="3"/>
        <v>15</v>
      </c>
      <c r="AB66" s="2" t="str">
        <f t="shared" si="4"/>
        <v/>
      </c>
    </row>
    <row r="67" spans="2:28" x14ac:dyDescent="0.3">
      <c r="B67" s="12">
        <v>64</v>
      </c>
      <c r="C67" s="28">
        <v>155.9033165529259</v>
      </c>
      <c r="E67" s="14" t="s">
        <v>1620</v>
      </c>
      <c r="F67" s="11">
        <v>170</v>
      </c>
      <c r="V67" s="2">
        <f t="shared" si="5"/>
        <v>193</v>
      </c>
      <c r="W67" s="2">
        <f t="shared" si="6"/>
        <v>193</v>
      </c>
      <c r="X67" s="4">
        <f ca="1"/>
        <v>19</v>
      </c>
      <c r="Y67" s="4">
        <f ca="1"/>
        <v>0</v>
      </c>
      <c r="Z67" s="4">
        <f t="shared" ca="1" si="3"/>
        <v>19</v>
      </c>
      <c r="AB67" s="2" t="str">
        <f t="shared" si="4"/>
        <v/>
      </c>
    </row>
    <row r="68" spans="2:28" x14ac:dyDescent="0.3">
      <c r="B68" s="12">
        <v>65</v>
      </c>
      <c r="C68" s="28">
        <v>167.81979950972845</v>
      </c>
      <c r="E68" s="14" t="s">
        <v>3242</v>
      </c>
      <c r="F68" s="11">
        <v>187</v>
      </c>
      <c r="V68" s="2">
        <f t="shared" si="5"/>
        <v>194</v>
      </c>
      <c r="W68" s="2">
        <f t="shared" si="6"/>
        <v>194</v>
      </c>
      <c r="X68" s="4">
        <f ca="1"/>
        <v>4</v>
      </c>
      <c r="Y68" s="4">
        <f ca="1"/>
        <v>0</v>
      </c>
      <c r="Z68" s="4">
        <f t="shared" ca="1" si="3"/>
        <v>4</v>
      </c>
      <c r="AB68" s="2" t="str">
        <f t="shared" si="4"/>
        <v/>
      </c>
    </row>
    <row r="69" spans="2:28" x14ac:dyDescent="0.3">
      <c r="B69" s="12">
        <v>66</v>
      </c>
      <c r="C69" s="28">
        <v>162.34265642027606</v>
      </c>
      <c r="E69" s="14" t="s">
        <v>3481</v>
      </c>
      <c r="F69" s="11">
        <v>162</v>
      </c>
      <c r="V69" s="2">
        <f t="shared" ref="V69:V77" si="7">IFERROR(IF(V68+$I$6&gt;MAX($F:$F)+$I$6,"",V68+$I$6),"")</f>
        <v>195</v>
      </c>
      <c r="W69" s="2">
        <f t="shared" ref="W69:W77" si="8">IF($I$6=1,V69,IF(V69="","",V68+1&amp;"-"&amp;V69))</f>
        <v>195</v>
      </c>
      <c r="X69" s="4">
        <f ca="1"/>
        <v>14</v>
      </c>
      <c r="Y69" s="4">
        <f ca="1"/>
        <v>0</v>
      </c>
      <c r="Z69" s="4">
        <f t="shared" ref="Z69:Z77" ca="1" si="9">IF(X69=0,"",X69)</f>
        <v>14</v>
      </c>
      <c r="AB69" s="2" t="str">
        <f t="shared" ref="AB69:AB77" si="10">IF($AA$4*1=1,X69,"")</f>
        <v/>
      </c>
    </row>
    <row r="70" spans="2:28" x14ac:dyDescent="0.3">
      <c r="B70" s="12">
        <v>67</v>
      </c>
      <c r="C70" s="28">
        <v>176.83430730151653</v>
      </c>
      <c r="E70" s="14" t="s">
        <v>1908</v>
      </c>
      <c r="F70" s="11">
        <v>157</v>
      </c>
      <c r="V70" s="2">
        <f t="shared" si="7"/>
        <v>196</v>
      </c>
      <c r="W70" s="2">
        <f t="shared" si="8"/>
        <v>196</v>
      </c>
      <c r="X70" s="4">
        <f ca="1"/>
        <v>7</v>
      </c>
      <c r="Y70" s="4">
        <f ca="1"/>
        <v>0</v>
      </c>
      <c r="Z70" s="4">
        <f t="shared" ca="1" si="9"/>
        <v>7</v>
      </c>
      <c r="AB70" s="2" t="str">
        <f t="shared" si="10"/>
        <v/>
      </c>
    </row>
    <row r="71" spans="2:28" x14ac:dyDescent="0.3">
      <c r="B71" s="12">
        <v>68</v>
      </c>
      <c r="C71" s="28">
        <v>170.64110112754011</v>
      </c>
      <c r="E71" s="14" t="s">
        <v>4738</v>
      </c>
      <c r="F71" s="11">
        <v>173</v>
      </c>
      <c r="V71" s="2">
        <f t="shared" si="7"/>
        <v>197</v>
      </c>
      <c r="W71" s="2">
        <f t="shared" si="8"/>
        <v>197</v>
      </c>
      <c r="X71" s="4">
        <f ca="1"/>
        <v>1</v>
      </c>
      <c r="Y71" s="4">
        <f ca="1"/>
        <v>0</v>
      </c>
      <c r="Z71" s="4">
        <f t="shared" ca="1" si="9"/>
        <v>1</v>
      </c>
      <c r="AB71" s="2" t="str">
        <f t="shared" si="10"/>
        <v/>
      </c>
    </row>
    <row r="72" spans="2:28" x14ac:dyDescent="0.3">
      <c r="B72" s="12">
        <v>69</v>
      </c>
      <c r="C72" s="28">
        <v>161.03358911763405</v>
      </c>
      <c r="E72" s="14" t="s">
        <v>976</v>
      </c>
      <c r="F72" s="11">
        <v>168</v>
      </c>
      <c r="V72" s="2">
        <f t="shared" si="7"/>
        <v>198</v>
      </c>
      <c r="W72" s="2">
        <f t="shared" si="8"/>
        <v>198</v>
      </c>
      <c r="X72" s="4">
        <f ca="1"/>
        <v>3</v>
      </c>
      <c r="Y72" s="4">
        <f ca="1"/>
        <v>0</v>
      </c>
      <c r="Z72" s="4">
        <f t="shared" ca="1" si="9"/>
        <v>3</v>
      </c>
      <c r="AB72" s="2" t="str">
        <f t="shared" si="10"/>
        <v/>
      </c>
    </row>
    <row r="73" spans="2:28" x14ac:dyDescent="0.3">
      <c r="B73" s="12">
        <v>70</v>
      </c>
      <c r="C73" s="28">
        <v>155.48145559880518</v>
      </c>
      <c r="E73" s="14" t="s">
        <v>2016</v>
      </c>
      <c r="F73" s="11">
        <v>165</v>
      </c>
      <c r="V73" s="2">
        <f t="shared" si="7"/>
        <v>199</v>
      </c>
      <c r="W73" s="2">
        <f t="shared" si="8"/>
        <v>199</v>
      </c>
      <c r="X73" s="4">
        <f ca="1"/>
        <v>0</v>
      </c>
      <c r="Y73" s="4">
        <f ca="1"/>
        <v>0</v>
      </c>
      <c r="Z73" s="4" t="str">
        <f t="shared" ca="1" si="9"/>
        <v/>
      </c>
      <c r="AB73" s="2" t="str">
        <f t="shared" si="10"/>
        <v/>
      </c>
    </row>
    <row r="74" spans="2:28" x14ac:dyDescent="0.3">
      <c r="B74" s="12">
        <v>71</v>
      </c>
      <c r="C74" s="28">
        <v>151.55633595215721</v>
      </c>
      <c r="E74" s="14" t="s">
        <v>305</v>
      </c>
      <c r="F74" s="11">
        <v>168</v>
      </c>
      <c r="V74" s="2">
        <f t="shared" si="7"/>
        <v>200</v>
      </c>
      <c r="W74" s="2">
        <f t="shared" si="8"/>
        <v>200</v>
      </c>
      <c r="X74" s="4">
        <f ca="1"/>
        <v>0</v>
      </c>
      <c r="Y74" s="4">
        <f ca="1"/>
        <v>0</v>
      </c>
      <c r="Z74" s="4" t="str">
        <f t="shared" ca="1" si="9"/>
        <v/>
      </c>
      <c r="AB74" s="2" t="str">
        <f t="shared" si="10"/>
        <v/>
      </c>
    </row>
    <row r="75" spans="2:28" x14ac:dyDescent="0.3">
      <c r="B75" s="12">
        <v>72</v>
      </c>
      <c r="C75" s="28">
        <v>162.78709242159226</v>
      </c>
      <c r="E75" s="14" t="s">
        <v>2245</v>
      </c>
      <c r="F75" s="11">
        <v>165</v>
      </c>
      <c r="V75" s="2">
        <f t="shared" si="7"/>
        <v>201</v>
      </c>
      <c r="W75" s="2">
        <f t="shared" si="8"/>
        <v>201</v>
      </c>
      <c r="X75" s="4">
        <f ca="1"/>
        <v>1</v>
      </c>
      <c r="Y75" s="4">
        <f ca="1"/>
        <v>0</v>
      </c>
      <c r="Z75" s="4">
        <f t="shared" ca="1" si="9"/>
        <v>1</v>
      </c>
      <c r="AB75" s="2" t="str">
        <f t="shared" si="10"/>
        <v/>
      </c>
    </row>
    <row r="76" spans="2:28" x14ac:dyDescent="0.3">
      <c r="B76" s="12">
        <v>73</v>
      </c>
      <c r="C76" s="28">
        <v>153.86827971326781</v>
      </c>
      <c r="E76" s="14" t="s">
        <v>3951</v>
      </c>
      <c r="F76" s="11">
        <v>153</v>
      </c>
      <c r="V76" s="2">
        <f t="shared" si="7"/>
        <v>202</v>
      </c>
      <c r="W76" s="2">
        <f t="shared" si="8"/>
        <v>202</v>
      </c>
      <c r="X76" s="4">
        <f ca="1"/>
        <v>1</v>
      </c>
      <c r="Y76" s="4">
        <f ca="1"/>
        <v>0</v>
      </c>
      <c r="Z76" s="4">
        <f t="shared" ca="1" si="9"/>
        <v>1</v>
      </c>
      <c r="AB76" s="2" t="str">
        <f t="shared" si="10"/>
        <v/>
      </c>
    </row>
    <row r="77" spans="2:28" x14ac:dyDescent="0.3">
      <c r="B77" s="12">
        <v>74</v>
      </c>
      <c r="C77" s="28">
        <v>157.7717606539604</v>
      </c>
      <c r="E77" s="14" t="s">
        <v>4792</v>
      </c>
      <c r="F77" s="11">
        <v>156</v>
      </c>
      <c r="V77" s="2">
        <f t="shared" si="7"/>
        <v>203</v>
      </c>
      <c r="W77" s="2">
        <f t="shared" si="8"/>
        <v>203</v>
      </c>
      <c r="X77" s="4">
        <f ca="1"/>
        <v>2</v>
      </c>
      <c r="Y77" s="4">
        <f ca="1"/>
        <v>0</v>
      </c>
      <c r="Z77" s="4">
        <f t="shared" ca="1" si="9"/>
        <v>2</v>
      </c>
      <c r="AB77" s="2" t="str">
        <f t="shared" si="10"/>
        <v/>
      </c>
    </row>
    <row r="78" spans="2:28" x14ac:dyDescent="0.3">
      <c r="B78" s="12">
        <v>75</v>
      </c>
      <c r="C78" s="28">
        <v>142.64502336856151</v>
      </c>
      <c r="E78" s="14" t="s">
        <v>1909</v>
      </c>
      <c r="F78" s="11">
        <v>186</v>
      </c>
    </row>
    <row r="79" spans="2:28" x14ac:dyDescent="0.3">
      <c r="B79" s="12">
        <v>76</v>
      </c>
      <c r="C79" s="28">
        <v>171.32115335389651</v>
      </c>
      <c r="E79" s="14" t="s">
        <v>2837</v>
      </c>
      <c r="F79" s="11">
        <v>166</v>
      </c>
    </row>
    <row r="80" spans="2:28" x14ac:dyDescent="0.3">
      <c r="B80" s="12">
        <v>77</v>
      </c>
      <c r="C80" s="28">
        <v>165.26546735382308</v>
      </c>
      <c r="E80" s="14" t="s">
        <v>4813</v>
      </c>
      <c r="F80" s="11">
        <v>156</v>
      </c>
    </row>
    <row r="81" spans="2:6" x14ac:dyDescent="0.3">
      <c r="B81" s="12">
        <v>78</v>
      </c>
      <c r="C81" s="28">
        <v>166.44329468339993</v>
      </c>
      <c r="E81" s="14" t="s">
        <v>3819</v>
      </c>
      <c r="F81" s="11">
        <v>162</v>
      </c>
    </row>
    <row r="82" spans="2:6" x14ac:dyDescent="0.3">
      <c r="B82" s="12">
        <v>79</v>
      </c>
      <c r="C82" s="28">
        <v>160.40011795976915</v>
      </c>
      <c r="E82" s="14" t="s">
        <v>605</v>
      </c>
      <c r="F82" s="11">
        <v>172</v>
      </c>
    </row>
    <row r="83" spans="2:6" x14ac:dyDescent="0.3">
      <c r="B83" s="12">
        <v>80</v>
      </c>
      <c r="C83" s="28">
        <v>149.54072370063312</v>
      </c>
      <c r="E83" s="14" t="s">
        <v>309</v>
      </c>
      <c r="F83" s="11">
        <v>163</v>
      </c>
    </row>
    <row r="84" spans="2:6" x14ac:dyDescent="0.3">
      <c r="B84" s="12">
        <v>81</v>
      </c>
      <c r="C84" s="28">
        <v>167.69392905560551</v>
      </c>
      <c r="E84" s="14" t="s">
        <v>516</v>
      </c>
      <c r="F84" s="11">
        <v>171</v>
      </c>
    </row>
    <row r="85" spans="2:6" x14ac:dyDescent="0.3">
      <c r="B85" s="12">
        <v>82</v>
      </c>
      <c r="C85" s="28">
        <v>156.27373145404002</v>
      </c>
      <c r="E85" s="14" t="s">
        <v>2011</v>
      </c>
      <c r="F85" s="11">
        <v>176</v>
      </c>
    </row>
    <row r="86" spans="2:6" x14ac:dyDescent="0.3">
      <c r="B86" s="12">
        <v>83</v>
      </c>
      <c r="C86" s="28">
        <v>161.50414866323217</v>
      </c>
      <c r="E86" s="14" t="s">
        <v>4380</v>
      </c>
      <c r="F86" s="11">
        <v>195</v>
      </c>
    </row>
    <row r="87" spans="2:6" x14ac:dyDescent="0.3">
      <c r="B87" s="12">
        <v>84</v>
      </c>
      <c r="C87" s="28">
        <v>151.85837778878354</v>
      </c>
      <c r="E87" s="14" t="s">
        <v>4489</v>
      </c>
      <c r="F87" s="11">
        <v>174</v>
      </c>
    </row>
    <row r="88" spans="2:6" x14ac:dyDescent="0.3">
      <c r="B88" s="12">
        <v>85</v>
      </c>
      <c r="C88" s="28">
        <v>170.55898414380209</v>
      </c>
      <c r="E88" s="14" t="s">
        <v>1985</v>
      </c>
      <c r="F88" s="11">
        <v>192</v>
      </c>
    </row>
    <row r="89" spans="2:6" x14ac:dyDescent="0.3">
      <c r="B89" s="12">
        <v>86</v>
      </c>
      <c r="C89" s="28">
        <v>158.30064119279865</v>
      </c>
      <c r="E89" s="14" t="s">
        <v>3923</v>
      </c>
      <c r="F89" s="11">
        <v>165</v>
      </c>
    </row>
    <row r="90" spans="2:6" x14ac:dyDescent="0.3">
      <c r="B90" s="12">
        <v>87</v>
      </c>
      <c r="C90" s="28">
        <v>165.47505527635329</v>
      </c>
      <c r="E90" s="14" t="s">
        <v>1092</v>
      </c>
      <c r="F90" s="11">
        <v>172</v>
      </c>
    </row>
    <row r="91" spans="2:6" x14ac:dyDescent="0.3">
      <c r="B91" s="12">
        <v>88</v>
      </c>
      <c r="C91" s="28">
        <v>179.39663498940868</v>
      </c>
      <c r="E91" s="14" t="s">
        <v>1376</v>
      </c>
      <c r="F91" s="11">
        <v>165</v>
      </c>
    </row>
    <row r="92" spans="2:6" x14ac:dyDescent="0.3">
      <c r="B92" s="12">
        <v>89</v>
      </c>
      <c r="C92" s="28">
        <v>171.16412603492461</v>
      </c>
      <c r="E92" s="14" t="s">
        <v>395</v>
      </c>
      <c r="F92" s="11">
        <v>169</v>
      </c>
    </row>
    <row r="93" spans="2:6" x14ac:dyDescent="0.3">
      <c r="B93" s="12">
        <v>90</v>
      </c>
      <c r="C93" s="28">
        <v>173.05123837682851</v>
      </c>
      <c r="E93" s="14" t="s">
        <v>2451</v>
      </c>
      <c r="F93" s="11">
        <v>157</v>
      </c>
    </row>
    <row r="94" spans="2:6" x14ac:dyDescent="0.3">
      <c r="B94" s="12">
        <v>91</v>
      </c>
      <c r="C94" s="28">
        <v>161.26068748455478</v>
      </c>
      <c r="E94" s="14" t="s">
        <v>3186</v>
      </c>
      <c r="F94" s="11">
        <v>156</v>
      </c>
    </row>
    <row r="95" spans="2:6" x14ac:dyDescent="0.3">
      <c r="B95" s="12">
        <v>92</v>
      </c>
      <c r="C95" s="28">
        <v>155.35418580034838</v>
      </c>
      <c r="E95" s="14" t="s">
        <v>3189</v>
      </c>
      <c r="F95" s="11">
        <v>164</v>
      </c>
    </row>
    <row r="96" spans="2:6" x14ac:dyDescent="0.3">
      <c r="B96" s="12">
        <v>93</v>
      </c>
      <c r="C96" s="28">
        <v>179.60375439687391</v>
      </c>
      <c r="E96" s="14" t="s">
        <v>3526</v>
      </c>
      <c r="F96" s="11">
        <v>175</v>
      </c>
    </row>
    <row r="97" spans="2:6" x14ac:dyDescent="0.3">
      <c r="B97" s="12">
        <v>94</v>
      </c>
      <c r="C97" s="28">
        <v>165.63049121685873</v>
      </c>
      <c r="E97" s="14" t="s">
        <v>4296</v>
      </c>
      <c r="F97" s="11">
        <v>176</v>
      </c>
    </row>
    <row r="98" spans="2:6" x14ac:dyDescent="0.3">
      <c r="B98" s="12">
        <v>95</v>
      </c>
      <c r="C98" s="28">
        <v>155.85310289326836</v>
      </c>
      <c r="E98" s="14" t="s">
        <v>4482</v>
      </c>
      <c r="F98" s="11">
        <v>175</v>
      </c>
    </row>
    <row r="99" spans="2:6" x14ac:dyDescent="0.3">
      <c r="B99" s="12">
        <v>96</v>
      </c>
      <c r="C99" s="28">
        <v>157.66215658113774</v>
      </c>
      <c r="E99" s="14" t="s">
        <v>4888</v>
      </c>
      <c r="F99" s="11">
        <v>165</v>
      </c>
    </row>
    <row r="100" spans="2:6" x14ac:dyDescent="0.3">
      <c r="B100" s="12">
        <v>97</v>
      </c>
      <c r="C100" s="28">
        <v>166.1283999819762</v>
      </c>
      <c r="E100" s="14" t="s">
        <v>4043</v>
      </c>
      <c r="F100" s="11">
        <v>174</v>
      </c>
    </row>
    <row r="101" spans="2:6" x14ac:dyDescent="0.3">
      <c r="B101" s="12">
        <v>98</v>
      </c>
      <c r="C101" s="28">
        <v>157.03135501778831</v>
      </c>
      <c r="E101" s="14" t="s">
        <v>853</v>
      </c>
      <c r="F101" s="11">
        <v>167</v>
      </c>
    </row>
    <row r="102" spans="2:6" x14ac:dyDescent="0.3">
      <c r="B102" s="12">
        <v>99</v>
      </c>
      <c r="C102" s="28">
        <v>159.88588102058063</v>
      </c>
      <c r="E102" s="14" t="s">
        <v>880</v>
      </c>
      <c r="F102" s="11">
        <v>187</v>
      </c>
    </row>
    <row r="103" spans="2:6" x14ac:dyDescent="0.3">
      <c r="B103" s="12">
        <v>100</v>
      </c>
      <c r="C103" s="28">
        <v>163.48210564805555</v>
      </c>
      <c r="E103" s="14" t="s">
        <v>3579</v>
      </c>
      <c r="F103" s="11">
        <v>168</v>
      </c>
    </row>
    <row r="104" spans="2:6" x14ac:dyDescent="0.3">
      <c r="B104" s="12">
        <v>101</v>
      </c>
      <c r="C104" s="28">
        <v>162.65788520858021</v>
      </c>
      <c r="E104" s="14" t="s">
        <v>1866</v>
      </c>
      <c r="F104" s="11">
        <v>160</v>
      </c>
    </row>
    <row r="105" spans="2:6" x14ac:dyDescent="0.3">
      <c r="B105" s="12">
        <v>102</v>
      </c>
      <c r="C105" s="28">
        <v>177.26236502512936</v>
      </c>
      <c r="E105" s="14" t="s">
        <v>2219</v>
      </c>
      <c r="F105" s="11">
        <v>167</v>
      </c>
    </row>
    <row r="106" spans="2:6" x14ac:dyDescent="0.3">
      <c r="B106" s="12">
        <v>103</v>
      </c>
      <c r="C106" s="28">
        <v>159.56876904255287</v>
      </c>
      <c r="E106" s="14" t="s">
        <v>3022</v>
      </c>
      <c r="F106" s="11">
        <v>168</v>
      </c>
    </row>
    <row r="107" spans="2:6" x14ac:dyDescent="0.3">
      <c r="B107" s="12">
        <v>104</v>
      </c>
      <c r="C107" s="28">
        <v>182.85779161705491</v>
      </c>
      <c r="E107" s="14" t="s">
        <v>4460</v>
      </c>
      <c r="F107" s="11">
        <v>172</v>
      </c>
    </row>
    <row r="108" spans="2:6" x14ac:dyDescent="0.3">
      <c r="B108" s="12">
        <v>105</v>
      </c>
      <c r="C108" s="28">
        <v>157.46497982099444</v>
      </c>
      <c r="E108" s="14" t="s">
        <v>3493</v>
      </c>
      <c r="F108" s="11">
        <v>178</v>
      </c>
    </row>
    <row r="109" spans="2:6" x14ac:dyDescent="0.3">
      <c r="B109" s="12">
        <v>106</v>
      </c>
      <c r="C109" s="28">
        <v>167.14369890142711</v>
      </c>
      <c r="E109" s="14" t="s">
        <v>3689</v>
      </c>
      <c r="F109" s="11">
        <v>168</v>
      </c>
    </row>
    <row r="110" spans="2:6" x14ac:dyDescent="0.3">
      <c r="B110" s="12">
        <v>107</v>
      </c>
      <c r="C110" s="28">
        <v>152.47774971323534</v>
      </c>
      <c r="E110" s="14" t="s">
        <v>1399</v>
      </c>
      <c r="F110" s="11">
        <v>175</v>
      </c>
    </row>
    <row r="111" spans="2:6" x14ac:dyDescent="0.3">
      <c r="B111" s="12">
        <v>108</v>
      </c>
      <c r="C111" s="28">
        <v>163.82711875453592</v>
      </c>
      <c r="E111" s="14" t="s">
        <v>3284</v>
      </c>
      <c r="F111" s="11">
        <v>169</v>
      </c>
    </row>
    <row r="112" spans="2:6" x14ac:dyDescent="0.3">
      <c r="B112" s="12">
        <v>109</v>
      </c>
      <c r="C112" s="28">
        <v>157.60609704836344</v>
      </c>
      <c r="E112" s="14" t="s">
        <v>4257</v>
      </c>
      <c r="F112" s="11">
        <v>170</v>
      </c>
    </row>
    <row r="113" spans="2:6" x14ac:dyDescent="0.3">
      <c r="B113" s="12">
        <v>110</v>
      </c>
      <c r="C113" s="28">
        <v>164.00266770143509</v>
      </c>
      <c r="E113" s="14" t="s">
        <v>3935</v>
      </c>
      <c r="F113" s="11">
        <v>168</v>
      </c>
    </row>
    <row r="114" spans="2:6" x14ac:dyDescent="0.3">
      <c r="B114" s="12">
        <v>111</v>
      </c>
      <c r="C114" s="28">
        <v>153.68096243641443</v>
      </c>
      <c r="E114" s="14" t="s">
        <v>50</v>
      </c>
      <c r="F114" s="11">
        <v>165</v>
      </c>
    </row>
    <row r="115" spans="2:6" x14ac:dyDescent="0.3">
      <c r="B115" s="12">
        <v>112</v>
      </c>
      <c r="C115" s="28">
        <v>155.48470278528669</v>
      </c>
      <c r="E115" s="14" t="s">
        <v>3280</v>
      </c>
      <c r="F115" s="11">
        <v>180</v>
      </c>
    </row>
    <row r="116" spans="2:6" x14ac:dyDescent="0.3">
      <c r="B116" s="12">
        <v>113</v>
      </c>
      <c r="C116" s="28">
        <v>167.08274507489156</v>
      </c>
      <c r="E116" s="14" t="s">
        <v>3344</v>
      </c>
      <c r="F116" s="11">
        <v>169</v>
      </c>
    </row>
    <row r="117" spans="2:6" x14ac:dyDescent="0.3">
      <c r="B117" s="12">
        <v>114</v>
      </c>
      <c r="C117" s="28">
        <v>154.11266713017577</v>
      </c>
      <c r="E117" s="14" t="s">
        <v>1394</v>
      </c>
      <c r="F117" s="11">
        <v>184</v>
      </c>
    </row>
    <row r="118" spans="2:6" x14ac:dyDescent="0.3">
      <c r="B118" s="12">
        <v>115</v>
      </c>
      <c r="C118" s="28">
        <v>164.56622563933217</v>
      </c>
      <c r="E118" s="14" t="s">
        <v>2692</v>
      </c>
      <c r="F118" s="11">
        <v>168</v>
      </c>
    </row>
    <row r="119" spans="2:6" x14ac:dyDescent="0.3">
      <c r="B119" s="12">
        <v>116</v>
      </c>
      <c r="C119" s="28">
        <v>160.01131145921585</v>
      </c>
      <c r="E119" s="14" t="s">
        <v>3188</v>
      </c>
      <c r="F119" s="11">
        <v>180</v>
      </c>
    </row>
    <row r="120" spans="2:6" x14ac:dyDescent="0.3">
      <c r="B120" s="12">
        <v>117</v>
      </c>
      <c r="C120" s="28">
        <v>162.07608593223623</v>
      </c>
      <c r="E120" s="14" t="s">
        <v>3433</v>
      </c>
      <c r="F120" s="11">
        <v>163</v>
      </c>
    </row>
    <row r="121" spans="2:6" x14ac:dyDescent="0.3">
      <c r="B121" s="12">
        <v>118</v>
      </c>
      <c r="C121" s="28">
        <v>158.19094627074421</v>
      </c>
      <c r="E121" s="14" t="s">
        <v>4409</v>
      </c>
      <c r="F121" s="11">
        <v>188</v>
      </c>
    </row>
    <row r="122" spans="2:6" x14ac:dyDescent="0.3">
      <c r="B122" s="12">
        <v>119</v>
      </c>
      <c r="C122" s="28">
        <v>156.74602104061134</v>
      </c>
      <c r="E122" s="14" t="s">
        <v>1918</v>
      </c>
      <c r="F122" s="11">
        <v>186</v>
      </c>
    </row>
    <row r="123" spans="2:6" x14ac:dyDescent="0.3">
      <c r="B123" s="12">
        <v>120</v>
      </c>
      <c r="C123" s="28">
        <v>164.64951946459837</v>
      </c>
      <c r="E123" s="14" t="s">
        <v>2893</v>
      </c>
      <c r="F123" s="11">
        <v>147</v>
      </c>
    </row>
    <row r="124" spans="2:6" x14ac:dyDescent="0.3">
      <c r="B124" s="12">
        <v>121</v>
      </c>
      <c r="C124" s="28">
        <v>166.45912144062521</v>
      </c>
      <c r="E124" s="14" t="s">
        <v>2207</v>
      </c>
      <c r="F124" s="11">
        <v>168</v>
      </c>
    </row>
    <row r="125" spans="2:6" x14ac:dyDescent="0.3">
      <c r="B125" s="12">
        <v>122</v>
      </c>
      <c r="C125" s="28">
        <v>155.79511390188563</v>
      </c>
      <c r="E125" s="14" t="s">
        <v>1562</v>
      </c>
      <c r="F125" s="11">
        <v>180</v>
      </c>
    </row>
    <row r="126" spans="2:6" x14ac:dyDescent="0.3">
      <c r="B126" s="12">
        <v>123</v>
      </c>
      <c r="C126" s="28">
        <v>145.04382844850105</v>
      </c>
      <c r="E126" s="14" t="s">
        <v>2013</v>
      </c>
      <c r="F126" s="11">
        <v>183</v>
      </c>
    </row>
    <row r="127" spans="2:6" x14ac:dyDescent="0.3">
      <c r="B127" s="12">
        <v>124</v>
      </c>
      <c r="C127" s="28">
        <v>143.37203996758814</v>
      </c>
      <c r="E127" s="14" t="s">
        <v>2264</v>
      </c>
      <c r="F127" s="11">
        <v>177</v>
      </c>
    </row>
    <row r="128" spans="2:6" x14ac:dyDescent="0.3">
      <c r="B128" s="12">
        <v>125</v>
      </c>
      <c r="C128" s="28">
        <v>154.47152799823925</v>
      </c>
      <c r="E128" s="14" t="s">
        <v>2471</v>
      </c>
      <c r="F128" s="11">
        <v>173</v>
      </c>
    </row>
    <row r="129" spans="2:6" x14ac:dyDescent="0.3">
      <c r="B129" s="12">
        <v>126</v>
      </c>
      <c r="C129" s="28">
        <v>156.1205501635396</v>
      </c>
      <c r="E129" s="14" t="s">
        <v>2474</v>
      </c>
      <c r="F129" s="11">
        <v>173</v>
      </c>
    </row>
    <row r="130" spans="2:6" x14ac:dyDescent="0.3">
      <c r="B130" s="12">
        <v>127</v>
      </c>
      <c r="C130" s="28">
        <v>157.28712154592733</v>
      </c>
      <c r="E130" s="14" t="s">
        <v>3627</v>
      </c>
      <c r="F130" s="11">
        <v>163</v>
      </c>
    </row>
    <row r="131" spans="2:6" x14ac:dyDescent="0.3">
      <c r="B131" s="12">
        <v>128</v>
      </c>
      <c r="C131" s="28">
        <v>169.32805899001244</v>
      </c>
      <c r="E131" s="14" t="s">
        <v>2594</v>
      </c>
      <c r="F131" s="11">
        <v>158</v>
      </c>
    </row>
    <row r="132" spans="2:6" x14ac:dyDescent="0.3">
      <c r="B132" s="12">
        <v>129</v>
      </c>
      <c r="C132" s="28">
        <v>165.3099710906267</v>
      </c>
      <c r="E132" s="14" t="s">
        <v>923</v>
      </c>
      <c r="F132" s="11">
        <v>167</v>
      </c>
    </row>
    <row r="133" spans="2:6" x14ac:dyDescent="0.3">
      <c r="B133" s="12">
        <v>130</v>
      </c>
      <c r="C133" s="28">
        <v>161.27258322035257</v>
      </c>
      <c r="E133" s="14" t="s">
        <v>2826</v>
      </c>
      <c r="F133" s="11">
        <v>168</v>
      </c>
    </row>
    <row r="134" spans="2:6" x14ac:dyDescent="0.3">
      <c r="B134" s="12">
        <v>131</v>
      </c>
      <c r="C134" s="28">
        <v>164.05932549793104</v>
      </c>
      <c r="E134" s="14" t="s">
        <v>4693</v>
      </c>
      <c r="F134" s="11">
        <v>180</v>
      </c>
    </row>
    <row r="135" spans="2:6" x14ac:dyDescent="0.3">
      <c r="B135" s="12">
        <v>132</v>
      </c>
      <c r="C135" s="28">
        <v>155.00182921783102</v>
      </c>
      <c r="E135" s="14" t="s">
        <v>3182</v>
      </c>
      <c r="F135" s="11">
        <v>189</v>
      </c>
    </row>
    <row r="136" spans="2:6" x14ac:dyDescent="0.3">
      <c r="B136" s="12">
        <v>133</v>
      </c>
      <c r="C136" s="28">
        <v>158.10758512844089</v>
      </c>
      <c r="E136" s="14" t="s">
        <v>2894</v>
      </c>
      <c r="F136" s="11">
        <v>173</v>
      </c>
    </row>
    <row r="137" spans="2:6" x14ac:dyDescent="0.3">
      <c r="B137" s="12">
        <v>134</v>
      </c>
      <c r="C137" s="28">
        <v>165.25271920808598</v>
      </c>
      <c r="E137" s="14" t="s">
        <v>3459</v>
      </c>
      <c r="F137" s="11">
        <v>174</v>
      </c>
    </row>
    <row r="138" spans="2:6" x14ac:dyDescent="0.3">
      <c r="B138" s="12">
        <v>135</v>
      </c>
      <c r="C138" s="28">
        <v>160.57835369323323</v>
      </c>
      <c r="E138" s="14" t="s">
        <v>101</v>
      </c>
      <c r="F138" s="11">
        <v>177</v>
      </c>
    </row>
    <row r="139" spans="2:6" x14ac:dyDescent="0.3">
      <c r="B139" s="12">
        <v>136</v>
      </c>
      <c r="C139" s="28">
        <v>160.60170957206569</v>
      </c>
      <c r="E139" s="14" t="s">
        <v>3547</v>
      </c>
      <c r="F139" s="11">
        <v>157</v>
      </c>
    </row>
    <row r="140" spans="2:6" x14ac:dyDescent="0.3">
      <c r="B140" s="12">
        <v>137</v>
      </c>
      <c r="C140" s="28">
        <v>160.72847821798689</v>
      </c>
      <c r="E140" s="14" t="s">
        <v>4270</v>
      </c>
      <c r="F140" s="11">
        <v>170</v>
      </c>
    </row>
    <row r="141" spans="2:6" x14ac:dyDescent="0.3">
      <c r="B141" s="12">
        <v>138</v>
      </c>
      <c r="C141" s="28">
        <v>167.76870325202097</v>
      </c>
      <c r="E141" s="14" t="s">
        <v>4390</v>
      </c>
      <c r="F141" s="11">
        <v>170</v>
      </c>
    </row>
    <row r="142" spans="2:6" x14ac:dyDescent="0.3">
      <c r="B142" s="12">
        <v>139</v>
      </c>
      <c r="C142" s="28">
        <v>160.1157705381398</v>
      </c>
      <c r="E142" s="14" t="s">
        <v>4697</v>
      </c>
      <c r="F142" s="11">
        <v>180</v>
      </c>
    </row>
    <row r="143" spans="2:6" x14ac:dyDescent="0.3">
      <c r="B143" s="12">
        <v>140</v>
      </c>
      <c r="C143" s="28">
        <v>159.07533065491117</v>
      </c>
      <c r="E143" s="14" t="s">
        <v>610</v>
      </c>
      <c r="F143" s="11">
        <v>175</v>
      </c>
    </row>
    <row r="144" spans="2:6" x14ac:dyDescent="0.3">
      <c r="B144" s="12">
        <v>141</v>
      </c>
      <c r="C144" s="28">
        <v>156.63815769309338</v>
      </c>
      <c r="E144" s="14" t="s">
        <v>3254</v>
      </c>
      <c r="F144" s="11">
        <v>165</v>
      </c>
    </row>
    <row r="145" spans="2:6" x14ac:dyDescent="0.3">
      <c r="B145" s="12">
        <v>142</v>
      </c>
      <c r="C145" s="28">
        <v>161.14790097061899</v>
      </c>
      <c r="E145" s="14" t="s">
        <v>4330</v>
      </c>
      <c r="F145" s="11">
        <v>180</v>
      </c>
    </row>
    <row r="146" spans="2:6" x14ac:dyDescent="0.3">
      <c r="B146" s="12">
        <v>143</v>
      </c>
      <c r="C146" s="28">
        <v>157.65633902988512</v>
      </c>
      <c r="E146" s="14" t="s">
        <v>4680</v>
      </c>
      <c r="F146" s="11">
        <v>168</v>
      </c>
    </row>
    <row r="147" spans="2:6" x14ac:dyDescent="0.3">
      <c r="B147" s="12">
        <v>144</v>
      </c>
      <c r="C147" s="28">
        <v>172.73728208180285</v>
      </c>
      <c r="E147" s="14" t="s">
        <v>2272</v>
      </c>
      <c r="F147" s="11">
        <v>172</v>
      </c>
    </row>
    <row r="148" spans="2:6" x14ac:dyDescent="0.3">
      <c r="B148" s="12">
        <v>145</v>
      </c>
      <c r="C148" s="28">
        <v>168.99879559294848</v>
      </c>
      <c r="E148" s="14" t="s">
        <v>3746</v>
      </c>
      <c r="F148" s="11">
        <v>158</v>
      </c>
    </row>
    <row r="149" spans="2:6" x14ac:dyDescent="0.3">
      <c r="B149" s="12">
        <v>146</v>
      </c>
      <c r="C149" s="28">
        <v>158.87660832837264</v>
      </c>
      <c r="E149" s="14" t="s">
        <v>242</v>
      </c>
      <c r="F149" s="11">
        <v>172</v>
      </c>
    </row>
    <row r="150" spans="2:6" x14ac:dyDescent="0.3">
      <c r="B150" s="12">
        <v>147</v>
      </c>
      <c r="C150" s="28">
        <v>165.56288671402379</v>
      </c>
      <c r="E150" s="14" t="s">
        <v>185</v>
      </c>
      <c r="F150" s="11">
        <v>152</v>
      </c>
    </row>
    <row r="151" spans="2:6" x14ac:dyDescent="0.3">
      <c r="B151" s="12">
        <v>148</v>
      </c>
      <c r="C151" s="28">
        <v>165.676327898762</v>
      </c>
      <c r="E151" s="14" t="s">
        <v>1807</v>
      </c>
      <c r="F151" s="11">
        <v>172</v>
      </c>
    </row>
    <row r="152" spans="2:6" x14ac:dyDescent="0.3">
      <c r="B152" s="12">
        <v>149</v>
      </c>
      <c r="C152" s="28">
        <v>162.4452691703915</v>
      </c>
      <c r="E152" s="14" t="s">
        <v>2962</v>
      </c>
      <c r="F152" s="11">
        <v>168</v>
      </c>
    </row>
    <row r="153" spans="2:6" x14ac:dyDescent="0.3">
      <c r="B153" s="12">
        <v>150</v>
      </c>
      <c r="C153" s="28">
        <v>162.11813762757106</v>
      </c>
      <c r="E153" s="14" t="s">
        <v>2848</v>
      </c>
      <c r="F153" s="11">
        <v>180</v>
      </c>
    </row>
    <row r="154" spans="2:6" x14ac:dyDescent="0.3">
      <c r="B154" s="12">
        <v>151</v>
      </c>
      <c r="C154" s="28">
        <v>162.79167907103894</v>
      </c>
      <c r="E154" s="14" t="s">
        <v>3619</v>
      </c>
      <c r="F154" s="11">
        <v>172</v>
      </c>
    </row>
    <row r="155" spans="2:6" x14ac:dyDescent="0.3">
      <c r="B155" s="12">
        <v>152</v>
      </c>
      <c r="C155" s="28">
        <v>151.49994872394231</v>
      </c>
      <c r="E155" s="14" t="s">
        <v>3847</v>
      </c>
      <c r="F155" s="11">
        <v>165</v>
      </c>
    </row>
    <row r="156" spans="2:6" x14ac:dyDescent="0.3">
      <c r="B156" s="12">
        <v>153</v>
      </c>
      <c r="C156" s="28">
        <v>163.32001229303131</v>
      </c>
      <c r="E156" s="14" t="s">
        <v>4006</v>
      </c>
      <c r="F156" s="11">
        <v>175</v>
      </c>
    </row>
    <row r="157" spans="2:6" x14ac:dyDescent="0.3">
      <c r="B157" s="12">
        <v>154</v>
      </c>
      <c r="C157" s="28">
        <v>168.04037555785382</v>
      </c>
      <c r="E157" s="14" t="s">
        <v>4062</v>
      </c>
      <c r="F157" s="11">
        <v>166</v>
      </c>
    </row>
    <row r="158" spans="2:6" x14ac:dyDescent="0.3">
      <c r="B158" s="12">
        <v>155</v>
      </c>
      <c r="C158" s="28">
        <v>150.08528436253172</v>
      </c>
      <c r="E158" s="14" t="s">
        <v>553</v>
      </c>
      <c r="F158" s="11">
        <v>165</v>
      </c>
    </row>
    <row r="159" spans="2:6" x14ac:dyDescent="0.3">
      <c r="B159" s="12">
        <v>156</v>
      </c>
      <c r="C159" s="28">
        <v>162.4622993462973</v>
      </c>
      <c r="E159" s="14" t="s">
        <v>692</v>
      </c>
      <c r="F159" s="11">
        <v>168</v>
      </c>
    </row>
    <row r="160" spans="2:6" x14ac:dyDescent="0.3">
      <c r="B160" s="12">
        <v>157</v>
      </c>
      <c r="C160" s="28">
        <v>158.51394289464881</v>
      </c>
      <c r="E160" s="14" t="s">
        <v>449</v>
      </c>
      <c r="F160" s="11">
        <v>167</v>
      </c>
    </row>
    <row r="161" spans="2:6" x14ac:dyDescent="0.3">
      <c r="B161" s="12">
        <v>158</v>
      </c>
      <c r="C161" s="28">
        <v>166.27039375255274</v>
      </c>
      <c r="E161" s="14" t="s">
        <v>856</v>
      </c>
      <c r="F161" s="11">
        <v>176</v>
      </c>
    </row>
    <row r="162" spans="2:6" x14ac:dyDescent="0.3">
      <c r="B162" s="12">
        <v>159</v>
      </c>
      <c r="C162" s="28">
        <v>165.05422484767902</v>
      </c>
      <c r="E162" s="14" t="s">
        <v>2557</v>
      </c>
      <c r="F162" s="11">
        <v>161</v>
      </c>
    </row>
    <row r="163" spans="2:6" x14ac:dyDescent="0.3">
      <c r="B163" s="12">
        <v>160</v>
      </c>
      <c r="C163" s="28">
        <v>157.01684437659986</v>
      </c>
      <c r="E163" s="14" t="s">
        <v>3532</v>
      </c>
      <c r="F163" s="11">
        <v>173</v>
      </c>
    </row>
    <row r="164" spans="2:6" x14ac:dyDescent="0.3">
      <c r="B164" s="12">
        <v>161</v>
      </c>
      <c r="C164" s="28">
        <v>162.11808503344969</v>
      </c>
      <c r="E164" s="14" t="s">
        <v>4276</v>
      </c>
      <c r="F164" s="11">
        <v>176</v>
      </c>
    </row>
    <row r="165" spans="2:6" x14ac:dyDescent="0.3">
      <c r="B165" s="12">
        <v>162</v>
      </c>
      <c r="C165" s="28">
        <v>163.24776106982969</v>
      </c>
      <c r="E165" s="14" t="s">
        <v>207</v>
      </c>
      <c r="F165" s="11">
        <v>166</v>
      </c>
    </row>
    <row r="166" spans="2:6" x14ac:dyDescent="0.3">
      <c r="B166" s="12">
        <v>163</v>
      </c>
      <c r="C166" s="28">
        <v>147.22331790240852</v>
      </c>
      <c r="E166" s="14" t="s">
        <v>4235</v>
      </c>
      <c r="F166" s="11">
        <v>164</v>
      </c>
    </row>
    <row r="167" spans="2:6" x14ac:dyDescent="0.3">
      <c r="B167" s="12">
        <v>164</v>
      </c>
      <c r="C167" s="28">
        <v>148.83695269986069</v>
      </c>
      <c r="E167" s="14" t="s">
        <v>2145</v>
      </c>
      <c r="F167" s="11">
        <v>169</v>
      </c>
    </row>
    <row r="168" spans="2:6" x14ac:dyDescent="0.3">
      <c r="B168" s="12">
        <v>165</v>
      </c>
      <c r="C168" s="28">
        <v>158.57440172758587</v>
      </c>
      <c r="E168" s="14" t="s">
        <v>3710</v>
      </c>
      <c r="F168" s="11">
        <v>175</v>
      </c>
    </row>
    <row r="169" spans="2:6" x14ac:dyDescent="0.3">
      <c r="B169" s="12">
        <v>166</v>
      </c>
      <c r="C169" s="28">
        <v>155.49487543678083</v>
      </c>
      <c r="E169" s="14" t="s">
        <v>4091</v>
      </c>
      <c r="F169" s="11">
        <v>165</v>
      </c>
    </row>
    <row r="170" spans="2:6" x14ac:dyDescent="0.3">
      <c r="B170" s="12">
        <v>167</v>
      </c>
      <c r="C170" s="28">
        <v>156.73424019116268</v>
      </c>
      <c r="E170" s="14" t="s">
        <v>2467</v>
      </c>
      <c r="F170" s="11">
        <v>180</v>
      </c>
    </row>
    <row r="171" spans="2:6" x14ac:dyDescent="0.3">
      <c r="B171" s="12">
        <v>168</v>
      </c>
      <c r="C171" s="28">
        <v>171.21600566827001</v>
      </c>
      <c r="E171" s="14" t="s">
        <v>1278</v>
      </c>
      <c r="F171" s="11">
        <v>175</v>
      </c>
    </row>
    <row r="172" spans="2:6" x14ac:dyDescent="0.3">
      <c r="B172" s="12">
        <v>169</v>
      </c>
      <c r="C172" s="28">
        <v>160.12667264336372</v>
      </c>
      <c r="E172" s="14" t="s">
        <v>1241</v>
      </c>
      <c r="F172" s="11">
        <v>178</v>
      </c>
    </row>
    <row r="173" spans="2:6" x14ac:dyDescent="0.3">
      <c r="B173" s="12">
        <v>170</v>
      </c>
      <c r="C173" s="28">
        <v>162.35100734891196</v>
      </c>
      <c r="E173" s="14" t="s">
        <v>1277</v>
      </c>
      <c r="F173" s="11">
        <v>177</v>
      </c>
    </row>
    <row r="174" spans="2:6" x14ac:dyDescent="0.3">
      <c r="B174" s="12">
        <v>171</v>
      </c>
      <c r="C174" s="28">
        <v>168.29927741648828</v>
      </c>
      <c r="E174" s="14" t="s">
        <v>111</v>
      </c>
      <c r="F174" s="11">
        <v>162</v>
      </c>
    </row>
    <row r="175" spans="2:6" x14ac:dyDescent="0.3">
      <c r="B175" s="12">
        <v>172</v>
      </c>
      <c r="C175" s="28">
        <v>154.85698629662289</v>
      </c>
      <c r="E175" s="14" t="s">
        <v>2092</v>
      </c>
      <c r="F175" s="11">
        <v>165</v>
      </c>
    </row>
    <row r="176" spans="2:6" x14ac:dyDescent="0.3">
      <c r="B176" s="12">
        <v>173</v>
      </c>
      <c r="C176" s="28">
        <v>158.45243290250116</v>
      </c>
      <c r="E176" s="14" t="s">
        <v>1961</v>
      </c>
      <c r="F176" s="11">
        <v>163</v>
      </c>
    </row>
    <row r="177" spans="2:6" x14ac:dyDescent="0.3">
      <c r="B177" s="12">
        <v>174</v>
      </c>
      <c r="C177" s="28">
        <v>167.01213621615884</v>
      </c>
      <c r="E177" s="14" t="s">
        <v>3464</v>
      </c>
      <c r="F177" s="11">
        <v>158</v>
      </c>
    </row>
    <row r="178" spans="2:6" x14ac:dyDescent="0.3">
      <c r="B178" s="12">
        <v>175</v>
      </c>
      <c r="C178" s="28">
        <v>168.28161427854232</v>
      </c>
      <c r="E178" s="14" t="s">
        <v>1426</v>
      </c>
      <c r="F178" s="11">
        <v>183</v>
      </c>
    </row>
    <row r="179" spans="2:6" x14ac:dyDescent="0.3">
      <c r="B179" s="12">
        <v>176</v>
      </c>
      <c r="C179" s="28">
        <v>167.52254079641239</v>
      </c>
      <c r="E179" s="14" t="s">
        <v>4848</v>
      </c>
      <c r="F179" s="11">
        <v>182</v>
      </c>
    </row>
    <row r="180" spans="2:6" x14ac:dyDescent="0.3">
      <c r="B180" s="12">
        <v>177</v>
      </c>
      <c r="C180" s="28">
        <v>157.55206756186408</v>
      </c>
      <c r="E180" s="14" t="s">
        <v>2952</v>
      </c>
      <c r="F180" s="11">
        <v>162</v>
      </c>
    </row>
    <row r="181" spans="2:6" x14ac:dyDescent="0.3">
      <c r="B181" s="12">
        <v>178</v>
      </c>
      <c r="C181" s="28">
        <v>156.26234566565697</v>
      </c>
      <c r="E181" s="14" t="s">
        <v>17</v>
      </c>
      <c r="F181" s="11">
        <v>163</v>
      </c>
    </row>
    <row r="182" spans="2:6" x14ac:dyDescent="0.3">
      <c r="B182" s="12">
        <v>179</v>
      </c>
      <c r="C182" s="28">
        <v>165.46478435052256</v>
      </c>
      <c r="E182" s="14" t="s">
        <v>845</v>
      </c>
      <c r="F182" s="11">
        <v>173</v>
      </c>
    </row>
    <row r="183" spans="2:6" x14ac:dyDescent="0.3">
      <c r="B183" s="12">
        <v>180</v>
      </c>
      <c r="C183" s="28">
        <v>165.79680100982472</v>
      </c>
      <c r="E183" s="14" t="s">
        <v>3959</v>
      </c>
      <c r="F183" s="11">
        <v>170</v>
      </c>
    </row>
    <row r="184" spans="2:6" x14ac:dyDescent="0.3">
      <c r="B184" s="12">
        <v>181</v>
      </c>
      <c r="C184" s="28">
        <v>145.90412009893893</v>
      </c>
      <c r="E184" s="14" t="s">
        <v>756</v>
      </c>
      <c r="F184" s="11">
        <v>165</v>
      </c>
    </row>
    <row r="185" spans="2:6" x14ac:dyDescent="0.3">
      <c r="B185" s="12">
        <v>182</v>
      </c>
      <c r="C185" s="28">
        <v>163.99791326297216</v>
      </c>
      <c r="E185" s="14" t="s">
        <v>423</v>
      </c>
      <c r="F185" s="11">
        <v>169</v>
      </c>
    </row>
    <row r="186" spans="2:6" x14ac:dyDescent="0.3">
      <c r="B186" s="12">
        <v>183</v>
      </c>
      <c r="C186" s="28">
        <v>145.57731295933303</v>
      </c>
      <c r="E186" s="14" t="s">
        <v>545</v>
      </c>
      <c r="F186" s="11">
        <v>168</v>
      </c>
    </row>
    <row r="187" spans="2:6" x14ac:dyDescent="0.3">
      <c r="B187" s="12">
        <v>184</v>
      </c>
      <c r="C187" s="28">
        <v>157.07164381283161</v>
      </c>
      <c r="E187" s="14" t="s">
        <v>3397</v>
      </c>
      <c r="F187" s="11">
        <v>181</v>
      </c>
    </row>
    <row r="188" spans="2:6" x14ac:dyDescent="0.3">
      <c r="B188" s="12">
        <v>185</v>
      </c>
      <c r="C188" s="28">
        <v>161.58925054652107</v>
      </c>
      <c r="E188" s="14" t="s">
        <v>3856</v>
      </c>
      <c r="F188" s="11">
        <v>185</v>
      </c>
    </row>
    <row r="189" spans="2:6" x14ac:dyDescent="0.3">
      <c r="B189" s="12">
        <v>186</v>
      </c>
      <c r="C189" s="28">
        <v>163.79231840309663</v>
      </c>
      <c r="E189" s="14" t="s">
        <v>719</v>
      </c>
      <c r="F189" s="11">
        <v>160</v>
      </c>
    </row>
    <row r="190" spans="2:6" x14ac:dyDescent="0.3">
      <c r="B190" s="12">
        <v>187</v>
      </c>
      <c r="C190" s="28">
        <v>167.92995525338932</v>
      </c>
      <c r="E190" s="14" t="s">
        <v>1225</v>
      </c>
      <c r="F190" s="11">
        <v>168</v>
      </c>
    </row>
    <row r="191" spans="2:6" x14ac:dyDescent="0.3">
      <c r="B191" s="12">
        <v>188</v>
      </c>
      <c r="C191" s="28">
        <v>156.63804808389781</v>
      </c>
      <c r="E191" s="14" t="s">
        <v>3446</v>
      </c>
      <c r="F191" s="11">
        <v>165</v>
      </c>
    </row>
    <row r="192" spans="2:6" x14ac:dyDescent="0.3">
      <c r="B192" s="12">
        <v>189</v>
      </c>
      <c r="C192" s="28">
        <v>160.80637113013219</v>
      </c>
      <c r="E192" s="14" t="s">
        <v>253</v>
      </c>
      <c r="F192" s="11">
        <v>166</v>
      </c>
    </row>
    <row r="193" spans="2:6" x14ac:dyDescent="0.3">
      <c r="B193" s="12">
        <v>190</v>
      </c>
      <c r="C193" s="28">
        <v>154.54760047190706</v>
      </c>
      <c r="E193" s="14" t="s">
        <v>3864</v>
      </c>
      <c r="F193" s="11">
        <v>180</v>
      </c>
    </row>
    <row r="194" spans="2:6" x14ac:dyDescent="0.3">
      <c r="B194" s="12">
        <v>191</v>
      </c>
      <c r="C194" s="28">
        <v>153.53638751783004</v>
      </c>
      <c r="E194" s="14" t="s">
        <v>2172</v>
      </c>
      <c r="F194" s="11">
        <v>170</v>
      </c>
    </row>
    <row r="195" spans="2:6" x14ac:dyDescent="0.3">
      <c r="B195" s="12">
        <v>192</v>
      </c>
      <c r="C195" s="28">
        <v>149.50852774524134</v>
      </c>
      <c r="E195" s="14" t="s">
        <v>596</v>
      </c>
      <c r="F195" s="11">
        <v>182</v>
      </c>
    </row>
    <row r="196" spans="2:6" x14ac:dyDescent="0.3">
      <c r="B196" s="12">
        <v>193</v>
      </c>
      <c r="C196" s="28">
        <v>169.07198099443971</v>
      </c>
      <c r="E196" s="14" t="s">
        <v>1086</v>
      </c>
      <c r="F196" s="11">
        <v>180</v>
      </c>
    </row>
    <row r="197" spans="2:6" x14ac:dyDescent="0.3">
      <c r="B197" s="12">
        <v>194</v>
      </c>
      <c r="C197" s="28">
        <v>168.51801364357553</v>
      </c>
      <c r="E197" s="14" t="s">
        <v>1226</v>
      </c>
      <c r="F197" s="11">
        <v>170</v>
      </c>
    </row>
    <row r="198" spans="2:6" x14ac:dyDescent="0.3">
      <c r="B198" s="12">
        <v>195</v>
      </c>
      <c r="C198" s="28">
        <v>159.24892844664888</v>
      </c>
      <c r="E198" s="14" t="s">
        <v>3035</v>
      </c>
      <c r="F198" s="11">
        <v>175</v>
      </c>
    </row>
    <row r="199" spans="2:6" x14ac:dyDescent="0.3">
      <c r="B199" s="12">
        <v>196</v>
      </c>
      <c r="C199" s="28">
        <v>160.30922791729586</v>
      </c>
      <c r="E199" s="14" t="s">
        <v>1038</v>
      </c>
      <c r="F199" s="11">
        <v>155</v>
      </c>
    </row>
    <row r="200" spans="2:6" x14ac:dyDescent="0.3">
      <c r="B200" s="12">
        <v>197</v>
      </c>
      <c r="C200" s="28">
        <v>156.8273595712817</v>
      </c>
      <c r="E200" s="14" t="s">
        <v>588</v>
      </c>
      <c r="F200" s="11">
        <v>173</v>
      </c>
    </row>
    <row r="201" spans="2:6" x14ac:dyDescent="0.3">
      <c r="B201" s="12">
        <v>198</v>
      </c>
      <c r="C201" s="28">
        <v>156.5401659344171</v>
      </c>
      <c r="E201" s="14" t="s">
        <v>831</v>
      </c>
      <c r="F201" s="11">
        <v>176</v>
      </c>
    </row>
    <row r="202" spans="2:6" x14ac:dyDescent="0.3">
      <c r="B202" s="12">
        <v>199</v>
      </c>
      <c r="C202" s="28">
        <v>156.27609671088251</v>
      </c>
      <c r="E202" s="14" t="s">
        <v>2613</v>
      </c>
      <c r="F202" s="11">
        <v>158</v>
      </c>
    </row>
    <row r="203" spans="2:6" x14ac:dyDescent="0.3">
      <c r="B203" s="12">
        <v>200</v>
      </c>
      <c r="C203" s="28">
        <v>163.15555340466884</v>
      </c>
      <c r="E203" s="14" t="s">
        <v>4400</v>
      </c>
      <c r="F203" s="11">
        <v>155</v>
      </c>
    </row>
    <row r="204" spans="2:6" x14ac:dyDescent="0.3">
      <c r="B204" s="12">
        <v>201</v>
      </c>
      <c r="C204" s="28">
        <v>156.86924810113794</v>
      </c>
      <c r="E204" s="14" t="s">
        <v>1164</v>
      </c>
      <c r="F204" s="11">
        <v>171</v>
      </c>
    </row>
    <row r="205" spans="2:6" x14ac:dyDescent="0.3">
      <c r="B205" s="12">
        <v>202</v>
      </c>
      <c r="C205" s="28">
        <v>164.66869091794499</v>
      </c>
      <c r="E205" s="14" t="s">
        <v>3127</v>
      </c>
      <c r="F205" s="11">
        <v>164</v>
      </c>
    </row>
    <row r="206" spans="2:6" x14ac:dyDescent="0.3">
      <c r="B206" s="12">
        <v>203</v>
      </c>
      <c r="C206" s="28">
        <v>169.56803917343441</v>
      </c>
      <c r="E206" s="14" t="s">
        <v>1019</v>
      </c>
      <c r="F206" s="11">
        <v>175</v>
      </c>
    </row>
    <row r="207" spans="2:6" x14ac:dyDescent="0.3">
      <c r="B207" s="12">
        <v>204</v>
      </c>
      <c r="C207" s="28">
        <v>170.66453882455187</v>
      </c>
      <c r="E207" s="14" t="s">
        <v>1829</v>
      </c>
      <c r="F207" s="11">
        <v>178</v>
      </c>
    </row>
    <row r="208" spans="2:6" x14ac:dyDescent="0.3">
      <c r="B208" s="12">
        <v>205</v>
      </c>
      <c r="C208" s="28">
        <v>159.90639533395961</v>
      </c>
      <c r="E208" s="14" t="s">
        <v>4333</v>
      </c>
      <c r="F208" s="11">
        <v>166</v>
      </c>
    </row>
    <row r="209" spans="2:6" x14ac:dyDescent="0.3">
      <c r="B209" s="12">
        <v>206</v>
      </c>
      <c r="C209" s="28">
        <v>163.26165655729702</v>
      </c>
      <c r="E209" s="14" t="s">
        <v>3934</v>
      </c>
      <c r="F209" s="11">
        <v>170</v>
      </c>
    </row>
    <row r="210" spans="2:6" x14ac:dyDescent="0.3">
      <c r="B210" s="12">
        <v>207</v>
      </c>
      <c r="C210" s="28">
        <v>154.37906125451855</v>
      </c>
      <c r="E210" s="14" t="s">
        <v>194</v>
      </c>
      <c r="F210" s="11">
        <v>162</v>
      </c>
    </row>
    <row r="211" spans="2:6" x14ac:dyDescent="0.3">
      <c r="B211" s="12">
        <v>208</v>
      </c>
      <c r="C211" s="28">
        <v>153.99638648401159</v>
      </c>
      <c r="E211" s="14" t="s">
        <v>1148</v>
      </c>
      <c r="F211" s="11">
        <v>180</v>
      </c>
    </row>
    <row r="212" spans="2:6" x14ac:dyDescent="0.3">
      <c r="B212" s="12">
        <v>209</v>
      </c>
      <c r="C212" s="28">
        <v>149.93134160141784</v>
      </c>
      <c r="E212" s="14" t="s">
        <v>4688</v>
      </c>
      <c r="F212" s="11">
        <v>188</v>
      </c>
    </row>
    <row r="213" spans="2:6" x14ac:dyDescent="0.3">
      <c r="B213" s="12">
        <v>210</v>
      </c>
      <c r="C213" s="28">
        <v>160.79728613548102</v>
      </c>
      <c r="E213" s="14" t="s">
        <v>2246</v>
      </c>
      <c r="F213" s="11">
        <v>175</v>
      </c>
    </row>
    <row r="214" spans="2:6" x14ac:dyDescent="0.3">
      <c r="B214" s="12">
        <v>211</v>
      </c>
      <c r="C214" s="28">
        <v>156.51466251286121</v>
      </c>
      <c r="E214" s="14" t="s">
        <v>656</v>
      </c>
      <c r="F214" s="11">
        <v>165</v>
      </c>
    </row>
    <row r="215" spans="2:6" x14ac:dyDescent="0.3">
      <c r="B215" s="12">
        <v>212</v>
      </c>
      <c r="C215" s="28">
        <v>155.44094690061956</v>
      </c>
      <c r="E215" s="14" t="s">
        <v>3987</v>
      </c>
      <c r="F215" s="11">
        <v>166</v>
      </c>
    </row>
    <row r="216" spans="2:6" x14ac:dyDescent="0.3">
      <c r="B216" s="12">
        <v>213</v>
      </c>
      <c r="C216" s="28">
        <v>160.57564769043518</v>
      </c>
      <c r="E216" s="14" t="s">
        <v>3436</v>
      </c>
      <c r="F216" s="11">
        <v>180</v>
      </c>
    </row>
    <row r="217" spans="2:6" x14ac:dyDescent="0.3">
      <c r="B217" s="12">
        <v>214</v>
      </c>
      <c r="C217" s="28">
        <v>157.42903411964318</v>
      </c>
      <c r="E217" s="14" t="s">
        <v>1039</v>
      </c>
      <c r="F217" s="11">
        <v>162</v>
      </c>
    </row>
    <row r="218" spans="2:6" x14ac:dyDescent="0.3">
      <c r="B218" s="12">
        <v>215</v>
      </c>
      <c r="C218" s="28">
        <v>144.23500329793157</v>
      </c>
      <c r="E218" s="14" t="s">
        <v>4081</v>
      </c>
      <c r="F218" s="11">
        <v>161</v>
      </c>
    </row>
    <row r="219" spans="2:6" x14ac:dyDescent="0.3">
      <c r="B219" s="12">
        <v>216</v>
      </c>
      <c r="C219" s="28">
        <v>159.52774639147057</v>
      </c>
      <c r="E219" s="14" t="s">
        <v>1652</v>
      </c>
      <c r="F219" s="11">
        <v>171</v>
      </c>
    </row>
    <row r="220" spans="2:6" x14ac:dyDescent="0.3">
      <c r="B220" s="12">
        <v>217</v>
      </c>
      <c r="C220" s="28">
        <v>149.22818422533283</v>
      </c>
      <c r="E220" s="14" t="s">
        <v>2376</v>
      </c>
      <c r="F220" s="11">
        <v>168</v>
      </c>
    </row>
    <row r="221" spans="2:6" x14ac:dyDescent="0.3">
      <c r="B221" s="12">
        <v>218</v>
      </c>
      <c r="C221" s="28">
        <v>155.54006862196272</v>
      </c>
      <c r="E221" s="14" t="s">
        <v>2375</v>
      </c>
      <c r="F221" s="11">
        <v>178</v>
      </c>
    </row>
    <row r="222" spans="2:6" x14ac:dyDescent="0.3">
      <c r="B222" s="12">
        <v>219</v>
      </c>
      <c r="C222" s="28">
        <v>160.83233687735475</v>
      </c>
      <c r="E222" s="14" t="s">
        <v>626</v>
      </c>
      <c r="F222" s="11">
        <v>171</v>
      </c>
    </row>
    <row r="223" spans="2:6" x14ac:dyDescent="0.3">
      <c r="B223" s="12">
        <v>220</v>
      </c>
      <c r="C223" s="28">
        <v>169.95000876491352</v>
      </c>
      <c r="E223" s="14" t="s">
        <v>1684</v>
      </c>
      <c r="F223" s="11">
        <v>157</v>
      </c>
    </row>
    <row r="224" spans="2:6" x14ac:dyDescent="0.3">
      <c r="B224" s="12">
        <v>221</v>
      </c>
      <c r="C224" s="28">
        <v>173.42288261690223</v>
      </c>
      <c r="E224" s="14" t="s">
        <v>1634</v>
      </c>
      <c r="F224" s="11">
        <v>173</v>
      </c>
    </row>
    <row r="225" spans="2:6" x14ac:dyDescent="0.3">
      <c r="B225" s="12">
        <v>222</v>
      </c>
      <c r="C225" s="28">
        <v>148.96759558144132</v>
      </c>
      <c r="E225" s="14" t="s">
        <v>4090</v>
      </c>
      <c r="F225" s="11">
        <v>165</v>
      </c>
    </row>
    <row r="226" spans="2:6" x14ac:dyDescent="0.3">
      <c r="B226" s="12">
        <v>223</v>
      </c>
      <c r="C226" s="28">
        <v>162.71969609183427</v>
      </c>
      <c r="E226" s="14" t="s">
        <v>505</v>
      </c>
      <c r="F226" s="11">
        <v>163</v>
      </c>
    </row>
    <row r="227" spans="2:6" x14ac:dyDescent="0.3">
      <c r="B227" s="12">
        <v>224</v>
      </c>
      <c r="C227" s="28">
        <v>163.81282009450317</v>
      </c>
      <c r="E227" s="14" t="s">
        <v>2573</v>
      </c>
      <c r="F227" s="11">
        <v>164</v>
      </c>
    </row>
    <row r="228" spans="2:6" x14ac:dyDescent="0.3">
      <c r="B228" s="12">
        <v>225</v>
      </c>
      <c r="C228" s="28">
        <v>163.36972612619377</v>
      </c>
      <c r="E228" s="14" t="s">
        <v>4298</v>
      </c>
      <c r="F228" s="11">
        <v>169</v>
      </c>
    </row>
    <row r="229" spans="2:6" x14ac:dyDescent="0.3">
      <c r="B229" s="12">
        <v>226</v>
      </c>
      <c r="C229" s="28">
        <v>169.005321610728</v>
      </c>
      <c r="E229" s="14" t="s">
        <v>860</v>
      </c>
      <c r="F229" s="11">
        <v>160</v>
      </c>
    </row>
    <row r="230" spans="2:6" x14ac:dyDescent="0.3">
      <c r="B230" s="12">
        <v>227</v>
      </c>
      <c r="C230" s="28">
        <v>159.19219976256699</v>
      </c>
      <c r="E230" s="14" t="s">
        <v>1299</v>
      </c>
      <c r="F230" s="11">
        <v>160</v>
      </c>
    </row>
    <row r="231" spans="2:6" x14ac:dyDescent="0.3">
      <c r="B231" s="12">
        <v>228</v>
      </c>
      <c r="C231" s="28">
        <v>163.36347401550773</v>
      </c>
      <c r="E231" s="14" t="s">
        <v>2147</v>
      </c>
      <c r="F231" s="11">
        <v>156</v>
      </c>
    </row>
    <row r="232" spans="2:6" x14ac:dyDescent="0.3">
      <c r="B232" s="12">
        <v>229</v>
      </c>
      <c r="C232" s="28">
        <v>147.47634454764173</v>
      </c>
      <c r="E232" s="14" t="s">
        <v>4326</v>
      </c>
      <c r="F232" s="11">
        <v>165</v>
      </c>
    </row>
    <row r="233" spans="2:6" x14ac:dyDescent="0.3">
      <c r="B233" s="12">
        <v>230</v>
      </c>
      <c r="C233" s="28">
        <v>149.67331686573479</v>
      </c>
      <c r="E233" s="14" t="s">
        <v>282</v>
      </c>
      <c r="F233" s="11">
        <v>175</v>
      </c>
    </row>
    <row r="234" spans="2:6" x14ac:dyDescent="0.3">
      <c r="B234" s="12">
        <v>231</v>
      </c>
      <c r="C234" s="28">
        <v>168.28845802477403</v>
      </c>
      <c r="E234" s="14" t="s">
        <v>420</v>
      </c>
      <c r="F234" s="11">
        <v>165</v>
      </c>
    </row>
    <row r="235" spans="2:6" x14ac:dyDescent="0.3">
      <c r="B235" s="12">
        <v>232</v>
      </c>
      <c r="C235" s="28">
        <v>166.79074988351863</v>
      </c>
      <c r="E235" s="14" t="s">
        <v>1943</v>
      </c>
      <c r="F235" s="11">
        <v>173</v>
      </c>
    </row>
    <row r="236" spans="2:6" x14ac:dyDescent="0.3">
      <c r="B236" s="12">
        <v>233</v>
      </c>
      <c r="C236" s="28">
        <v>155.82793686328807</v>
      </c>
      <c r="E236" s="14" t="s">
        <v>3712</v>
      </c>
      <c r="F236" s="11">
        <v>173</v>
      </c>
    </row>
    <row r="237" spans="2:6" x14ac:dyDescent="0.3">
      <c r="B237" s="12">
        <v>234</v>
      </c>
      <c r="C237" s="28">
        <v>164.05061358036198</v>
      </c>
      <c r="E237" s="14" t="s">
        <v>38</v>
      </c>
      <c r="F237" s="11">
        <v>165</v>
      </c>
    </row>
    <row r="238" spans="2:6" x14ac:dyDescent="0.3">
      <c r="B238" s="12">
        <v>235</v>
      </c>
      <c r="C238" s="28">
        <v>166.28248939956586</v>
      </c>
      <c r="E238" s="14" t="s">
        <v>3921</v>
      </c>
      <c r="F238" s="11">
        <v>157</v>
      </c>
    </row>
    <row r="239" spans="2:6" x14ac:dyDescent="0.3">
      <c r="B239" s="12">
        <v>236</v>
      </c>
      <c r="C239" s="28">
        <v>160.05574318845203</v>
      </c>
      <c r="E239" s="14" t="s">
        <v>1835</v>
      </c>
      <c r="F239" s="11">
        <v>170</v>
      </c>
    </row>
    <row r="240" spans="2:6" x14ac:dyDescent="0.3">
      <c r="B240" s="12">
        <v>237</v>
      </c>
      <c r="C240" s="28">
        <v>164.72547693736513</v>
      </c>
      <c r="E240" s="14" t="s">
        <v>2205</v>
      </c>
      <c r="F240" s="11">
        <v>168</v>
      </c>
    </row>
    <row r="241" spans="2:6" x14ac:dyDescent="0.3">
      <c r="B241" s="12">
        <v>238</v>
      </c>
      <c r="C241" s="28">
        <v>160.48202727373763</v>
      </c>
      <c r="E241" s="14" t="s">
        <v>3403</v>
      </c>
      <c r="F241" s="11">
        <v>163</v>
      </c>
    </row>
    <row r="242" spans="2:6" x14ac:dyDescent="0.3">
      <c r="B242" s="12">
        <v>239</v>
      </c>
      <c r="C242" s="28">
        <v>157.5494880155675</v>
      </c>
      <c r="E242" s="14" t="s">
        <v>4742</v>
      </c>
      <c r="F242" s="11">
        <v>167</v>
      </c>
    </row>
    <row r="243" spans="2:6" x14ac:dyDescent="0.3">
      <c r="B243" s="12">
        <v>240</v>
      </c>
      <c r="C243" s="28">
        <v>164.51801508752513</v>
      </c>
      <c r="E243" s="14" t="s">
        <v>1619</v>
      </c>
      <c r="F243" s="11">
        <v>163</v>
      </c>
    </row>
    <row r="244" spans="2:6" x14ac:dyDescent="0.3">
      <c r="B244" s="12">
        <v>241</v>
      </c>
      <c r="C244" s="28">
        <v>156.09952098893206</v>
      </c>
      <c r="E244" s="14" t="s">
        <v>893</v>
      </c>
      <c r="F244" s="11">
        <v>172</v>
      </c>
    </row>
    <row r="245" spans="2:6" x14ac:dyDescent="0.3">
      <c r="B245" s="12">
        <v>242</v>
      </c>
      <c r="C245" s="28">
        <v>165.78931306205769</v>
      </c>
      <c r="E245" s="14" t="s">
        <v>2812</v>
      </c>
      <c r="F245" s="11">
        <v>183</v>
      </c>
    </row>
    <row r="246" spans="2:6" x14ac:dyDescent="0.3">
      <c r="B246" s="12">
        <v>243</v>
      </c>
      <c r="C246" s="28">
        <v>163.55748646330298</v>
      </c>
      <c r="E246" s="14" t="s">
        <v>3899</v>
      </c>
      <c r="F246" s="11">
        <v>175</v>
      </c>
    </row>
    <row r="247" spans="2:6" x14ac:dyDescent="0.3">
      <c r="B247" s="12">
        <v>244</v>
      </c>
      <c r="C247" s="28">
        <v>159.0012399350594</v>
      </c>
      <c r="E247" s="14" t="s">
        <v>4349</v>
      </c>
      <c r="F247" s="11">
        <v>152</v>
      </c>
    </row>
    <row r="248" spans="2:6" x14ac:dyDescent="0.3">
      <c r="B248" s="12">
        <v>245</v>
      </c>
      <c r="C248" s="28">
        <v>162.17902077316825</v>
      </c>
      <c r="E248" s="14" t="s">
        <v>4432</v>
      </c>
      <c r="F248" s="11">
        <v>168</v>
      </c>
    </row>
    <row r="249" spans="2:6" x14ac:dyDescent="0.3">
      <c r="B249" s="12">
        <v>246</v>
      </c>
      <c r="C249" s="28">
        <v>165.85404597054742</v>
      </c>
      <c r="E249" s="14" t="s">
        <v>146</v>
      </c>
      <c r="F249" s="11">
        <v>168</v>
      </c>
    </row>
    <row r="250" spans="2:6" x14ac:dyDescent="0.3">
      <c r="B250" s="12">
        <v>247</v>
      </c>
      <c r="C250" s="28">
        <v>165.42782727071196</v>
      </c>
      <c r="E250" s="14" t="s">
        <v>147</v>
      </c>
      <c r="F250" s="11">
        <v>168</v>
      </c>
    </row>
    <row r="251" spans="2:6" x14ac:dyDescent="0.3">
      <c r="B251" s="12">
        <v>248</v>
      </c>
      <c r="C251" s="28">
        <v>163.80567369447238</v>
      </c>
      <c r="E251" s="14" t="s">
        <v>148</v>
      </c>
      <c r="F251" s="11">
        <v>161</v>
      </c>
    </row>
    <row r="252" spans="2:6" x14ac:dyDescent="0.3">
      <c r="B252" s="12">
        <v>249</v>
      </c>
      <c r="C252" s="28">
        <v>158.64100743351671</v>
      </c>
      <c r="E252" s="14" t="s">
        <v>587</v>
      </c>
      <c r="F252" s="11">
        <v>167</v>
      </c>
    </row>
    <row r="253" spans="2:6" x14ac:dyDescent="0.3">
      <c r="B253" s="12">
        <v>250</v>
      </c>
      <c r="C253" s="28">
        <v>171.20403018835054</v>
      </c>
      <c r="E253" s="14" t="s">
        <v>3556</v>
      </c>
      <c r="F253" s="11">
        <v>168</v>
      </c>
    </row>
    <row r="254" spans="2:6" x14ac:dyDescent="0.3">
      <c r="B254" s="12">
        <v>251</v>
      </c>
      <c r="C254" s="28">
        <v>178.79755408292695</v>
      </c>
      <c r="E254" s="14" t="s">
        <v>3784</v>
      </c>
      <c r="F254" s="11">
        <v>156</v>
      </c>
    </row>
    <row r="255" spans="2:6" x14ac:dyDescent="0.3">
      <c r="B255" s="12">
        <v>252</v>
      </c>
      <c r="C255" s="28">
        <v>156.95138973509665</v>
      </c>
      <c r="E255" s="14" t="s">
        <v>906</v>
      </c>
      <c r="F255" s="11">
        <v>183</v>
      </c>
    </row>
    <row r="256" spans="2:6" x14ac:dyDescent="0.3">
      <c r="B256" s="12">
        <v>253</v>
      </c>
      <c r="C256" s="28">
        <v>165.94743897709731</v>
      </c>
      <c r="E256" s="14" t="s">
        <v>1227</v>
      </c>
      <c r="F256" s="11">
        <v>166</v>
      </c>
    </row>
    <row r="257" spans="2:6" x14ac:dyDescent="0.3">
      <c r="B257" s="12">
        <v>254</v>
      </c>
      <c r="C257" s="28">
        <v>173.16422599613961</v>
      </c>
      <c r="E257" s="14" t="s">
        <v>998</v>
      </c>
      <c r="F257" s="11">
        <v>164</v>
      </c>
    </row>
    <row r="258" spans="2:6" x14ac:dyDescent="0.3">
      <c r="B258" s="12">
        <v>255</v>
      </c>
      <c r="C258" s="28">
        <v>163.74634569769935</v>
      </c>
      <c r="E258" s="14" t="s">
        <v>2656</v>
      </c>
      <c r="F258" s="11">
        <v>163</v>
      </c>
    </row>
    <row r="259" spans="2:6" x14ac:dyDescent="0.3">
      <c r="B259" s="12">
        <v>256</v>
      </c>
      <c r="C259" s="28">
        <v>161.54521935841751</v>
      </c>
      <c r="E259" s="14" t="s">
        <v>342</v>
      </c>
      <c r="F259" s="11">
        <v>168</v>
      </c>
    </row>
    <row r="260" spans="2:6" x14ac:dyDescent="0.3">
      <c r="B260" s="12">
        <v>257</v>
      </c>
      <c r="C260" s="28">
        <v>165.25242982107878</v>
      </c>
      <c r="E260" s="14" t="s">
        <v>3988</v>
      </c>
      <c r="F260" s="11">
        <v>178</v>
      </c>
    </row>
    <row r="261" spans="2:6" x14ac:dyDescent="0.3">
      <c r="B261" s="12">
        <v>258</v>
      </c>
      <c r="C261" s="28">
        <v>155.2568055511486</v>
      </c>
      <c r="E261" s="14" t="s">
        <v>2742</v>
      </c>
      <c r="F261" s="11">
        <v>169</v>
      </c>
    </row>
    <row r="262" spans="2:6" x14ac:dyDescent="0.3">
      <c r="B262" s="12">
        <v>259</v>
      </c>
      <c r="C262" s="28">
        <v>164.27927244518153</v>
      </c>
      <c r="E262" s="14" t="s">
        <v>609</v>
      </c>
      <c r="F262" s="11">
        <v>163</v>
      </c>
    </row>
    <row r="263" spans="2:6" x14ac:dyDescent="0.3">
      <c r="B263" s="12">
        <v>260</v>
      </c>
      <c r="C263" s="28">
        <v>166.80336791252637</v>
      </c>
      <c r="E263" s="14" t="s">
        <v>931</v>
      </c>
      <c r="F263" s="11">
        <v>183</v>
      </c>
    </row>
    <row r="264" spans="2:6" x14ac:dyDescent="0.3">
      <c r="B264" s="12">
        <v>261</v>
      </c>
      <c r="C264" s="28">
        <v>166.69999288222502</v>
      </c>
      <c r="E264" s="14" t="s">
        <v>1832</v>
      </c>
      <c r="F264" s="11">
        <v>184</v>
      </c>
    </row>
    <row r="265" spans="2:6" x14ac:dyDescent="0.3">
      <c r="B265" s="12">
        <v>262</v>
      </c>
      <c r="C265" s="28">
        <v>159.54224595508785</v>
      </c>
      <c r="E265" s="14" t="s">
        <v>2153</v>
      </c>
      <c r="F265" s="11">
        <v>174</v>
      </c>
    </row>
    <row r="266" spans="2:6" x14ac:dyDescent="0.3">
      <c r="B266" s="12">
        <v>263</v>
      </c>
      <c r="C266" s="28">
        <v>156.85184772127914</v>
      </c>
      <c r="E266" s="14" t="s">
        <v>1919</v>
      </c>
      <c r="F266" s="11">
        <v>168</v>
      </c>
    </row>
    <row r="267" spans="2:6" x14ac:dyDescent="0.3">
      <c r="B267" s="12">
        <v>264</v>
      </c>
      <c r="C267" s="28">
        <v>161.22871538063222</v>
      </c>
      <c r="E267" s="14" t="s">
        <v>306</v>
      </c>
      <c r="F267" s="11">
        <v>171</v>
      </c>
    </row>
    <row r="268" spans="2:6" x14ac:dyDescent="0.3">
      <c r="B268" s="12">
        <v>265</v>
      </c>
      <c r="C268" s="28">
        <v>154.67207945510225</v>
      </c>
      <c r="E268" s="14" t="s">
        <v>1252</v>
      </c>
      <c r="F268" s="11">
        <v>164</v>
      </c>
    </row>
    <row r="269" spans="2:6" x14ac:dyDescent="0.3">
      <c r="B269" s="12">
        <v>266</v>
      </c>
      <c r="C269" s="28">
        <v>159.85471258559352</v>
      </c>
      <c r="E269" s="14" t="s">
        <v>1344</v>
      </c>
      <c r="F269" s="11">
        <v>174</v>
      </c>
    </row>
    <row r="270" spans="2:6" x14ac:dyDescent="0.3">
      <c r="B270" s="12">
        <v>267</v>
      </c>
      <c r="C270" s="28">
        <v>164.99843842431713</v>
      </c>
      <c r="E270" s="14" t="s">
        <v>3599</v>
      </c>
      <c r="F270" s="11">
        <v>160</v>
      </c>
    </row>
    <row r="271" spans="2:6" x14ac:dyDescent="0.3">
      <c r="B271" s="12">
        <v>268</v>
      </c>
      <c r="C271" s="28">
        <v>174.00252244103712</v>
      </c>
      <c r="E271" s="14" t="s">
        <v>891</v>
      </c>
      <c r="F271" s="11">
        <v>165</v>
      </c>
    </row>
    <row r="272" spans="2:6" x14ac:dyDescent="0.3">
      <c r="B272" s="12">
        <v>269</v>
      </c>
      <c r="C272" s="28">
        <v>173.94267634906964</v>
      </c>
      <c r="E272" s="14" t="s">
        <v>526</v>
      </c>
      <c r="F272" s="11">
        <v>175</v>
      </c>
    </row>
    <row r="273" spans="2:6" x14ac:dyDescent="0.3">
      <c r="B273" s="12">
        <v>270</v>
      </c>
      <c r="C273" s="28">
        <v>167.91959070461121</v>
      </c>
      <c r="E273" s="14" t="s">
        <v>3700</v>
      </c>
      <c r="F273" s="11">
        <v>162</v>
      </c>
    </row>
    <row r="274" spans="2:6" x14ac:dyDescent="0.3">
      <c r="B274" s="12">
        <v>271</v>
      </c>
      <c r="C274" s="28">
        <v>155.20468102932702</v>
      </c>
      <c r="E274" s="14" t="s">
        <v>3602</v>
      </c>
      <c r="F274" s="11">
        <v>158</v>
      </c>
    </row>
    <row r="275" spans="2:6" x14ac:dyDescent="0.3">
      <c r="B275" s="12">
        <v>272</v>
      </c>
      <c r="C275" s="28">
        <v>158.75346501752892</v>
      </c>
      <c r="E275" s="14" t="s">
        <v>149</v>
      </c>
      <c r="F275" s="11">
        <v>172</v>
      </c>
    </row>
    <row r="276" spans="2:6" x14ac:dyDescent="0.3">
      <c r="B276" s="12">
        <v>273</v>
      </c>
      <c r="C276" s="28">
        <v>162.52623959680059</v>
      </c>
      <c r="E276" s="14" t="s">
        <v>4566</v>
      </c>
      <c r="F276" s="11">
        <v>176</v>
      </c>
    </row>
    <row r="277" spans="2:6" x14ac:dyDescent="0.3">
      <c r="B277" s="12">
        <v>274</v>
      </c>
      <c r="C277" s="28">
        <v>166.37691968897971</v>
      </c>
      <c r="E277" s="14" t="s">
        <v>3329</v>
      </c>
      <c r="F277" s="11">
        <v>151</v>
      </c>
    </row>
    <row r="278" spans="2:6" x14ac:dyDescent="0.3">
      <c r="B278" s="12">
        <v>275</v>
      </c>
      <c r="C278" s="28">
        <v>156.13050659609686</v>
      </c>
      <c r="E278" s="14" t="s">
        <v>2351</v>
      </c>
      <c r="F278" s="11">
        <v>169</v>
      </c>
    </row>
    <row r="279" spans="2:6" x14ac:dyDescent="0.3">
      <c r="B279" s="12">
        <v>276</v>
      </c>
      <c r="C279" s="28">
        <v>160.7974590457905</v>
      </c>
      <c r="E279" s="14" t="s">
        <v>1447</v>
      </c>
      <c r="F279" s="11">
        <v>156</v>
      </c>
    </row>
    <row r="280" spans="2:6" x14ac:dyDescent="0.3">
      <c r="B280" s="12">
        <v>277</v>
      </c>
      <c r="C280" s="28">
        <v>160.05140047565612</v>
      </c>
      <c r="E280" s="14" t="s">
        <v>3075</v>
      </c>
      <c r="F280" s="11">
        <v>174</v>
      </c>
    </row>
    <row r="281" spans="2:6" x14ac:dyDescent="0.3">
      <c r="B281" s="12">
        <v>278</v>
      </c>
      <c r="C281" s="28">
        <v>169.33744574757972</v>
      </c>
      <c r="E281" s="14" t="s">
        <v>3818</v>
      </c>
      <c r="F281" s="11">
        <v>163</v>
      </c>
    </row>
    <row r="282" spans="2:6" x14ac:dyDescent="0.3">
      <c r="B282" s="12">
        <v>279</v>
      </c>
      <c r="C282" s="28">
        <v>151.20312217681965</v>
      </c>
      <c r="E282" s="14" t="s">
        <v>3615</v>
      </c>
      <c r="F282" s="11">
        <v>172</v>
      </c>
    </row>
    <row r="283" spans="2:6" x14ac:dyDescent="0.3">
      <c r="B283" s="12">
        <v>280</v>
      </c>
      <c r="C283" s="28">
        <v>149.82733289560818</v>
      </c>
      <c r="E283" s="14" t="s">
        <v>3662</v>
      </c>
      <c r="F283" s="11">
        <v>170</v>
      </c>
    </row>
    <row r="284" spans="2:6" x14ac:dyDescent="0.3">
      <c r="B284" s="12">
        <v>281</v>
      </c>
      <c r="C284" s="28">
        <v>162.47349317329898</v>
      </c>
      <c r="E284" s="14" t="s">
        <v>4884</v>
      </c>
      <c r="F284" s="11">
        <v>172</v>
      </c>
    </row>
    <row r="285" spans="2:6" x14ac:dyDescent="0.3">
      <c r="B285" s="12">
        <v>282</v>
      </c>
      <c r="C285" s="28">
        <v>156.61620125726998</v>
      </c>
      <c r="E285" s="14" t="s">
        <v>4024</v>
      </c>
      <c r="F285" s="11">
        <v>168</v>
      </c>
    </row>
    <row r="286" spans="2:6" x14ac:dyDescent="0.3">
      <c r="B286" s="12">
        <v>283</v>
      </c>
      <c r="C286" s="28">
        <v>167.32255246428218</v>
      </c>
      <c r="E286" s="14" t="s">
        <v>4554</v>
      </c>
      <c r="F286" s="11">
        <v>178</v>
      </c>
    </row>
    <row r="287" spans="2:6" x14ac:dyDescent="0.3">
      <c r="B287" s="12">
        <v>284</v>
      </c>
      <c r="C287" s="28">
        <v>178.90607615666599</v>
      </c>
      <c r="E287" s="14" t="s">
        <v>1811</v>
      </c>
      <c r="F287" s="11">
        <v>175</v>
      </c>
    </row>
    <row r="288" spans="2:6" x14ac:dyDescent="0.3">
      <c r="B288" s="12">
        <v>285</v>
      </c>
      <c r="C288" s="28">
        <v>159.11840601398609</v>
      </c>
      <c r="E288" s="14" t="s">
        <v>1429</v>
      </c>
      <c r="F288" s="11">
        <v>165</v>
      </c>
    </row>
    <row r="289" spans="2:6" x14ac:dyDescent="0.3">
      <c r="B289" s="12">
        <v>286</v>
      </c>
      <c r="C289" s="28">
        <v>159.93344144796657</v>
      </c>
      <c r="E289" s="14" t="s">
        <v>1730</v>
      </c>
      <c r="F289" s="11">
        <v>169</v>
      </c>
    </row>
    <row r="290" spans="2:6" x14ac:dyDescent="0.3">
      <c r="B290" s="12">
        <v>287</v>
      </c>
      <c r="C290" s="28">
        <v>162.36131163328864</v>
      </c>
      <c r="E290" s="14" t="s">
        <v>474</v>
      </c>
      <c r="F290" s="11">
        <v>174</v>
      </c>
    </row>
    <row r="291" spans="2:6" x14ac:dyDescent="0.3">
      <c r="B291" s="12">
        <v>288</v>
      </c>
      <c r="C291" s="28">
        <v>171.21766074463548</v>
      </c>
      <c r="E291" s="14" t="s">
        <v>3664</v>
      </c>
      <c r="F291" s="11">
        <v>167</v>
      </c>
    </row>
    <row r="292" spans="2:6" x14ac:dyDescent="0.3">
      <c r="B292" s="12">
        <v>289</v>
      </c>
      <c r="C292" s="28">
        <v>162.74408191119386</v>
      </c>
      <c r="E292" s="14" t="s">
        <v>1497</v>
      </c>
      <c r="F292" s="11">
        <v>169</v>
      </c>
    </row>
    <row r="293" spans="2:6" x14ac:dyDescent="0.3">
      <c r="B293" s="12">
        <v>290</v>
      </c>
      <c r="C293" s="28">
        <v>154.58343489462948</v>
      </c>
      <c r="E293" s="14" t="s">
        <v>2031</v>
      </c>
      <c r="F293" s="11">
        <v>171</v>
      </c>
    </row>
    <row r="294" spans="2:6" x14ac:dyDescent="0.3">
      <c r="B294" s="12">
        <v>291</v>
      </c>
      <c r="C294" s="28">
        <v>158.79421904632324</v>
      </c>
      <c r="E294" s="14" t="s">
        <v>19</v>
      </c>
      <c r="F294" s="11">
        <v>164</v>
      </c>
    </row>
    <row r="295" spans="2:6" x14ac:dyDescent="0.3">
      <c r="B295" s="12">
        <v>292</v>
      </c>
      <c r="C295" s="28">
        <v>161.54240651344682</v>
      </c>
      <c r="E295" s="14" t="s">
        <v>2800</v>
      </c>
      <c r="F295" s="11">
        <v>162</v>
      </c>
    </row>
    <row r="296" spans="2:6" x14ac:dyDescent="0.3">
      <c r="B296" s="12">
        <v>293</v>
      </c>
      <c r="C296" s="28">
        <v>154.863578322054</v>
      </c>
      <c r="E296" s="14" t="s">
        <v>4812</v>
      </c>
      <c r="F296" s="11">
        <v>158</v>
      </c>
    </row>
    <row r="297" spans="2:6" x14ac:dyDescent="0.3">
      <c r="B297" s="12">
        <v>294</v>
      </c>
      <c r="C297" s="28">
        <v>160.49463681442043</v>
      </c>
      <c r="E297" s="14" t="s">
        <v>4265</v>
      </c>
      <c r="F297" s="11">
        <v>165</v>
      </c>
    </row>
    <row r="298" spans="2:6" x14ac:dyDescent="0.3">
      <c r="B298" s="12">
        <v>295</v>
      </c>
      <c r="C298" s="28">
        <v>170.56402629131091</v>
      </c>
      <c r="E298" s="14" t="s">
        <v>3986</v>
      </c>
      <c r="F298" s="11">
        <v>174</v>
      </c>
    </row>
    <row r="299" spans="2:6" x14ac:dyDescent="0.3">
      <c r="B299" s="12">
        <v>296</v>
      </c>
      <c r="C299" s="28">
        <v>154.45158870362059</v>
      </c>
      <c r="E299" s="14" t="s">
        <v>3825</v>
      </c>
      <c r="F299" s="11">
        <v>177</v>
      </c>
    </row>
    <row r="300" spans="2:6" x14ac:dyDescent="0.3">
      <c r="B300" s="12">
        <v>297</v>
      </c>
      <c r="C300" s="28">
        <v>166.53439071814017</v>
      </c>
      <c r="E300" s="14" t="s">
        <v>4360</v>
      </c>
      <c r="F300" s="11">
        <v>168</v>
      </c>
    </row>
    <row r="301" spans="2:6" x14ac:dyDescent="0.3">
      <c r="B301" s="12">
        <v>298</v>
      </c>
      <c r="C301" s="28">
        <v>174.20385469130625</v>
      </c>
      <c r="E301" s="14" t="s">
        <v>453</v>
      </c>
      <c r="F301" s="11">
        <v>173</v>
      </c>
    </row>
    <row r="302" spans="2:6" x14ac:dyDescent="0.3">
      <c r="B302" s="12">
        <v>299</v>
      </c>
      <c r="C302" s="28">
        <v>170.14692952859346</v>
      </c>
      <c r="E302" s="14" t="s">
        <v>2580</v>
      </c>
      <c r="F302" s="11">
        <v>170</v>
      </c>
    </row>
    <row r="303" spans="2:6" x14ac:dyDescent="0.3">
      <c r="B303" s="12">
        <v>300</v>
      </c>
      <c r="C303" s="28">
        <v>150.63217695418757</v>
      </c>
      <c r="E303" s="14" t="s">
        <v>2189</v>
      </c>
      <c r="F303" s="11">
        <v>186</v>
      </c>
    </row>
    <row r="304" spans="2:6" x14ac:dyDescent="0.3">
      <c r="B304" s="12">
        <v>301</v>
      </c>
      <c r="C304" s="28">
        <v>145.79026052792119</v>
      </c>
      <c r="E304" s="14" t="s">
        <v>4105</v>
      </c>
      <c r="F304" s="11">
        <v>162</v>
      </c>
    </row>
    <row r="305" spans="2:6" x14ac:dyDescent="0.3">
      <c r="B305" s="12">
        <v>302</v>
      </c>
      <c r="C305" s="28">
        <v>160.78201425953003</v>
      </c>
      <c r="E305" s="14" t="s">
        <v>3394</v>
      </c>
      <c r="F305" s="11">
        <v>174</v>
      </c>
    </row>
    <row r="306" spans="2:6" x14ac:dyDescent="0.3">
      <c r="B306" s="12">
        <v>303</v>
      </c>
      <c r="C306" s="28">
        <v>162.38330485206436</v>
      </c>
      <c r="E306" s="14" t="s">
        <v>4624</v>
      </c>
      <c r="F306" s="11">
        <v>170</v>
      </c>
    </row>
    <row r="307" spans="2:6" x14ac:dyDescent="0.3">
      <c r="B307" s="12">
        <v>304</v>
      </c>
      <c r="C307" s="28">
        <v>168.64298410830745</v>
      </c>
      <c r="E307" s="14" t="s">
        <v>3911</v>
      </c>
      <c r="F307" s="11">
        <v>170</v>
      </c>
    </row>
    <row r="308" spans="2:6" x14ac:dyDescent="0.3">
      <c r="B308" s="12">
        <v>305</v>
      </c>
      <c r="C308" s="28">
        <v>166.06513448359155</v>
      </c>
      <c r="E308" s="14" t="s">
        <v>2197</v>
      </c>
      <c r="F308" s="11">
        <v>170</v>
      </c>
    </row>
    <row r="309" spans="2:6" x14ac:dyDescent="0.3">
      <c r="B309" s="12">
        <v>306</v>
      </c>
      <c r="C309" s="28">
        <v>156.10495825352692</v>
      </c>
      <c r="E309" s="14" t="s">
        <v>3299</v>
      </c>
      <c r="F309" s="11">
        <v>177</v>
      </c>
    </row>
    <row r="310" spans="2:6" x14ac:dyDescent="0.3">
      <c r="B310" s="12">
        <v>307</v>
      </c>
      <c r="C310" s="28">
        <v>157.65880689493414</v>
      </c>
      <c r="E310" s="14" t="s">
        <v>3519</v>
      </c>
      <c r="F310" s="11">
        <v>161</v>
      </c>
    </row>
    <row r="311" spans="2:6" x14ac:dyDescent="0.3">
      <c r="B311" s="12">
        <v>308</v>
      </c>
      <c r="C311" s="28">
        <v>154.71589813472556</v>
      </c>
      <c r="E311" s="14" t="s">
        <v>3777</v>
      </c>
      <c r="F311" s="11">
        <v>192</v>
      </c>
    </row>
    <row r="312" spans="2:6" x14ac:dyDescent="0.3">
      <c r="B312" s="12">
        <v>309</v>
      </c>
      <c r="C312" s="28">
        <v>170.2866081787065</v>
      </c>
      <c r="E312" s="14" t="s">
        <v>4622</v>
      </c>
      <c r="F312" s="11">
        <v>162</v>
      </c>
    </row>
    <row r="313" spans="2:6" x14ac:dyDescent="0.3">
      <c r="B313" s="12">
        <v>310</v>
      </c>
      <c r="C313" s="28">
        <v>148.45048502521593</v>
      </c>
      <c r="E313" s="14" t="s">
        <v>2531</v>
      </c>
      <c r="F313" s="11">
        <v>176</v>
      </c>
    </row>
    <row r="314" spans="2:6" x14ac:dyDescent="0.3">
      <c r="B314" s="12">
        <v>311</v>
      </c>
      <c r="C314" s="28">
        <v>158.05023513635345</v>
      </c>
      <c r="E314" s="14" t="s">
        <v>4442</v>
      </c>
      <c r="F314" s="11">
        <v>165</v>
      </c>
    </row>
    <row r="315" spans="2:6" x14ac:dyDescent="0.3">
      <c r="B315" s="12">
        <v>312</v>
      </c>
      <c r="C315" s="28">
        <v>154.22316842468075</v>
      </c>
      <c r="E315" s="14" t="s">
        <v>2225</v>
      </c>
      <c r="F315" s="11">
        <v>176</v>
      </c>
    </row>
    <row r="316" spans="2:6" x14ac:dyDescent="0.3">
      <c r="B316" s="12">
        <v>313</v>
      </c>
      <c r="C316" s="28">
        <v>161.46465088069627</v>
      </c>
      <c r="E316" s="14" t="s">
        <v>3783</v>
      </c>
      <c r="F316" s="11">
        <v>163</v>
      </c>
    </row>
    <row r="317" spans="2:6" x14ac:dyDescent="0.3">
      <c r="B317" s="12">
        <v>314</v>
      </c>
      <c r="C317" s="28">
        <v>157.96691149125485</v>
      </c>
      <c r="E317" s="14" t="s">
        <v>4963</v>
      </c>
      <c r="F317" s="11">
        <v>182</v>
      </c>
    </row>
    <row r="318" spans="2:6" x14ac:dyDescent="0.3">
      <c r="B318" s="12">
        <v>315</v>
      </c>
      <c r="C318" s="28">
        <v>151.83219618530029</v>
      </c>
      <c r="E318" s="14" t="s">
        <v>329</v>
      </c>
      <c r="F318" s="11">
        <v>173</v>
      </c>
    </row>
    <row r="319" spans="2:6" x14ac:dyDescent="0.3">
      <c r="B319" s="12">
        <v>316</v>
      </c>
      <c r="C319" s="28">
        <v>156.53346199842193</v>
      </c>
      <c r="E319" s="14" t="s">
        <v>4564</v>
      </c>
      <c r="F319" s="11">
        <v>192</v>
      </c>
    </row>
    <row r="320" spans="2:6" x14ac:dyDescent="0.3">
      <c r="B320" s="12">
        <v>317</v>
      </c>
      <c r="C320" s="28">
        <v>158.56448146470888</v>
      </c>
      <c r="E320" s="14" t="s">
        <v>3295</v>
      </c>
      <c r="F320" s="11">
        <v>172</v>
      </c>
    </row>
    <row r="321" spans="2:6" x14ac:dyDescent="0.3">
      <c r="B321" s="12">
        <v>318</v>
      </c>
      <c r="C321" s="28">
        <v>153.01813127918913</v>
      </c>
      <c r="E321" s="14" t="s">
        <v>3010</v>
      </c>
      <c r="F321" s="11">
        <v>162</v>
      </c>
    </row>
    <row r="322" spans="2:6" x14ac:dyDescent="0.3">
      <c r="B322" s="12">
        <v>319</v>
      </c>
      <c r="C322" s="28">
        <v>155.19319868756151</v>
      </c>
      <c r="E322" s="14" t="s">
        <v>390</v>
      </c>
      <c r="F322" s="11">
        <v>173</v>
      </c>
    </row>
    <row r="323" spans="2:6" x14ac:dyDescent="0.3">
      <c r="B323" s="12">
        <v>320</v>
      </c>
      <c r="C323" s="28">
        <v>162.06103825723613</v>
      </c>
      <c r="E323" s="14" t="s">
        <v>4071</v>
      </c>
      <c r="F323" s="11">
        <v>178</v>
      </c>
    </row>
    <row r="324" spans="2:6" x14ac:dyDescent="0.3">
      <c r="B324" s="12">
        <v>321</v>
      </c>
      <c r="C324" s="28">
        <v>152.70859496264984</v>
      </c>
      <c r="E324" s="14" t="s">
        <v>466</v>
      </c>
      <c r="F324" s="11">
        <v>167</v>
      </c>
    </row>
    <row r="325" spans="2:6" x14ac:dyDescent="0.3">
      <c r="B325" s="12">
        <v>322</v>
      </c>
      <c r="C325" s="28">
        <v>157.86490913233487</v>
      </c>
      <c r="E325" s="14" t="s">
        <v>3330</v>
      </c>
      <c r="F325" s="11">
        <v>161</v>
      </c>
    </row>
    <row r="326" spans="2:6" x14ac:dyDescent="0.3">
      <c r="B326" s="12">
        <v>323</v>
      </c>
      <c r="C326" s="28">
        <v>154.54759102939505</v>
      </c>
      <c r="E326" s="14" t="s">
        <v>2289</v>
      </c>
      <c r="F326" s="11">
        <v>158</v>
      </c>
    </row>
    <row r="327" spans="2:6" x14ac:dyDescent="0.3">
      <c r="B327" s="12">
        <v>324</v>
      </c>
      <c r="C327" s="28">
        <v>154.46991371997098</v>
      </c>
      <c r="E327" s="14" t="s">
        <v>2941</v>
      </c>
      <c r="F327" s="11">
        <v>184</v>
      </c>
    </row>
    <row r="328" spans="2:6" x14ac:dyDescent="0.3">
      <c r="B328" s="12">
        <v>325</v>
      </c>
      <c r="C328" s="28">
        <v>169.26735760700166</v>
      </c>
      <c r="E328" s="14" t="s">
        <v>216</v>
      </c>
      <c r="F328" s="11">
        <v>165</v>
      </c>
    </row>
    <row r="329" spans="2:6" x14ac:dyDescent="0.3">
      <c r="B329" s="12">
        <v>326</v>
      </c>
      <c r="C329" s="28">
        <v>162.49255766591821</v>
      </c>
      <c r="E329" s="14" t="s">
        <v>536</v>
      </c>
      <c r="F329" s="11">
        <v>163</v>
      </c>
    </row>
    <row r="330" spans="2:6" x14ac:dyDescent="0.3">
      <c r="B330" s="12">
        <v>327</v>
      </c>
      <c r="C330" s="28">
        <v>157.76029234782362</v>
      </c>
      <c r="E330" s="14" t="s">
        <v>3150</v>
      </c>
      <c r="F330" s="11">
        <v>176</v>
      </c>
    </row>
    <row r="331" spans="2:6" x14ac:dyDescent="0.3">
      <c r="B331" s="12">
        <v>328</v>
      </c>
      <c r="C331" s="28">
        <v>164.14316175763156</v>
      </c>
      <c r="E331" s="14" t="s">
        <v>968</v>
      </c>
      <c r="F331" s="11">
        <v>164</v>
      </c>
    </row>
    <row r="332" spans="2:6" x14ac:dyDescent="0.3">
      <c r="B332" s="12">
        <v>329</v>
      </c>
      <c r="C332" s="28">
        <v>165.69921857224654</v>
      </c>
      <c r="E332" s="14" t="s">
        <v>695</v>
      </c>
      <c r="F332" s="11">
        <v>169</v>
      </c>
    </row>
    <row r="333" spans="2:6" x14ac:dyDescent="0.3">
      <c r="B333" s="12">
        <v>330</v>
      </c>
      <c r="C333" s="28">
        <v>159.95595415836829</v>
      </c>
      <c r="E333" s="14" t="s">
        <v>1404</v>
      </c>
      <c r="F333" s="11">
        <v>163</v>
      </c>
    </row>
    <row r="334" spans="2:6" x14ac:dyDescent="0.3">
      <c r="B334" s="12">
        <v>331</v>
      </c>
      <c r="C334" s="28">
        <v>164.3908160991827</v>
      </c>
      <c r="E334" s="14" t="s">
        <v>1677</v>
      </c>
      <c r="F334" s="11">
        <v>160</v>
      </c>
    </row>
    <row r="335" spans="2:6" x14ac:dyDescent="0.3">
      <c r="B335" s="12">
        <v>332</v>
      </c>
      <c r="C335" s="28">
        <v>157.45740242142841</v>
      </c>
      <c r="E335" s="14" t="s">
        <v>1695</v>
      </c>
      <c r="F335" s="11">
        <v>175</v>
      </c>
    </row>
    <row r="336" spans="2:6" x14ac:dyDescent="0.3">
      <c r="B336" s="12">
        <v>333</v>
      </c>
      <c r="C336" s="28">
        <v>160.1075962867362</v>
      </c>
      <c r="E336" s="14" t="s">
        <v>1830</v>
      </c>
      <c r="F336" s="11">
        <v>168</v>
      </c>
    </row>
    <row r="337" spans="2:6" x14ac:dyDescent="0.3">
      <c r="B337" s="12">
        <v>334</v>
      </c>
      <c r="C337" s="28">
        <v>156.7740798845748</v>
      </c>
      <c r="E337" s="14" t="s">
        <v>2050</v>
      </c>
      <c r="F337" s="11">
        <v>161</v>
      </c>
    </row>
    <row r="338" spans="2:6" x14ac:dyDescent="0.3">
      <c r="B338" s="12">
        <v>335</v>
      </c>
      <c r="C338" s="28">
        <v>168.23809962819001</v>
      </c>
      <c r="E338" s="14" t="s">
        <v>2104</v>
      </c>
      <c r="F338" s="11">
        <v>175</v>
      </c>
    </row>
    <row r="339" spans="2:6" x14ac:dyDescent="0.3">
      <c r="B339" s="12">
        <v>336</v>
      </c>
      <c r="C339" s="28">
        <v>164.96928125481548</v>
      </c>
      <c r="E339" s="14" t="s">
        <v>2118</v>
      </c>
      <c r="F339" s="11">
        <v>175</v>
      </c>
    </row>
    <row r="340" spans="2:6" x14ac:dyDescent="0.3">
      <c r="B340" s="12">
        <v>337</v>
      </c>
      <c r="C340" s="28">
        <v>172.73195628264872</v>
      </c>
      <c r="E340" s="14" t="s">
        <v>2700</v>
      </c>
      <c r="F340" s="11">
        <v>174</v>
      </c>
    </row>
    <row r="341" spans="2:6" x14ac:dyDescent="0.3">
      <c r="B341" s="12">
        <v>338</v>
      </c>
      <c r="C341" s="28">
        <v>161.45508594123413</v>
      </c>
      <c r="E341" s="14" t="s">
        <v>2805</v>
      </c>
      <c r="F341" s="11">
        <v>165</v>
      </c>
    </row>
    <row r="342" spans="2:6" x14ac:dyDescent="0.3">
      <c r="B342" s="12">
        <v>339</v>
      </c>
      <c r="C342" s="28">
        <v>167.39805091591563</v>
      </c>
      <c r="E342" s="14" t="s">
        <v>3361</v>
      </c>
      <c r="F342" s="11">
        <v>180</v>
      </c>
    </row>
    <row r="343" spans="2:6" x14ac:dyDescent="0.3">
      <c r="B343" s="12">
        <v>340</v>
      </c>
      <c r="C343" s="28">
        <v>156.41998234140277</v>
      </c>
      <c r="E343" s="14" t="s">
        <v>3880</v>
      </c>
      <c r="F343" s="11">
        <v>152</v>
      </c>
    </row>
    <row r="344" spans="2:6" x14ac:dyDescent="0.3">
      <c r="B344" s="12">
        <v>341</v>
      </c>
      <c r="C344" s="28">
        <v>154.56123978613635</v>
      </c>
      <c r="E344" s="14" t="s">
        <v>0</v>
      </c>
      <c r="F344" s="11">
        <v>170</v>
      </c>
    </row>
    <row r="345" spans="2:6" x14ac:dyDescent="0.3">
      <c r="B345" s="12">
        <v>342</v>
      </c>
      <c r="C345" s="28">
        <v>156.13618189996822</v>
      </c>
      <c r="E345" s="14" t="s">
        <v>215</v>
      </c>
      <c r="F345" s="11">
        <v>159</v>
      </c>
    </row>
    <row r="346" spans="2:6" x14ac:dyDescent="0.3">
      <c r="B346" s="12">
        <v>343</v>
      </c>
      <c r="C346" s="28">
        <v>160.6207545523996</v>
      </c>
      <c r="E346" s="14" t="s">
        <v>475</v>
      </c>
      <c r="F346" s="11">
        <v>186</v>
      </c>
    </row>
    <row r="347" spans="2:6" x14ac:dyDescent="0.3">
      <c r="B347" s="12">
        <v>344</v>
      </c>
      <c r="C347" s="28">
        <v>172.58129407128314</v>
      </c>
      <c r="E347" s="14" t="s">
        <v>774</v>
      </c>
      <c r="F347" s="11">
        <v>157</v>
      </c>
    </row>
    <row r="348" spans="2:6" x14ac:dyDescent="0.3">
      <c r="B348" s="12">
        <v>345</v>
      </c>
      <c r="C348" s="28">
        <v>163.48334179187125</v>
      </c>
      <c r="E348" s="14" t="s">
        <v>294</v>
      </c>
      <c r="F348" s="11">
        <v>169</v>
      </c>
    </row>
    <row r="349" spans="2:6" x14ac:dyDescent="0.3">
      <c r="B349" s="12">
        <v>346</v>
      </c>
      <c r="C349" s="28">
        <v>140.55469071873046</v>
      </c>
      <c r="E349" s="14" t="s">
        <v>3404</v>
      </c>
      <c r="F349" s="11">
        <v>176</v>
      </c>
    </row>
    <row r="350" spans="2:6" x14ac:dyDescent="0.3">
      <c r="B350" s="12">
        <v>347</v>
      </c>
      <c r="C350" s="28">
        <v>156.43147892533463</v>
      </c>
      <c r="E350" s="14" t="s">
        <v>168</v>
      </c>
      <c r="F350" s="11">
        <v>168</v>
      </c>
    </row>
    <row r="351" spans="2:6" x14ac:dyDescent="0.3">
      <c r="B351" s="12">
        <v>348</v>
      </c>
      <c r="C351" s="28">
        <v>170.43040146194687</v>
      </c>
      <c r="E351" s="14" t="s">
        <v>167</v>
      </c>
      <c r="F351" s="11">
        <v>160</v>
      </c>
    </row>
    <row r="352" spans="2:6" x14ac:dyDescent="0.3">
      <c r="B352" s="12">
        <v>349</v>
      </c>
      <c r="C352" s="28">
        <v>168.83594879580249</v>
      </c>
      <c r="E352" s="14" t="s">
        <v>955</v>
      </c>
      <c r="F352" s="11">
        <v>178</v>
      </c>
    </row>
    <row r="353" spans="2:6" x14ac:dyDescent="0.3">
      <c r="B353" s="12">
        <v>350</v>
      </c>
      <c r="C353" s="28">
        <v>165.22628974217847</v>
      </c>
      <c r="E353" s="14" t="s">
        <v>1060</v>
      </c>
      <c r="F353" s="11">
        <v>153</v>
      </c>
    </row>
    <row r="354" spans="2:6" x14ac:dyDescent="0.3">
      <c r="B354" s="12">
        <v>351</v>
      </c>
      <c r="C354" s="28">
        <v>155.39207743545697</v>
      </c>
      <c r="E354" s="14" t="s">
        <v>3801</v>
      </c>
      <c r="F354" s="11">
        <v>160</v>
      </c>
    </row>
    <row r="355" spans="2:6" x14ac:dyDescent="0.3">
      <c r="B355" s="12">
        <v>352</v>
      </c>
      <c r="C355" s="28">
        <v>167.49435153254899</v>
      </c>
      <c r="E355" s="14" t="s">
        <v>1074</v>
      </c>
      <c r="F355" s="11">
        <v>180</v>
      </c>
    </row>
    <row r="356" spans="2:6" x14ac:dyDescent="0.3">
      <c r="B356" s="12">
        <v>353</v>
      </c>
      <c r="C356" s="28">
        <v>157.97789175916012</v>
      </c>
      <c r="E356" s="14" t="s">
        <v>3178</v>
      </c>
      <c r="F356" s="11">
        <v>167</v>
      </c>
    </row>
    <row r="357" spans="2:6" x14ac:dyDescent="0.3">
      <c r="B357" s="12">
        <v>354</v>
      </c>
      <c r="C357" s="28">
        <v>170.01522801932211</v>
      </c>
      <c r="E357" s="14" t="s">
        <v>585</v>
      </c>
      <c r="F357" s="11">
        <v>175</v>
      </c>
    </row>
    <row r="358" spans="2:6" x14ac:dyDescent="0.3">
      <c r="B358" s="12">
        <v>355</v>
      </c>
      <c r="C358" s="28">
        <v>156.03829585417807</v>
      </c>
      <c r="E358" s="14" t="s">
        <v>1424</v>
      </c>
      <c r="F358" s="11">
        <v>186</v>
      </c>
    </row>
    <row r="359" spans="2:6" x14ac:dyDescent="0.3">
      <c r="B359" s="12">
        <v>356</v>
      </c>
      <c r="C359" s="28">
        <v>160.01001772126509</v>
      </c>
      <c r="E359" s="14" t="s">
        <v>4580</v>
      </c>
      <c r="F359" s="11">
        <v>172</v>
      </c>
    </row>
    <row r="360" spans="2:6" x14ac:dyDescent="0.3">
      <c r="B360" s="12">
        <v>357</v>
      </c>
      <c r="C360" s="28">
        <v>159.3395135788991</v>
      </c>
      <c r="E360" s="14" t="s">
        <v>3422</v>
      </c>
      <c r="F360" s="11">
        <v>178</v>
      </c>
    </row>
    <row r="361" spans="2:6" x14ac:dyDescent="0.3">
      <c r="B361" s="12">
        <v>358</v>
      </c>
      <c r="C361" s="28">
        <v>157.89885714309429</v>
      </c>
      <c r="E361" s="14" t="s">
        <v>2719</v>
      </c>
      <c r="F361" s="11">
        <v>185</v>
      </c>
    </row>
    <row r="362" spans="2:6" x14ac:dyDescent="0.3">
      <c r="B362" s="12">
        <v>359</v>
      </c>
      <c r="C362" s="28">
        <v>159.83070779518866</v>
      </c>
      <c r="E362" s="14" t="s">
        <v>1586</v>
      </c>
      <c r="F362" s="11">
        <v>174</v>
      </c>
    </row>
    <row r="363" spans="2:6" x14ac:dyDescent="0.3">
      <c r="B363" s="12">
        <v>360</v>
      </c>
      <c r="C363" s="28">
        <v>158.63752701132361</v>
      </c>
      <c r="E363" s="14" t="s">
        <v>3369</v>
      </c>
      <c r="F363" s="11">
        <v>168</v>
      </c>
    </row>
    <row r="364" spans="2:6" x14ac:dyDescent="0.3">
      <c r="B364" s="12">
        <v>361</v>
      </c>
      <c r="C364" s="28">
        <v>141.39723338610074</v>
      </c>
      <c r="E364" s="14" t="s">
        <v>2586</v>
      </c>
      <c r="F364" s="11">
        <v>173</v>
      </c>
    </row>
    <row r="365" spans="2:6" x14ac:dyDescent="0.3">
      <c r="B365" s="12">
        <v>362</v>
      </c>
      <c r="C365" s="28">
        <v>154.8387728585385</v>
      </c>
      <c r="E365" s="14" t="s">
        <v>4707</v>
      </c>
      <c r="F365" s="11">
        <v>170</v>
      </c>
    </row>
    <row r="366" spans="2:6" x14ac:dyDescent="0.3">
      <c r="B366" s="12">
        <v>363</v>
      </c>
      <c r="C366" s="28">
        <v>166.29657126668607</v>
      </c>
      <c r="E366" s="14" t="s">
        <v>978</v>
      </c>
      <c r="F366" s="11">
        <v>160</v>
      </c>
    </row>
    <row r="367" spans="2:6" x14ac:dyDescent="0.3">
      <c r="B367" s="12">
        <v>364</v>
      </c>
      <c r="C367" s="28">
        <v>154.66803092499512</v>
      </c>
      <c r="E367" s="14" t="s">
        <v>2902</v>
      </c>
      <c r="F367" s="11">
        <v>169</v>
      </c>
    </row>
    <row r="368" spans="2:6" x14ac:dyDescent="0.3">
      <c r="B368" s="12">
        <v>365</v>
      </c>
      <c r="C368" s="28">
        <v>151.90493566138949</v>
      </c>
      <c r="E368" s="14" t="s">
        <v>394</v>
      </c>
      <c r="F368" s="11">
        <v>163</v>
      </c>
    </row>
    <row r="369" spans="2:6" x14ac:dyDescent="0.3">
      <c r="B369" s="12">
        <v>366</v>
      </c>
      <c r="C369" s="28">
        <v>163.68647870285952</v>
      </c>
      <c r="E369" s="14" t="s">
        <v>4641</v>
      </c>
      <c r="F369" s="11">
        <v>172</v>
      </c>
    </row>
    <row r="370" spans="2:6" x14ac:dyDescent="0.3">
      <c r="B370" s="12">
        <v>367</v>
      </c>
      <c r="C370" s="28">
        <v>175.2798913417748</v>
      </c>
      <c r="E370" s="14" t="s">
        <v>797</v>
      </c>
      <c r="F370" s="11">
        <v>170</v>
      </c>
    </row>
    <row r="371" spans="2:6" x14ac:dyDescent="0.3">
      <c r="B371" s="12">
        <v>368</v>
      </c>
      <c r="C371" s="28">
        <v>169.30277639852213</v>
      </c>
      <c r="E371" s="14" t="s">
        <v>3213</v>
      </c>
      <c r="F371" s="11">
        <v>172</v>
      </c>
    </row>
    <row r="372" spans="2:6" x14ac:dyDescent="0.3">
      <c r="B372" s="12">
        <v>369</v>
      </c>
      <c r="C372" s="28">
        <v>163.39392571494585</v>
      </c>
      <c r="E372" s="14" t="s">
        <v>4010</v>
      </c>
      <c r="F372" s="11">
        <v>165</v>
      </c>
    </row>
    <row r="373" spans="2:6" x14ac:dyDescent="0.3">
      <c r="B373" s="12">
        <v>370</v>
      </c>
      <c r="C373" s="28">
        <v>162.01399704964788</v>
      </c>
      <c r="E373" s="14" t="s">
        <v>2754</v>
      </c>
      <c r="F373" s="11">
        <v>151</v>
      </c>
    </row>
    <row r="374" spans="2:6" x14ac:dyDescent="0.3">
      <c r="B374" s="12">
        <v>371</v>
      </c>
      <c r="C374" s="28">
        <v>169.05248716056286</v>
      </c>
      <c r="E374" s="14" t="s">
        <v>2012</v>
      </c>
      <c r="F374" s="11">
        <v>173</v>
      </c>
    </row>
    <row r="375" spans="2:6" x14ac:dyDescent="0.3">
      <c r="B375" s="12">
        <v>372</v>
      </c>
      <c r="C375" s="28">
        <v>166.54131093702745</v>
      </c>
      <c r="E375" s="14" t="s">
        <v>3185</v>
      </c>
      <c r="F375" s="11">
        <v>158</v>
      </c>
    </row>
    <row r="376" spans="2:6" x14ac:dyDescent="0.3">
      <c r="B376" s="12">
        <v>373</v>
      </c>
      <c r="C376" s="28">
        <v>172.22162519765024</v>
      </c>
      <c r="E376" s="14" t="s">
        <v>1457</v>
      </c>
      <c r="F376" s="11">
        <v>160</v>
      </c>
    </row>
    <row r="377" spans="2:6" x14ac:dyDescent="0.3">
      <c r="B377" s="12">
        <v>374</v>
      </c>
      <c r="C377" s="28">
        <v>173.52548443930527</v>
      </c>
      <c r="E377" s="14" t="s">
        <v>2257</v>
      </c>
      <c r="F377" s="11">
        <v>158</v>
      </c>
    </row>
    <row r="378" spans="2:6" x14ac:dyDescent="0.3">
      <c r="B378" s="12">
        <v>375</v>
      </c>
      <c r="C378" s="28">
        <v>171.3499365282965</v>
      </c>
      <c r="E378" s="14" t="s">
        <v>3034</v>
      </c>
      <c r="F378" s="11">
        <v>175</v>
      </c>
    </row>
    <row r="379" spans="2:6" x14ac:dyDescent="0.3">
      <c r="B379" s="12">
        <v>376</v>
      </c>
      <c r="C379" s="28">
        <v>156.09640926409989</v>
      </c>
      <c r="E379" s="14" t="s">
        <v>4511</v>
      </c>
      <c r="F379" s="11">
        <v>169</v>
      </c>
    </row>
    <row r="380" spans="2:6" x14ac:dyDescent="0.3">
      <c r="B380" s="12">
        <v>377</v>
      </c>
      <c r="C380" s="28">
        <v>152.33325392694428</v>
      </c>
      <c r="E380" s="14" t="s">
        <v>2488</v>
      </c>
      <c r="F380" s="11">
        <v>172</v>
      </c>
    </row>
    <row r="381" spans="2:6" x14ac:dyDescent="0.3">
      <c r="B381" s="12">
        <v>378</v>
      </c>
      <c r="C381" s="28">
        <v>159.47830099513908</v>
      </c>
      <c r="E381" s="14" t="s">
        <v>4550</v>
      </c>
      <c r="F381" s="11">
        <v>160</v>
      </c>
    </row>
    <row r="382" spans="2:6" x14ac:dyDescent="0.3">
      <c r="B382" s="12">
        <v>379</v>
      </c>
      <c r="C382" s="28">
        <v>157.66085336269515</v>
      </c>
      <c r="E382" s="14" t="s">
        <v>2027</v>
      </c>
      <c r="F382" s="11">
        <v>168</v>
      </c>
    </row>
    <row r="383" spans="2:6" x14ac:dyDescent="0.3">
      <c r="B383" s="12">
        <v>380</v>
      </c>
      <c r="C383" s="28">
        <v>147.02276380981013</v>
      </c>
      <c r="E383" s="14" t="s">
        <v>128</v>
      </c>
      <c r="F383" s="11">
        <v>170</v>
      </c>
    </row>
    <row r="384" spans="2:6" x14ac:dyDescent="0.3">
      <c r="B384" s="12">
        <v>381</v>
      </c>
      <c r="C384" s="28">
        <v>150.46756484687907</v>
      </c>
      <c r="E384" s="14" t="s">
        <v>2659</v>
      </c>
      <c r="F384" s="11">
        <v>172</v>
      </c>
    </row>
    <row r="385" spans="2:6" x14ac:dyDescent="0.3">
      <c r="B385" s="12">
        <v>382</v>
      </c>
      <c r="C385" s="28">
        <v>154.55479182494241</v>
      </c>
      <c r="E385" s="14" t="s">
        <v>3512</v>
      </c>
      <c r="F385" s="11">
        <v>163</v>
      </c>
    </row>
    <row r="386" spans="2:6" x14ac:dyDescent="0.3">
      <c r="B386" s="12">
        <v>383</v>
      </c>
      <c r="C386" s="28">
        <v>151.79903712634191</v>
      </c>
      <c r="E386" s="14" t="s">
        <v>4747</v>
      </c>
      <c r="F386" s="11">
        <v>178</v>
      </c>
    </row>
    <row r="387" spans="2:6" x14ac:dyDescent="0.3">
      <c r="B387" s="12">
        <v>384</v>
      </c>
      <c r="C387" s="28">
        <v>161.75913169216602</v>
      </c>
      <c r="E387" s="14" t="s">
        <v>2491</v>
      </c>
      <c r="F387" s="11">
        <v>176</v>
      </c>
    </row>
    <row r="388" spans="2:6" x14ac:dyDescent="0.3">
      <c r="B388" s="12">
        <v>385</v>
      </c>
      <c r="C388" s="28">
        <v>159.09525413824218</v>
      </c>
      <c r="E388" s="14" t="s">
        <v>868</v>
      </c>
      <c r="F388" s="11">
        <v>164</v>
      </c>
    </row>
    <row r="389" spans="2:6" x14ac:dyDescent="0.3">
      <c r="B389" s="12">
        <v>386</v>
      </c>
      <c r="C389" s="28">
        <v>165.41806017045064</v>
      </c>
      <c r="E389" s="14" t="s">
        <v>2106</v>
      </c>
      <c r="F389" s="11">
        <v>170</v>
      </c>
    </row>
    <row r="390" spans="2:6" x14ac:dyDescent="0.3">
      <c r="B390" s="12">
        <v>387</v>
      </c>
      <c r="C390" s="28">
        <v>146.98904919733548</v>
      </c>
      <c r="E390" s="14" t="s">
        <v>2839</v>
      </c>
      <c r="F390" s="11">
        <v>168</v>
      </c>
    </row>
    <row r="391" spans="2:6" x14ac:dyDescent="0.3">
      <c r="B391" s="12">
        <v>388</v>
      </c>
      <c r="C391" s="28">
        <v>177.57003336232995</v>
      </c>
      <c r="E391" s="14" t="s">
        <v>3844</v>
      </c>
      <c r="F391" s="11">
        <v>160</v>
      </c>
    </row>
    <row r="392" spans="2:6" x14ac:dyDescent="0.3">
      <c r="B392" s="12">
        <v>389</v>
      </c>
      <c r="C392" s="28">
        <v>159.66853492879565</v>
      </c>
      <c r="E392" s="14" t="s">
        <v>2465</v>
      </c>
      <c r="F392" s="11">
        <v>163</v>
      </c>
    </row>
    <row r="393" spans="2:6" x14ac:dyDescent="0.3">
      <c r="B393" s="12">
        <v>390</v>
      </c>
      <c r="C393" s="28">
        <v>151.46505114947954</v>
      </c>
      <c r="E393" s="14" t="s">
        <v>4229</v>
      </c>
      <c r="F393" s="11">
        <v>165</v>
      </c>
    </row>
    <row r="394" spans="2:6" x14ac:dyDescent="0.3">
      <c r="B394" s="12">
        <v>391</v>
      </c>
      <c r="C394" s="28">
        <v>163.38653072587707</v>
      </c>
      <c r="E394" s="14" t="s">
        <v>1935</v>
      </c>
      <c r="F394" s="11">
        <v>160</v>
      </c>
    </row>
    <row r="395" spans="2:6" x14ac:dyDescent="0.3">
      <c r="B395" s="12">
        <v>392</v>
      </c>
      <c r="C395" s="28">
        <v>159.44731214119918</v>
      </c>
      <c r="E395" s="14" t="s">
        <v>2597</v>
      </c>
      <c r="F395" s="11">
        <v>175</v>
      </c>
    </row>
    <row r="396" spans="2:6" x14ac:dyDescent="0.3">
      <c r="B396" s="12">
        <v>393</v>
      </c>
      <c r="C396" s="28">
        <v>161.65079515158072</v>
      </c>
      <c r="E396" s="14" t="s">
        <v>3697</v>
      </c>
      <c r="F396" s="11">
        <v>158</v>
      </c>
    </row>
    <row r="397" spans="2:6" x14ac:dyDescent="0.3">
      <c r="B397" s="12">
        <v>394</v>
      </c>
      <c r="C397" s="28">
        <v>177.35759828665024</v>
      </c>
      <c r="E397" s="14" t="s">
        <v>462</v>
      </c>
      <c r="F397" s="11">
        <v>165</v>
      </c>
    </row>
    <row r="398" spans="2:6" x14ac:dyDescent="0.3">
      <c r="B398" s="12">
        <v>395</v>
      </c>
      <c r="C398" s="28">
        <v>152.81277629030657</v>
      </c>
      <c r="E398" s="14" t="s">
        <v>1802</v>
      </c>
      <c r="F398" s="11">
        <v>168</v>
      </c>
    </row>
    <row r="399" spans="2:6" x14ac:dyDescent="0.3">
      <c r="B399" s="12">
        <v>396</v>
      </c>
      <c r="C399" s="28">
        <v>158.20418958462429</v>
      </c>
      <c r="E399" s="14" t="s">
        <v>877</v>
      </c>
      <c r="F399" s="11">
        <v>176</v>
      </c>
    </row>
    <row r="400" spans="2:6" x14ac:dyDescent="0.3">
      <c r="B400" s="12">
        <v>397</v>
      </c>
      <c r="C400" s="28">
        <v>163.39436762939451</v>
      </c>
      <c r="E400" s="14" t="s">
        <v>921</v>
      </c>
      <c r="F400" s="11">
        <v>195</v>
      </c>
    </row>
    <row r="401" spans="2:6" x14ac:dyDescent="0.3">
      <c r="B401" s="12">
        <v>398</v>
      </c>
      <c r="C401" s="28">
        <v>158.79631363886887</v>
      </c>
      <c r="E401" s="14" t="s">
        <v>1068</v>
      </c>
      <c r="F401" s="11">
        <v>178</v>
      </c>
    </row>
    <row r="402" spans="2:6" x14ac:dyDescent="0.3">
      <c r="B402" s="12">
        <v>399</v>
      </c>
      <c r="C402" s="28">
        <v>159.74779033266907</v>
      </c>
      <c r="E402" s="14" t="s">
        <v>1183</v>
      </c>
      <c r="F402" s="11">
        <v>180</v>
      </c>
    </row>
    <row r="403" spans="2:6" x14ac:dyDescent="0.3">
      <c r="B403" s="12">
        <v>400</v>
      </c>
      <c r="C403" s="28">
        <v>158.48623022872246</v>
      </c>
      <c r="E403" s="14" t="s">
        <v>3149</v>
      </c>
      <c r="F403" s="11">
        <v>163</v>
      </c>
    </row>
    <row r="404" spans="2:6" x14ac:dyDescent="0.3">
      <c r="B404" s="12">
        <v>401</v>
      </c>
      <c r="C404" s="28">
        <v>152.70776539509004</v>
      </c>
      <c r="E404" s="14" t="s">
        <v>1565</v>
      </c>
      <c r="F404" s="11">
        <v>165</v>
      </c>
    </row>
    <row r="405" spans="2:6" x14ac:dyDescent="0.3">
      <c r="B405" s="12">
        <v>402</v>
      </c>
      <c r="C405" s="28">
        <v>157.71137185463178</v>
      </c>
      <c r="E405" s="14" t="s">
        <v>1844</v>
      </c>
      <c r="F405" s="11">
        <v>177</v>
      </c>
    </row>
    <row r="406" spans="2:6" x14ac:dyDescent="0.3">
      <c r="B406" s="12">
        <v>403</v>
      </c>
      <c r="C406" s="28">
        <v>163.20936177515955</v>
      </c>
      <c r="E406" s="14" t="s">
        <v>1310</v>
      </c>
      <c r="F406" s="11">
        <v>169</v>
      </c>
    </row>
    <row r="407" spans="2:6" x14ac:dyDescent="0.3">
      <c r="B407" s="12">
        <v>404</v>
      </c>
      <c r="C407" s="28">
        <v>168.53246938544376</v>
      </c>
      <c r="E407" s="14" t="s">
        <v>3855</v>
      </c>
      <c r="F407" s="11">
        <v>176</v>
      </c>
    </row>
    <row r="408" spans="2:6" x14ac:dyDescent="0.3">
      <c r="B408" s="12">
        <v>405</v>
      </c>
      <c r="C408" s="28">
        <v>164.45142467017638</v>
      </c>
      <c r="E408" s="14" t="s">
        <v>1981</v>
      </c>
      <c r="F408" s="11">
        <v>173</v>
      </c>
    </row>
    <row r="409" spans="2:6" x14ac:dyDescent="0.3">
      <c r="B409" s="12">
        <v>406</v>
      </c>
      <c r="C409" s="28">
        <v>163.58740914767415</v>
      </c>
      <c r="E409" s="14" t="s">
        <v>2049</v>
      </c>
      <c r="F409" s="11">
        <v>170</v>
      </c>
    </row>
    <row r="410" spans="2:6" x14ac:dyDescent="0.3">
      <c r="B410" s="12">
        <v>407</v>
      </c>
      <c r="C410" s="28">
        <v>176.07723330001733</v>
      </c>
      <c r="E410" s="14" t="s">
        <v>2117</v>
      </c>
      <c r="F410" s="11">
        <v>170</v>
      </c>
    </row>
    <row r="411" spans="2:6" x14ac:dyDescent="0.3">
      <c r="B411" s="12">
        <v>408</v>
      </c>
      <c r="C411" s="28">
        <v>157.13339490432688</v>
      </c>
      <c r="E411" s="14" t="s">
        <v>2161</v>
      </c>
      <c r="F411" s="11">
        <v>175</v>
      </c>
    </row>
    <row r="412" spans="2:6" x14ac:dyDescent="0.3">
      <c r="B412" s="12">
        <v>409</v>
      </c>
      <c r="C412" s="28">
        <v>163.98364047449874</v>
      </c>
      <c r="E412" s="14" t="s">
        <v>1795</v>
      </c>
      <c r="F412" s="11">
        <v>180</v>
      </c>
    </row>
    <row r="413" spans="2:6" x14ac:dyDescent="0.3">
      <c r="B413" s="12">
        <v>410</v>
      </c>
      <c r="C413" s="28">
        <v>169.73399554242295</v>
      </c>
      <c r="E413" s="14" t="s">
        <v>2590</v>
      </c>
      <c r="F413" s="11">
        <v>186</v>
      </c>
    </row>
    <row r="414" spans="2:6" x14ac:dyDescent="0.3">
      <c r="B414" s="12">
        <v>411</v>
      </c>
      <c r="C414" s="28">
        <v>164.55594723234569</v>
      </c>
      <c r="E414" s="14" t="s">
        <v>4187</v>
      </c>
      <c r="F414" s="11">
        <v>178</v>
      </c>
    </row>
    <row r="415" spans="2:6" x14ac:dyDescent="0.3">
      <c r="B415" s="12">
        <v>412</v>
      </c>
      <c r="C415" s="28">
        <v>161.87702663737235</v>
      </c>
      <c r="E415" s="14" t="s">
        <v>2738</v>
      </c>
      <c r="F415" s="11">
        <v>165</v>
      </c>
    </row>
    <row r="416" spans="2:6" x14ac:dyDescent="0.3">
      <c r="B416" s="12">
        <v>413</v>
      </c>
      <c r="C416" s="28">
        <v>168.46276301693703</v>
      </c>
      <c r="E416" s="14" t="s">
        <v>3083</v>
      </c>
      <c r="F416" s="11">
        <v>183</v>
      </c>
    </row>
    <row r="417" spans="2:6" x14ac:dyDescent="0.3">
      <c r="B417" s="12">
        <v>414</v>
      </c>
      <c r="C417" s="28">
        <v>168.29340615811574</v>
      </c>
      <c r="E417" s="14" t="s">
        <v>3906</v>
      </c>
      <c r="F417" s="11">
        <v>172</v>
      </c>
    </row>
    <row r="418" spans="2:6" x14ac:dyDescent="0.3">
      <c r="B418" s="12">
        <v>415</v>
      </c>
      <c r="C418" s="28">
        <v>156.73216250863123</v>
      </c>
      <c r="E418" s="14" t="s">
        <v>2660</v>
      </c>
      <c r="F418" s="11">
        <v>180</v>
      </c>
    </row>
    <row r="419" spans="2:6" x14ac:dyDescent="0.3">
      <c r="B419" s="12">
        <v>416</v>
      </c>
      <c r="C419" s="28">
        <v>164.30648161406762</v>
      </c>
      <c r="E419" s="14" t="s">
        <v>2163</v>
      </c>
      <c r="F419" s="11">
        <v>170</v>
      </c>
    </row>
    <row r="420" spans="2:6" x14ac:dyDescent="0.3">
      <c r="B420" s="12">
        <v>417</v>
      </c>
      <c r="C420" s="28">
        <v>177.27926706363002</v>
      </c>
      <c r="E420" s="14" t="s">
        <v>2595</v>
      </c>
      <c r="F420" s="11">
        <v>175</v>
      </c>
    </row>
    <row r="421" spans="2:6" x14ac:dyDescent="0.3">
      <c r="B421" s="12">
        <v>418</v>
      </c>
      <c r="C421" s="28">
        <v>155.35128007075852</v>
      </c>
      <c r="E421" s="14" t="s">
        <v>3088</v>
      </c>
      <c r="F421" s="11">
        <v>177</v>
      </c>
    </row>
    <row r="422" spans="2:6" x14ac:dyDescent="0.3">
      <c r="B422" s="12">
        <v>419</v>
      </c>
      <c r="C422" s="28">
        <v>160.9623729832449</v>
      </c>
      <c r="E422" s="14" t="s">
        <v>1971</v>
      </c>
      <c r="F422" s="11">
        <v>173</v>
      </c>
    </row>
    <row r="423" spans="2:6" x14ac:dyDescent="0.3">
      <c r="B423" s="12">
        <v>420</v>
      </c>
      <c r="C423" s="28">
        <v>168.70391820662033</v>
      </c>
      <c r="E423" s="14" t="s">
        <v>3417</v>
      </c>
      <c r="F423" s="11">
        <v>176</v>
      </c>
    </row>
    <row r="424" spans="2:6" x14ac:dyDescent="0.3">
      <c r="B424" s="12">
        <v>421</v>
      </c>
      <c r="C424" s="28">
        <v>164.19223636523978</v>
      </c>
      <c r="E424" s="14" t="s">
        <v>3250</v>
      </c>
      <c r="F424" s="11">
        <v>172</v>
      </c>
    </row>
    <row r="425" spans="2:6" x14ac:dyDescent="0.3">
      <c r="B425" s="12">
        <v>422</v>
      </c>
      <c r="C425" s="28">
        <v>160.75990656101703</v>
      </c>
      <c r="E425" s="14" t="s">
        <v>2309</v>
      </c>
      <c r="F425" s="11">
        <v>184</v>
      </c>
    </row>
    <row r="426" spans="2:6" x14ac:dyDescent="0.3">
      <c r="B426" s="12">
        <v>423</v>
      </c>
      <c r="C426" s="28">
        <v>157.03424809600824</v>
      </c>
      <c r="E426" s="14" t="s">
        <v>3798</v>
      </c>
      <c r="F426" s="11">
        <v>177</v>
      </c>
    </row>
    <row r="427" spans="2:6" x14ac:dyDescent="0.3">
      <c r="B427" s="12">
        <v>424</v>
      </c>
      <c r="C427" s="28">
        <v>170.26246485484108</v>
      </c>
      <c r="E427" s="14" t="s">
        <v>4066</v>
      </c>
      <c r="F427" s="11">
        <v>185</v>
      </c>
    </row>
    <row r="428" spans="2:6" x14ac:dyDescent="0.3">
      <c r="B428" s="12">
        <v>425</v>
      </c>
      <c r="C428" s="28">
        <v>150.71117404114204</v>
      </c>
      <c r="E428" s="14" t="s">
        <v>1089</v>
      </c>
      <c r="F428" s="11">
        <v>167</v>
      </c>
    </row>
    <row r="429" spans="2:6" x14ac:dyDescent="0.3">
      <c r="B429" s="12">
        <v>426</v>
      </c>
      <c r="C429" s="28">
        <v>155.54194900385042</v>
      </c>
      <c r="E429" s="14" t="s">
        <v>1501</v>
      </c>
      <c r="F429" s="11">
        <v>185</v>
      </c>
    </row>
    <row r="430" spans="2:6" x14ac:dyDescent="0.3">
      <c r="B430" s="12">
        <v>427</v>
      </c>
      <c r="C430" s="28">
        <v>147.12482477385925</v>
      </c>
      <c r="E430" s="14" t="s">
        <v>3882</v>
      </c>
      <c r="F430" s="11">
        <v>184</v>
      </c>
    </row>
    <row r="431" spans="2:6" x14ac:dyDescent="0.3">
      <c r="B431" s="12">
        <v>428</v>
      </c>
      <c r="C431" s="28">
        <v>161.05145570938544</v>
      </c>
      <c r="E431" s="14" t="s">
        <v>3897</v>
      </c>
      <c r="F431" s="11">
        <v>186</v>
      </c>
    </row>
    <row r="432" spans="2:6" x14ac:dyDescent="0.3">
      <c r="B432" s="12">
        <v>429</v>
      </c>
      <c r="C432" s="28">
        <v>163.64818157862359</v>
      </c>
      <c r="E432" s="14" t="s">
        <v>4012</v>
      </c>
      <c r="F432" s="11">
        <v>183</v>
      </c>
    </row>
    <row r="433" spans="2:6" x14ac:dyDescent="0.3">
      <c r="B433" s="12">
        <v>430</v>
      </c>
      <c r="C433" s="28">
        <v>165.70025749667462</v>
      </c>
      <c r="E433" s="14" t="s">
        <v>4210</v>
      </c>
      <c r="F433" s="11">
        <v>177</v>
      </c>
    </row>
    <row r="434" spans="2:6" x14ac:dyDescent="0.3">
      <c r="B434" s="12">
        <v>431</v>
      </c>
      <c r="C434" s="28">
        <v>168.99892193816669</v>
      </c>
      <c r="E434" s="14" t="s">
        <v>4503</v>
      </c>
      <c r="F434" s="11">
        <v>167</v>
      </c>
    </row>
    <row r="435" spans="2:6" x14ac:dyDescent="0.3">
      <c r="B435" s="12">
        <v>432</v>
      </c>
      <c r="C435" s="28">
        <v>166.99923786286666</v>
      </c>
      <c r="E435" s="14" t="s">
        <v>4608</v>
      </c>
      <c r="F435" s="11">
        <v>168</v>
      </c>
    </row>
    <row r="436" spans="2:6" x14ac:dyDescent="0.3">
      <c r="B436" s="12">
        <v>433</v>
      </c>
      <c r="C436" s="28">
        <v>161.87860101151571</v>
      </c>
      <c r="E436" s="14" t="s">
        <v>4346</v>
      </c>
      <c r="F436" s="11">
        <v>178</v>
      </c>
    </row>
    <row r="437" spans="2:6" x14ac:dyDescent="0.3">
      <c r="B437" s="12">
        <v>434</v>
      </c>
      <c r="C437" s="28">
        <v>156.412632491007</v>
      </c>
      <c r="E437" s="14" t="s">
        <v>4632</v>
      </c>
      <c r="F437" s="11">
        <v>168</v>
      </c>
    </row>
    <row r="438" spans="2:6" x14ac:dyDescent="0.3">
      <c r="B438" s="12">
        <v>435</v>
      </c>
      <c r="C438" s="28">
        <v>150.50192269792265</v>
      </c>
      <c r="E438" s="14" t="s">
        <v>4471</v>
      </c>
      <c r="F438" s="11">
        <v>177</v>
      </c>
    </row>
    <row r="439" spans="2:6" x14ac:dyDescent="0.3">
      <c r="B439" s="12">
        <v>436</v>
      </c>
      <c r="C439" s="28">
        <v>156.09890580176517</v>
      </c>
      <c r="E439" s="14" t="s">
        <v>2519</v>
      </c>
      <c r="F439" s="11">
        <v>176</v>
      </c>
    </row>
    <row r="440" spans="2:6" x14ac:dyDescent="0.3">
      <c r="B440" s="12">
        <v>437</v>
      </c>
      <c r="C440" s="28">
        <v>159.03414811267291</v>
      </c>
      <c r="E440" s="14" t="s">
        <v>4710</v>
      </c>
      <c r="F440" s="11">
        <v>184</v>
      </c>
    </row>
    <row r="441" spans="2:6" x14ac:dyDescent="0.3">
      <c r="B441" s="12">
        <v>438</v>
      </c>
      <c r="C441" s="28">
        <v>174.64947550758382</v>
      </c>
      <c r="E441" s="14" t="s">
        <v>1467</v>
      </c>
      <c r="F441" s="11">
        <v>162</v>
      </c>
    </row>
    <row r="442" spans="2:6" x14ac:dyDescent="0.3">
      <c r="B442" s="12">
        <v>439</v>
      </c>
      <c r="C442" s="28">
        <v>164.07748371998332</v>
      </c>
      <c r="E442" s="14" t="s">
        <v>108</v>
      </c>
      <c r="F442" s="11">
        <v>176</v>
      </c>
    </row>
    <row r="443" spans="2:6" x14ac:dyDescent="0.3">
      <c r="B443" s="12">
        <v>440</v>
      </c>
      <c r="C443" s="28">
        <v>153.93164570129812</v>
      </c>
      <c r="E443" s="14" t="s">
        <v>2914</v>
      </c>
      <c r="F443" s="11">
        <v>166</v>
      </c>
    </row>
    <row r="444" spans="2:6" x14ac:dyDescent="0.3">
      <c r="B444" s="12">
        <v>441</v>
      </c>
      <c r="C444" s="28">
        <v>164.23116757527816</v>
      </c>
      <c r="E444" s="14" t="s">
        <v>1505</v>
      </c>
      <c r="F444" s="11">
        <v>180</v>
      </c>
    </row>
    <row r="445" spans="2:6" x14ac:dyDescent="0.3">
      <c r="B445" s="12">
        <v>442</v>
      </c>
      <c r="C445" s="28">
        <v>158.63269164231824</v>
      </c>
      <c r="E445" s="14" t="s">
        <v>2472</v>
      </c>
      <c r="F445" s="11">
        <v>156</v>
      </c>
    </row>
    <row r="446" spans="2:6" x14ac:dyDescent="0.3">
      <c r="B446" s="12">
        <v>443</v>
      </c>
      <c r="C446" s="28">
        <v>158.50955375883984</v>
      </c>
      <c r="E446" s="14" t="s">
        <v>2942</v>
      </c>
      <c r="F446" s="11">
        <v>184</v>
      </c>
    </row>
    <row r="447" spans="2:6" x14ac:dyDescent="0.3">
      <c r="B447" s="12">
        <v>444</v>
      </c>
      <c r="C447" s="28">
        <v>164.55530010350995</v>
      </c>
      <c r="E447" s="14" t="s">
        <v>102</v>
      </c>
      <c r="F447" s="11">
        <v>170</v>
      </c>
    </row>
    <row r="448" spans="2:6" x14ac:dyDescent="0.3">
      <c r="B448" s="12">
        <v>445</v>
      </c>
      <c r="C448" s="28">
        <v>165.32287040753567</v>
      </c>
      <c r="E448" s="14" t="s">
        <v>2705</v>
      </c>
      <c r="F448" s="11">
        <v>161</v>
      </c>
    </row>
    <row r="449" spans="2:6" x14ac:dyDescent="0.3">
      <c r="B449" s="12">
        <v>446</v>
      </c>
      <c r="C449" s="28">
        <v>157.67690828836223</v>
      </c>
      <c r="E449" s="14" t="s">
        <v>579</v>
      </c>
      <c r="F449" s="11">
        <v>191</v>
      </c>
    </row>
    <row r="450" spans="2:6" x14ac:dyDescent="0.3">
      <c r="B450" s="12">
        <v>447</v>
      </c>
      <c r="C450" s="28">
        <v>168.82156746784636</v>
      </c>
      <c r="E450" s="14" t="s">
        <v>157</v>
      </c>
      <c r="F450" s="11">
        <v>183</v>
      </c>
    </row>
    <row r="451" spans="2:6" x14ac:dyDescent="0.3">
      <c r="B451" s="12">
        <v>448</v>
      </c>
      <c r="C451" s="28">
        <v>158.87160999613411</v>
      </c>
      <c r="E451" s="14" t="s">
        <v>1623</v>
      </c>
      <c r="F451" s="11">
        <v>164</v>
      </c>
    </row>
    <row r="452" spans="2:6" x14ac:dyDescent="0.3">
      <c r="B452" s="12">
        <v>449</v>
      </c>
      <c r="C452" s="28">
        <v>167.58558631084105</v>
      </c>
      <c r="E452" s="14" t="s">
        <v>4334</v>
      </c>
      <c r="F452" s="11">
        <v>175</v>
      </c>
    </row>
    <row r="453" spans="2:6" x14ac:dyDescent="0.3">
      <c r="B453" s="12">
        <v>450</v>
      </c>
      <c r="C453" s="28">
        <v>154.65979103710001</v>
      </c>
      <c r="E453" s="14" t="s">
        <v>3862</v>
      </c>
      <c r="F453" s="11">
        <v>170</v>
      </c>
    </row>
    <row r="454" spans="2:6" x14ac:dyDescent="0.3">
      <c r="B454" s="12">
        <v>451</v>
      </c>
      <c r="C454" s="28">
        <v>159.38753165461307</v>
      </c>
      <c r="E454" s="14" t="s">
        <v>338</v>
      </c>
      <c r="F454" s="11">
        <v>168</v>
      </c>
    </row>
    <row r="455" spans="2:6" x14ac:dyDescent="0.3">
      <c r="B455" s="12">
        <v>452</v>
      </c>
      <c r="C455" s="28">
        <v>161.88832354206733</v>
      </c>
      <c r="E455" s="14" t="s">
        <v>4297</v>
      </c>
      <c r="F455" s="11">
        <v>166</v>
      </c>
    </row>
    <row r="456" spans="2:6" x14ac:dyDescent="0.3">
      <c r="B456" s="12">
        <v>453</v>
      </c>
      <c r="C456" s="28">
        <v>160.52597580729781</v>
      </c>
      <c r="E456" s="14" t="s">
        <v>4876</v>
      </c>
      <c r="F456" s="11">
        <v>176</v>
      </c>
    </row>
    <row r="457" spans="2:6" x14ac:dyDescent="0.3">
      <c r="B457" s="12">
        <v>454</v>
      </c>
      <c r="C457" s="28">
        <v>157.85762005044114</v>
      </c>
      <c r="E457" s="14" t="s">
        <v>2729</v>
      </c>
      <c r="F457" s="11">
        <v>170</v>
      </c>
    </row>
    <row r="458" spans="2:6" x14ac:dyDescent="0.3">
      <c r="B458" s="12">
        <v>455</v>
      </c>
      <c r="C458" s="28">
        <v>162.48754057047975</v>
      </c>
      <c r="E458" s="14" t="s">
        <v>4314</v>
      </c>
      <c r="F458" s="11">
        <v>173</v>
      </c>
    </row>
    <row r="459" spans="2:6" x14ac:dyDescent="0.3">
      <c r="B459" s="12">
        <v>456</v>
      </c>
      <c r="C459" s="28">
        <v>156.13916082934182</v>
      </c>
      <c r="E459" s="14" t="s">
        <v>3718</v>
      </c>
      <c r="F459" s="11">
        <v>171</v>
      </c>
    </row>
    <row r="460" spans="2:6" x14ac:dyDescent="0.3">
      <c r="B460" s="12">
        <v>457</v>
      </c>
      <c r="C460" s="28">
        <v>164.96930924771885</v>
      </c>
      <c r="E460" s="14" t="s">
        <v>4529</v>
      </c>
      <c r="F460" s="11">
        <v>177</v>
      </c>
    </row>
    <row r="461" spans="2:6" x14ac:dyDescent="0.3">
      <c r="B461" s="12">
        <v>458</v>
      </c>
      <c r="C461" s="28">
        <v>157.76492092989665</v>
      </c>
      <c r="E461" s="14" t="s">
        <v>1782</v>
      </c>
      <c r="F461" s="11">
        <v>168</v>
      </c>
    </row>
    <row r="462" spans="2:6" x14ac:dyDescent="0.3">
      <c r="B462" s="12">
        <v>459</v>
      </c>
      <c r="C462" s="28">
        <v>162.3327100661698</v>
      </c>
      <c r="E462" s="14" t="s">
        <v>3630</v>
      </c>
      <c r="F462" s="11">
        <v>170</v>
      </c>
    </row>
    <row r="463" spans="2:6" x14ac:dyDescent="0.3">
      <c r="B463" s="12">
        <v>460</v>
      </c>
      <c r="C463" s="28">
        <v>165.71232360056601</v>
      </c>
      <c r="E463" s="14" t="s">
        <v>4531</v>
      </c>
      <c r="F463" s="11">
        <v>168</v>
      </c>
    </row>
    <row r="464" spans="2:6" x14ac:dyDescent="0.3">
      <c r="B464" s="12">
        <v>461</v>
      </c>
      <c r="C464" s="28">
        <v>163.36737439251672</v>
      </c>
      <c r="E464" s="14" t="s">
        <v>370</v>
      </c>
      <c r="F464" s="11">
        <v>160</v>
      </c>
    </row>
    <row r="465" spans="2:6" x14ac:dyDescent="0.3">
      <c r="B465" s="12">
        <v>462</v>
      </c>
      <c r="C465" s="28">
        <v>165.19552216999793</v>
      </c>
      <c r="E465" s="14" t="s">
        <v>1090</v>
      </c>
      <c r="F465" s="11">
        <v>180</v>
      </c>
    </row>
    <row r="466" spans="2:6" x14ac:dyDescent="0.3">
      <c r="B466" s="12">
        <v>463</v>
      </c>
      <c r="C466" s="28">
        <v>145.57507973154298</v>
      </c>
      <c r="E466" s="14" t="s">
        <v>1121</v>
      </c>
      <c r="F466" s="11">
        <v>171</v>
      </c>
    </row>
    <row r="467" spans="2:6" x14ac:dyDescent="0.3">
      <c r="B467" s="12">
        <v>464</v>
      </c>
      <c r="C467" s="28">
        <v>160.5679665968002</v>
      </c>
      <c r="E467" s="14" t="s">
        <v>4630</v>
      </c>
      <c r="F467" s="11">
        <v>162</v>
      </c>
    </row>
    <row r="468" spans="2:6" x14ac:dyDescent="0.3">
      <c r="B468" s="12">
        <v>465</v>
      </c>
      <c r="C468" s="28">
        <v>169.9075508576685</v>
      </c>
      <c r="E468" s="14" t="s">
        <v>1560</v>
      </c>
      <c r="F468" s="11">
        <v>168</v>
      </c>
    </row>
    <row r="469" spans="2:6" x14ac:dyDescent="0.3">
      <c r="B469" s="12">
        <v>466</v>
      </c>
      <c r="C469" s="28">
        <v>162.49376865007611</v>
      </c>
      <c r="E469" s="14" t="s">
        <v>354</v>
      </c>
      <c r="F469" s="11">
        <v>170</v>
      </c>
    </row>
    <row r="470" spans="2:6" x14ac:dyDescent="0.3">
      <c r="B470" s="12">
        <v>467</v>
      </c>
      <c r="C470" s="28">
        <v>153.77612022553308</v>
      </c>
      <c r="E470" s="14" t="s">
        <v>468</v>
      </c>
      <c r="F470" s="11">
        <v>167</v>
      </c>
    </row>
    <row r="471" spans="2:6" x14ac:dyDescent="0.3">
      <c r="B471" s="12">
        <v>468</v>
      </c>
      <c r="C471" s="28">
        <v>165.76831016664929</v>
      </c>
      <c r="E471" s="14" t="s">
        <v>557</v>
      </c>
      <c r="F471" s="11">
        <v>183</v>
      </c>
    </row>
    <row r="472" spans="2:6" x14ac:dyDescent="0.3">
      <c r="B472" s="12">
        <v>469</v>
      </c>
      <c r="C472" s="28">
        <v>161.18345644495648</v>
      </c>
      <c r="E472" s="14" t="s">
        <v>2291</v>
      </c>
      <c r="F472" s="11">
        <v>174</v>
      </c>
    </row>
    <row r="473" spans="2:6" x14ac:dyDescent="0.3">
      <c r="B473" s="12">
        <v>470</v>
      </c>
      <c r="C473" s="28">
        <v>165.23559171544471</v>
      </c>
      <c r="E473" s="14" t="s">
        <v>3685</v>
      </c>
      <c r="F473" s="11">
        <v>166</v>
      </c>
    </row>
    <row r="474" spans="2:6" x14ac:dyDescent="0.3">
      <c r="B474" s="12">
        <v>471</v>
      </c>
      <c r="C474" s="28">
        <v>160.58364426046435</v>
      </c>
      <c r="E474" s="14" t="s">
        <v>3848</v>
      </c>
      <c r="F474" s="11">
        <v>175</v>
      </c>
    </row>
    <row r="475" spans="2:6" x14ac:dyDescent="0.3">
      <c r="B475" s="12">
        <v>472</v>
      </c>
      <c r="C475" s="28">
        <v>166.75849530769793</v>
      </c>
      <c r="E475" s="14" t="s">
        <v>4083</v>
      </c>
      <c r="F475" s="11">
        <v>173</v>
      </c>
    </row>
    <row r="476" spans="2:6" x14ac:dyDescent="0.3">
      <c r="B476" s="12">
        <v>473</v>
      </c>
      <c r="C476" s="28">
        <v>153.80239882539459</v>
      </c>
      <c r="E476" s="14" t="s">
        <v>2195</v>
      </c>
      <c r="F476" s="11">
        <v>173</v>
      </c>
    </row>
    <row r="477" spans="2:6" x14ac:dyDescent="0.3">
      <c r="B477" s="12">
        <v>474</v>
      </c>
      <c r="C477" s="28">
        <v>153.88798375868618</v>
      </c>
      <c r="E477" s="14" t="s">
        <v>1102</v>
      </c>
      <c r="F477" s="11">
        <v>172</v>
      </c>
    </row>
    <row r="478" spans="2:6" x14ac:dyDescent="0.3">
      <c r="B478" s="12">
        <v>475</v>
      </c>
      <c r="C478" s="28">
        <v>169.35287446350787</v>
      </c>
      <c r="E478" s="14" t="s">
        <v>2249</v>
      </c>
      <c r="F478" s="11">
        <v>172</v>
      </c>
    </row>
    <row r="479" spans="2:6" x14ac:dyDescent="0.3">
      <c r="B479" s="12">
        <v>476</v>
      </c>
      <c r="C479" s="28">
        <v>160.54466615278017</v>
      </c>
      <c r="E479" s="14" t="s">
        <v>4565</v>
      </c>
      <c r="F479" s="11">
        <v>185</v>
      </c>
    </row>
    <row r="480" spans="2:6" x14ac:dyDescent="0.3">
      <c r="B480" s="12">
        <v>477</v>
      </c>
      <c r="C480" s="28">
        <v>173.49917837078266</v>
      </c>
      <c r="E480" s="14" t="s">
        <v>4578</v>
      </c>
      <c r="F480" s="11">
        <v>173</v>
      </c>
    </row>
    <row r="481" spans="2:6" x14ac:dyDescent="0.3">
      <c r="B481" s="12">
        <v>478</v>
      </c>
      <c r="C481" s="28">
        <v>161.49390223814009</v>
      </c>
      <c r="E481" s="14" t="s">
        <v>1690</v>
      </c>
      <c r="F481" s="11">
        <v>172</v>
      </c>
    </row>
    <row r="482" spans="2:6" x14ac:dyDescent="0.3">
      <c r="B482" s="12">
        <v>479</v>
      </c>
      <c r="C482" s="28">
        <v>154.73178411387508</v>
      </c>
      <c r="E482" s="14" t="s">
        <v>4142</v>
      </c>
      <c r="F482" s="11">
        <v>168</v>
      </c>
    </row>
    <row r="483" spans="2:6" x14ac:dyDescent="0.3">
      <c r="B483" s="12">
        <v>480</v>
      </c>
      <c r="C483" s="28">
        <v>155.68260196462393</v>
      </c>
      <c r="E483" s="14" t="s">
        <v>3089</v>
      </c>
      <c r="F483" s="11">
        <v>161</v>
      </c>
    </row>
    <row r="484" spans="2:6" x14ac:dyDescent="0.3">
      <c r="B484" s="12">
        <v>481</v>
      </c>
      <c r="C484" s="28">
        <v>164.66591230115452</v>
      </c>
      <c r="E484" s="14" t="s">
        <v>4611</v>
      </c>
      <c r="F484" s="11">
        <v>179</v>
      </c>
    </row>
    <row r="485" spans="2:6" x14ac:dyDescent="0.3">
      <c r="B485" s="12">
        <v>482</v>
      </c>
      <c r="C485" s="28">
        <v>160.69050188553328</v>
      </c>
      <c r="E485" s="14" t="s">
        <v>2890</v>
      </c>
      <c r="F485" s="11">
        <v>172</v>
      </c>
    </row>
    <row r="486" spans="2:6" x14ac:dyDescent="0.3">
      <c r="B486" s="12">
        <v>483</v>
      </c>
      <c r="C486" s="28">
        <v>163.34285717390458</v>
      </c>
      <c r="E486" s="14" t="s">
        <v>483</v>
      </c>
      <c r="F486" s="11">
        <v>168</v>
      </c>
    </row>
    <row r="487" spans="2:6" x14ac:dyDescent="0.3">
      <c r="B487" s="12">
        <v>484</v>
      </c>
      <c r="C487" s="28">
        <v>158.97127386919865</v>
      </c>
      <c r="E487" s="14" t="s">
        <v>1377</v>
      </c>
      <c r="F487" s="11">
        <v>170</v>
      </c>
    </row>
    <row r="488" spans="2:6" x14ac:dyDescent="0.3">
      <c r="B488" s="12">
        <v>485</v>
      </c>
      <c r="C488" s="28">
        <v>170.96973514413313</v>
      </c>
      <c r="E488" s="14" t="s">
        <v>2986</v>
      </c>
      <c r="F488" s="11">
        <v>174</v>
      </c>
    </row>
    <row r="489" spans="2:6" x14ac:dyDescent="0.3">
      <c r="B489" s="12">
        <v>486</v>
      </c>
      <c r="C489" s="28">
        <v>162.71895008602098</v>
      </c>
      <c r="E489" s="14" t="s">
        <v>2758</v>
      </c>
      <c r="F489" s="11">
        <v>180</v>
      </c>
    </row>
    <row r="490" spans="2:6" x14ac:dyDescent="0.3">
      <c r="B490" s="12">
        <v>487</v>
      </c>
      <c r="C490" s="28">
        <v>163.17241688115058</v>
      </c>
      <c r="E490" s="14" t="s">
        <v>974</v>
      </c>
      <c r="F490" s="11">
        <v>180</v>
      </c>
    </row>
    <row r="491" spans="2:6" x14ac:dyDescent="0.3">
      <c r="B491" s="12">
        <v>488</v>
      </c>
      <c r="C491" s="28">
        <v>153.69933415305522</v>
      </c>
      <c r="E491" s="14" t="s">
        <v>3241</v>
      </c>
      <c r="F491" s="11">
        <v>165</v>
      </c>
    </row>
    <row r="492" spans="2:6" x14ac:dyDescent="0.3">
      <c r="B492" s="12">
        <v>489</v>
      </c>
      <c r="C492" s="28">
        <v>163.95913554120693</v>
      </c>
      <c r="E492" s="14" t="s">
        <v>790</v>
      </c>
      <c r="F492" s="11">
        <v>166</v>
      </c>
    </row>
    <row r="493" spans="2:6" x14ac:dyDescent="0.3">
      <c r="B493" s="12">
        <v>490</v>
      </c>
      <c r="C493" s="28">
        <v>167.73395624859666</v>
      </c>
      <c r="E493" s="14" t="s">
        <v>1143</v>
      </c>
      <c r="F493" s="11">
        <v>162</v>
      </c>
    </row>
    <row r="494" spans="2:6" x14ac:dyDescent="0.3">
      <c r="B494" s="12">
        <v>491</v>
      </c>
      <c r="C494" s="28">
        <v>156.71531040925447</v>
      </c>
      <c r="E494" s="14" t="s">
        <v>4317</v>
      </c>
      <c r="F494" s="11">
        <v>162</v>
      </c>
    </row>
    <row r="495" spans="2:6" x14ac:dyDescent="0.3">
      <c r="B495" s="12">
        <v>492</v>
      </c>
      <c r="C495" s="28">
        <v>161.7268087593157</v>
      </c>
      <c r="E495" s="14" t="s">
        <v>3616</v>
      </c>
      <c r="F495" s="11">
        <v>176</v>
      </c>
    </row>
    <row r="496" spans="2:6" x14ac:dyDescent="0.3">
      <c r="B496" s="12">
        <v>493</v>
      </c>
      <c r="C496" s="28">
        <v>159.9375000347122</v>
      </c>
      <c r="E496" s="14" t="s">
        <v>4478</v>
      </c>
      <c r="F496" s="11">
        <v>153</v>
      </c>
    </row>
    <row r="497" spans="2:6" x14ac:dyDescent="0.3">
      <c r="B497" s="12">
        <v>494</v>
      </c>
      <c r="C497" s="28">
        <v>173.4039564699543</v>
      </c>
      <c r="E497" s="14" t="s">
        <v>3706</v>
      </c>
      <c r="F497" s="11">
        <v>185</v>
      </c>
    </row>
    <row r="498" spans="2:6" x14ac:dyDescent="0.3">
      <c r="B498" s="12">
        <v>495</v>
      </c>
      <c r="C498" s="28">
        <v>161.01513966794835</v>
      </c>
      <c r="E498" s="14" t="s">
        <v>714</v>
      </c>
      <c r="F498" s="11">
        <v>157</v>
      </c>
    </row>
    <row r="499" spans="2:6" x14ac:dyDescent="0.3">
      <c r="B499" s="12">
        <v>496</v>
      </c>
      <c r="C499" s="28">
        <v>158.71961107022503</v>
      </c>
      <c r="E499" s="14" t="s">
        <v>3269</v>
      </c>
      <c r="F499" s="11">
        <v>176</v>
      </c>
    </row>
    <row r="500" spans="2:6" x14ac:dyDescent="0.3">
      <c r="B500" s="12">
        <v>497</v>
      </c>
      <c r="C500" s="28">
        <v>165.89675940631315</v>
      </c>
      <c r="E500" s="14" t="s">
        <v>1298</v>
      </c>
      <c r="F500" s="11">
        <v>158</v>
      </c>
    </row>
    <row r="501" spans="2:6" x14ac:dyDescent="0.3">
      <c r="B501" s="12">
        <v>498</v>
      </c>
      <c r="C501" s="28">
        <v>166.14407458316822</v>
      </c>
      <c r="E501" s="14" t="s">
        <v>1259</v>
      </c>
      <c r="F501" s="11">
        <v>183</v>
      </c>
    </row>
    <row r="502" spans="2:6" x14ac:dyDescent="0.3">
      <c r="B502" s="12">
        <v>499</v>
      </c>
      <c r="C502" s="28">
        <v>167.18285955403914</v>
      </c>
      <c r="E502" s="14" t="s">
        <v>1353</v>
      </c>
      <c r="F502" s="11">
        <v>170</v>
      </c>
    </row>
    <row r="503" spans="2:6" x14ac:dyDescent="0.3">
      <c r="B503" s="12">
        <v>500</v>
      </c>
      <c r="C503" s="28">
        <v>168.48413126493247</v>
      </c>
      <c r="E503" s="14" t="s">
        <v>3187</v>
      </c>
      <c r="F503" s="11">
        <v>157</v>
      </c>
    </row>
    <row r="504" spans="2:6" x14ac:dyDescent="0.3">
      <c r="B504" s="12">
        <v>501</v>
      </c>
      <c r="C504" s="28">
        <v>166.57818609663079</v>
      </c>
      <c r="E504" s="14" t="s">
        <v>1682</v>
      </c>
      <c r="F504" s="11">
        <v>167</v>
      </c>
    </row>
    <row r="505" spans="2:6" x14ac:dyDescent="0.3">
      <c r="B505" s="12">
        <v>502</v>
      </c>
      <c r="C505" s="28">
        <v>163.4259358472361</v>
      </c>
      <c r="E505" s="14" t="s">
        <v>1294</v>
      </c>
      <c r="F505" s="11">
        <v>180</v>
      </c>
    </row>
    <row r="506" spans="2:6" x14ac:dyDescent="0.3">
      <c r="B506" s="12">
        <v>503</v>
      </c>
      <c r="C506" s="28">
        <v>164.14434712897096</v>
      </c>
      <c r="E506" s="14" t="s">
        <v>675</v>
      </c>
      <c r="F506" s="11">
        <v>167</v>
      </c>
    </row>
    <row r="507" spans="2:6" x14ac:dyDescent="0.3">
      <c r="B507" s="12">
        <v>504</v>
      </c>
      <c r="C507" s="28">
        <v>165.54768369830063</v>
      </c>
      <c r="E507" s="14" t="s">
        <v>1177</v>
      </c>
      <c r="F507" s="11">
        <v>180</v>
      </c>
    </row>
    <row r="508" spans="2:6" x14ac:dyDescent="0.3">
      <c r="B508" s="12">
        <v>505</v>
      </c>
      <c r="C508" s="28">
        <v>157.06043562339661</v>
      </c>
      <c r="E508" s="14" t="s">
        <v>4533</v>
      </c>
      <c r="F508" s="11">
        <v>168</v>
      </c>
    </row>
    <row r="509" spans="2:6" x14ac:dyDescent="0.3">
      <c r="B509" s="12">
        <v>506</v>
      </c>
      <c r="C509" s="28">
        <v>163.57647820645533</v>
      </c>
      <c r="E509" s="14" t="s">
        <v>1374</v>
      </c>
      <c r="F509" s="11">
        <v>169</v>
      </c>
    </row>
    <row r="510" spans="2:6" x14ac:dyDescent="0.3">
      <c r="B510" s="12">
        <v>507</v>
      </c>
      <c r="C510" s="28">
        <v>164.59761979494124</v>
      </c>
      <c r="E510" s="14" t="s">
        <v>3345</v>
      </c>
      <c r="F510" s="11">
        <v>161</v>
      </c>
    </row>
    <row r="511" spans="2:6" x14ac:dyDescent="0.3">
      <c r="B511" s="12">
        <v>508</v>
      </c>
      <c r="C511" s="28">
        <v>169.41965533074952</v>
      </c>
      <c r="E511" s="14" t="s">
        <v>3846</v>
      </c>
      <c r="F511" s="11">
        <v>158</v>
      </c>
    </row>
    <row r="512" spans="2:6" x14ac:dyDescent="0.3">
      <c r="B512" s="12">
        <v>509</v>
      </c>
      <c r="C512" s="28">
        <v>162.36043536099672</v>
      </c>
      <c r="E512" s="14" t="s">
        <v>4423</v>
      </c>
      <c r="F512" s="11">
        <v>173</v>
      </c>
    </row>
    <row r="513" spans="2:6" x14ac:dyDescent="0.3">
      <c r="B513" s="12">
        <v>510</v>
      </c>
      <c r="C513" s="28">
        <v>164.22100991111606</v>
      </c>
      <c r="E513" s="14" t="s">
        <v>3181</v>
      </c>
      <c r="F513" s="11">
        <v>161</v>
      </c>
    </row>
    <row r="514" spans="2:6" x14ac:dyDescent="0.3">
      <c r="B514" s="12">
        <v>511</v>
      </c>
      <c r="C514" s="28">
        <v>168.2223204641698</v>
      </c>
      <c r="E514" s="14" t="s">
        <v>3665</v>
      </c>
      <c r="F514" s="11">
        <v>168</v>
      </c>
    </row>
    <row r="515" spans="2:6" x14ac:dyDescent="0.3">
      <c r="B515" s="12">
        <v>512</v>
      </c>
      <c r="C515" s="28">
        <v>154.7785545165421</v>
      </c>
      <c r="E515" s="14" t="s">
        <v>3820</v>
      </c>
      <c r="F515" s="11">
        <v>164</v>
      </c>
    </row>
    <row r="516" spans="2:6" x14ac:dyDescent="0.3">
      <c r="B516" s="12">
        <v>513</v>
      </c>
      <c r="C516" s="28">
        <v>158.53975551098156</v>
      </c>
      <c r="E516" s="14" t="s">
        <v>1934</v>
      </c>
      <c r="F516" s="11">
        <v>170</v>
      </c>
    </row>
    <row r="517" spans="2:6" x14ac:dyDescent="0.3">
      <c r="B517" s="12">
        <v>514</v>
      </c>
      <c r="C517" s="28">
        <v>159.98254382787923</v>
      </c>
      <c r="E517" s="14" t="s">
        <v>3976</v>
      </c>
      <c r="F517" s="11">
        <v>162</v>
      </c>
    </row>
    <row r="518" spans="2:6" x14ac:dyDescent="0.3">
      <c r="B518" s="12">
        <v>515</v>
      </c>
      <c r="C518" s="28">
        <v>153.818221028647</v>
      </c>
      <c r="E518" s="14" t="s">
        <v>3425</v>
      </c>
      <c r="F518" s="11">
        <v>160</v>
      </c>
    </row>
    <row r="519" spans="2:6" x14ac:dyDescent="0.3">
      <c r="B519" s="12">
        <v>516</v>
      </c>
      <c r="C519" s="28">
        <v>159.49410825538453</v>
      </c>
      <c r="E519" s="14" t="s">
        <v>1381</v>
      </c>
      <c r="F519" s="11">
        <v>169</v>
      </c>
    </row>
    <row r="520" spans="2:6" x14ac:dyDescent="0.3">
      <c r="B520" s="12">
        <v>517</v>
      </c>
      <c r="C520" s="28">
        <v>170.95064982904856</v>
      </c>
      <c r="E520" s="14" t="s">
        <v>3102</v>
      </c>
      <c r="F520" s="11">
        <v>189</v>
      </c>
    </row>
    <row r="521" spans="2:6" x14ac:dyDescent="0.3">
      <c r="B521" s="12">
        <v>518</v>
      </c>
      <c r="C521" s="28">
        <v>150.8513107239842</v>
      </c>
      <c r="E521" s="14" t="s">
        <v>4844</v>
      </c>
      <c r="F521" s="11">
        <v>165</v>
      </c>
    </row>
    <row r="522" spans="2:6" x14ac:dyDescent="0.3">
      <c r="B522" s="12">
        <v>519</v>
      </c>
      <c r="C522" s="28">
        <v>161.7331853955007</v>
      </c>
      <c r="E522" s="14" t="s">
        <v>3572</v>
      </c>
      <c r="F522" s="11">
        <v>155</v>
      </c>
    </row>
    <row r="523" spans="2:6" x14ac:dyDescent="0.3">
      <c r="B523" s="12">
        <v>520</v>
      </c>
      <c r="C523" s="28">
        <v>167.1802769481576</v>
      </c>
      <c r="E523" s="14" t="s">
        <v>3681</v>
      </c>
      <c r="F523" s="11">
        <v>160</v>
      </c>
    </row>
    <row r="524" spans="2:6" x14ac:dyDescent="0.3">
      <c r="B524" s="12">
        <v>521</v>
      </c>
      <c r="C524" s="28">
        <v>159.06073631768004</v>
      </c>
      <c r="E524" s="14" t="s">
        <v>3377</v>
      </c>
      <c r="F524" s="11">
        <v>164</v>
      </c>
    </row>
    <row r="525" spans="2:6" x14ac:dyDescent="0.3">
      <c r="B525" s="12">
        <v>522</v>
      </c>
      <c r="C525" s="28">
        <v>162.94500347478524</v>
      </c>
      <c r="E525" s="14" t="s">
        <v>174</v>
      </c>
      <c r="F525" s="11">
        <v>174</v>
      </c>
    </row>
    <row r="526" spans="2:6" x14ac:dyDescent="0.3">
      <c r="B526" s="12">
        <v>523</v>
      </c>
      <c r="C526" s="28">
        <v>178.19399970158855</v>
      </c>
      <c r="E526" s="14" t="s">
        <v>4065</v>
      </c>
      <c r="F526" s="11">
        <v>188</v>
      </c>
    </row>
    <row r="527" spans="2:6" x14ac:dyDescent="0.3">
      <c r="B527" s="12">
        <v>524</v>
      </c>
      <c r="C527" s="28">
        <v>173.37865029804021</v>
      </c>
      <c r="E527" s="14" t="s">
        <v>3993</v>
      </c>
      <c r="F527" s="11">
        <v>158</v>
      </c>
    </row>
    <row r="528" spans="2:6" x14ac:dyDescent="0.3">
      <c r="B528" s="12">
        <v>525</v>
      </c>
      <c r="C528" s="28">
        <v>152.31978316206926</v>
      </c>
      <c r="E528" s="14" t="s">
        <v>1395</v>
      </c>
      <c r="F528" s="11">
        <v>171</v>
      </c>
    </row>
    <row r="529" spans="2:6" x14ac:dyDescent="0.3">
      <c r="B529" s="12">
        <v>526</v>
      </c>
      <c r="C529" s="28">
        <v>148.37959515492028</v>
      </c>
      <c r="E529" s="14" t="s">
        <v>1902</v>
      </c>
      <c r="F529" s="11">
        <v>186</v>
      </c>
    </row>
    <row r="530" spans="2:6" x14ac:dyDescent="0.3">
      <c r="B530" s="12">
        <v>527</v>
      </c>
      <c r="C530" s="28">
        <v>155.72091206289613</v>
      </c>
      <c r="E530" s="14" t="s">
        <v>2883</v>
      </c>
      <c r="F530" s="11">
        <v>163</v>
      </c>
    </row>
    <row r="531" spans="2:6" x14ac:dyDescent="0.3">
      <c r="B531" s="12">
        <v>528</v>
      </c>
      <c r="C531" s="28">
        <v>161.41971709495417</v>
      </c>
      <c r="E531" s="14" t="s">
        <v>2007</v>
      </c>
      <c r="F531" s="11">
        <v>173</v>
      </c>
    </row>
    <row r="532" spans="2:6" x14ac:dyDescent="0.3">
      <c r="B532" s="12">
        <v>529</v>
      </c>
      <c r="C532" s="28">
        <v>166.18841660856984</v>
      </c>
      <c r="E532" s="14" t="s">
        <v>2312</v>
      </c>
      <c r="F532" s="11">
        <v>163</v>
      </c>
    </row>
    <row r="533" spans="2:6" x14ac:dyDescent="0.3">
      <c r="B533" s="12">
        <v>530</v>
      </c>
      <c r="C533" s="28">
        <v>156.19592281214426</v>
      </c>
      <c r="E533" s="14" t="s">
        <v>3011</v>
      </c>
      <c r="F533" s="11">
        <v>163</v>
      </c>
    </row>
    <row r="534" spans="2:6" x14ac:dyDescent="0.3">
      <c r="B534" s="12">
        <v>531</v>
      </c>
      <c r="C534" s="28">
        <v>157.81464476298802</v>
      </c>
      <c r="E534" s="14" t="s">
        <v>4073</v>
      </c>
      <c r="F534" s="11">
        <v>178</v>
      </c>
    </row>
    <row r="535" spans="2:6" x14ac:dyDescent="0.3">
      <c r="B535" s="12">
        <v>532</v>
      </c>
      <c r="C535" s="28">
        <v>161.12640842981577</v>
      </c>
      <c r="E535" s="14" t="s">
        <v>4107</v>
      </c>
      <c r="F535" s="11">
        <v>158</v>
      </c>
    </row>
    <row r="536" spans="2:6" x14ac:dyDescent="0.3">
      <c r="B536" s="12">
        <v>533</v>
      </c>
      <c r="C536" s="28">
        <v>170.10637599926812</v>
      </c>
      <c r="E536" s="14" t="s">
        <v>4133</v>
      </c>
      <c r="F536" s="11">
        <v>172</v>
      </c>
    </row>
    <row r="537" spans="2:6" x14ac:dyDescent="0.3">
      <c r="B537" s="12">
        <v>534</v>
      </c>
      <c r="C537" s="28">
        <v>163.78655289138104</v>
      </c>
      <c r="E537" s="14" t="s">
        <v>3443</v>
      </c>
      <c r="F537" s="11">
        <v>165</v>
      </c>
    </row>
    <row r="538" spans="2:6" x14ac:dyDescent="0.3">
      <c r="B538" s="12">
        <v>535</v>
      </c>
      <c r="C538" s="28">
        <v>163.00745493375587</v>
      </c>
      <c r="E538" s="14" t="s">
        <v>4344</v>
      </c>
      <c r="F538" s="11">
        <v>165</v>
      </c>
    </row>
    <row r="539" spans="2:6" x14ac:dyDescent="0.3">
      <c r="B539" s="12">
        <v>536</v>
      </c>
      <c r="C539" s="28">
        <v>170.21406792214242</v>
      </c>
      <c r="E539" s="14" t="s">
        <v>1812</v>
      </c>
      <c r="F539" s="11">
        <v>168</v>
      </c>
    </row>
    <row r="540" spans="2:6" x14ac:dyDescent="0.3">
      <c r="B540" s="12">
        <v>537</v>
      </c>
      <c r="C540" s="28">
        <v>159.21063536678432</v>
      </c>
      <c r="E540" s="14" t="s">
        <v>3048</v>
      </c>
      <c r="F540" s="11">
        <v>185</v>
      </c>
    </row>
    <row r="541" spans="2:6" x14ac:dyDescent="0.3">
      <c r="B541" s="12">
        <v>538</v>
      </c>
      <c r="C541" s="28">
        <v>165.81641825713854</v>
      </c>
      <c r="E541" s="14" t="s">
        <v>3003</v>
      </c>
      <c r="F541" s="11">
        <v>195</v>
      </c>
    </row>
    <row r="542" spans="2:6" x14ac:dyDescent="0.3">
      <c r="B542" s="12">
        <v>539</v>
      </c>
      <c r="C542" s="28">
        <v>167.99321332583432</v>
      </c>
      <c r="E542" s="14" t="s">
        <v>4395</v>
      </c>
      <c r="F542" s="11">
        <v>185</v>
      </c>
    </row>
    <row r="543" spans="2:6" x14ac:dyDescent="0.3">
      <c r="B543" s="12">
        <v>540</v>
      </c>
      <c r="C543" s="28">
        <v>163.3169407470169</v>
      </c>
      <c r="E543" s="14" t="s">
        <v>1546</v>
      </c>
      <c r="F543" s="11">
        <v>174</v>
      </c>
    </row>
    <row r="544" spans="2:6" x14ac:dyDescent="0.3">
      <c r="B544" s="12">
        <v>541</v>
      </c>
      <c r="C544" s="28">
        <v>159.08847943893562</v>
      </c>
      <c r="E544" s="14" t="s">
        <v>4294</v>
      </c>
      <c r="F544" s="11">
        <v>145</v>
      </c>
    </row>
    <row r="545" spans="2:6" x14ac:dyDescent="0.3">
      <c r="B545" s="12">
        <v>542</v>
      </c>
      <c r="C545" s="28">
        <v>160.23379445275239</v>
      </c>
      <c r="E545" s="14" t="s">
        <v>607</v>
      </c>
      <c r="F545" s="11">
        <v>175</v>
      </c>
    </row>
    <row r="546" spans="2:6" x14ac:dyDescent="0.3">
      <c r="B546" s="12">
        <v>543</v>
      </c>
      <c r="C546" s="28">
        <v>160.61034520880048</v>
      </c>
      <c r="E546" s="14" t="s">
        <v>828</v>
      </c>
      <c r="F546" s="11">
        <v>173</v>
      </c>
    </row>
    <row r="547" spans="2:6" x14ac:dyDescent="0.3">
      <c r="B547" s="12">
        <v>544</v>
      </c>
      <c r="C547" s="28">
        <v>164.6379176178354</v>
      </c>
      <c r="E547" s="14" t="s">
        <v>139</v>
      </c>
      <c r="F547" s="11">
        <v>164</v>
      </c>
    </row>
    <row r="548" spans="2:6" x14ac:dyDescent="0.3">
      <c r="B548" s="12">
        <v>545</v>
      </c>
      <c r="C548" s="28">
        <v>154.96170223676182</v>
      </c>
      <c r="E548" s="14" t="s">
        <v>841</v>
      </c>
      <c r="F548" s="11">
        <v>170</v>
      </c>
    </row>
    <row r="549" spans="2:6" x14ac:dyDescent="0.3">
      <c r="B549" s="12">
        <v>546</v>
      </c>
      <c r="C549" s="28">
        <v>164.44789567063165</v>
      </c>
      <c r="E549" s="14" t="s">
        <v>2265</v>
      </c>
      <c r="F549" s="11">
        <v>163</v>
      </c>
    </row>
    <row r="550" spans="2:6" x14ac:dyDescent="0.3">
      <c r="B550" s="12">
        <v>547</v>
      </c>
      <c r="C550" s="28">
        <v>160.38618962883595</v>
      </c>
      <c r="E550" s="14" t="s">
        <v>2775</v>
      </c>
      <c r="F550" s="11">
        <v>153</v>
      </c>
    </row>
    <row r="551" spans="2:6" x14ac:dyDescent="0.3">
      <c r="B551" s="12">
        <v>548</v>
      </c>
      <c r="C551" s="28">
        <v>160.3786705387738</v>
      </c>
      <c r="E551" s="14" t="s">
        <v>4275</v>
      </c>
      <c r="F551" s="11">
        <v>177</v>
      </c>
    </row>
    <row r="552" spans="2:6" x14ac:dyDescent="0.3">
      <c r="B552" s="12">
        <v>549</v>
      </c>
      <c r="C552" s="28">
        <v>163.49013282695947</v>
      </c>
      <c r="E552" s="14" t="s">
        <v>4136</v>
      </c>
      <c r="F552" s="11">
        <v>180</v>
      </c>
    </row>
    <row r="553" spans="2:6" x14ac:dyDescent="0.3">
      <c r="B553" s="12">
        <v>550</v>
      </c>
      <c r="C553" s="28">
        <v>160.57241925218187</v>
      </c>
      <c r="E553" s="14" t="s">
        <v>95</v>
      </c>
      <c r="F553" s="11">
        <v>169</v>
      </c>
    </row>
    <row r="554" spans="2:6" x14ac:dyDescent="0.3">
      <c r="B554" s="12">
        <v>551</v>
      </c>
      <c r="C554" s="28">
        <v>154.45174191366365</v>
      </c>
      <c r="E554" s="14" t="s">
        <v>2591</v>
      </c>
      <c r="F554" s="11">
        <v>180</v>
      </c>
    </row>
    <row r="555" spans="2:6" x14ac:dyDescent="0.3">
      <c r="B555" s="12">
        <v>552</v>
      </c>
      <c r="C555" s="28">
        <v>153.50734896628521</v>
      </c>
      <c r="E555" s="14" t="s">
        <v>1057</v>
      </c>
      <c r="F555" s="11">
        <v>173</v>
      </c>
    </row>
    <row r="556" spans="2:6" x14ac:dyDescent="0.3">
      <c r="B556" s="12">
        <v>553</v>
      </c>
      <c r="C556" s="28">
        <v>168.59768786230879</v>
      </c>
      <c r="E556" s="14" t="s">
        <v>2930</v>
      </c>
      <c r="F556" s="11">
        <v>169</v>
      </c>
    </row>
    <row r="557" spans="2:6" x14ac:dyDescent="0.3">
      <c r="B557" s="12">
        <v>554</v>
      </c>
      <c r="C557" s="28">
        <v>171.77799815738084</v>
      </c>
      <c r="E557" s="14" t="s">
        <v>3293</v>
      </c>
      <c r="F557" s="11">
        <v>171</v>
      </c>
    </row>
    <row r="558" spans="2:6" x14ac:dyDescent="0.3">
      <c r="B558" s="12">
        <v>555</v>
      </c>
      <c r="C558" s="28">
        <v>160.25292596858452</v>
      </c>
      <c r="E558" s="14" t="s">
        <v>3002</v>
      </c>
      <c r="F558" s="11">
        <v>169</v>
      </c>
    </row>
    <row r="559" spans="2:6" x14ac:dyDescent="0.3">
      <c r="B559" s="12">
        <v>556</v>
      </c>
      <c r="C559" s="28">
        <v>171.53995345048034</v>
      </c>
      <c r="E559" s="14" t="s">
        <v>934</v>
      </c>
      <c r="F559" s="11">
        <v>171</v>
      </c>
    </row>
    <row r="560" spans="2:6" x14ac:dyDescent="0.3">
      <c r="B560" s="12">
        <v>557</v>
      </c>
      <c r="C560" s="28">
        <v>166.11863802936276</v>
      </c>
      <c r="E560" s="14" t="s">
        <v>4233</v>
      </c>
      <c r="F560" s="11">
        <v>164</v>
      </c>
    </row>
    <row r="561" spans="2:6" x14ac:dyDescent="0.3">
      <c r="B561" s="12">
        <v>558</v>
      </c>
      <c r="C561" s="28">
        <v>149.8522377398931</v>
      </c>
      <c r="E561" s="14" t="s">
        <v>4396</v>
      </c>
      <c r="F561" s="11">
        <v>183</v>
      </c>
    </row>
    <row r="562" spans="2:6" x14ac:dyDescent="0.3">
      <c r="B562" s="12">
        <v>559</v>
      </c>
      <c r="C562" s="28">
        <v>169.08510819150911</v>
      </c>
      <c r="E562" s="14" t="s">
        <v>3069</v>
      </c>
      <c r="F562" s="11">
        <v>165</v>
      </c>
    </row>
    <row r="563" spans="2:6" x14ac:dyDescent="0.3">
      <c r="B563" s="12">
        <v>560</v>
      </c>
      <c r="C563" s="28">
        <v>170.50989581375796</v>
      </c>
      <c r="E563" s="14" t="s">
        <v>4183</v>
      </c>
      <c r="F563" s="11">
        <v>168</v>
      </c>
    </row>
    <row r="564" spans="2:6" x14ac:dyDescent="0.3">
      <c r="B564" s="12">
        <v>561</v>
      </c>
      <c r="C564" s="28">
        <v>157.4585650649972</v>
      </c>
      <c r="E564" s="14" t="s">
        <v>4226</v>
      </c>
      <c r="F564" s="11">
        <v>165</v>
      </c>
    </row>
    <row r="565" spans="2:6" x14ac:dyDescent="0.3">
      <c r="B565" s="12">
        <v>562</v>
      </c>
      <c r="C565" s="28">
        <v>165.38210170181125</v>
      </c>
      <c r="E565" s="14" t="s">
        <v>3133</v>
      </c>
      <c r="F565" s="11">
        <v>169</v>
      </c>
    </row>
    <row r="566" spans="2:6" x14ac:dyDescent="0.3">
      <c r="B566" s="12">
        <v>563</v>
      </c>
      <c r="C566" s="28">
        <v>165.66082684376443</v>
      </c>
      <c r="E566" s="14" t="s">
        <v>2241</v>
      </c>
      <c r="F566" s="11">
        <v>172</v>
      </c>
    </row>
    <row r="567" spans="2:6" x14ac:dyDescent="0.3">
      <c r="B567" s="12">
        <v>564</v>
      </c>
      <c r="C567" s="28">
        <v>156.4655166028187</v>
      </c>
      <c r="E567" s="14" t="s">
        <v>840</v>
      </c>
      <c r="F567" s="11">
        <v>175</v>
      </c>
    </row>
    <row r="568" spans="2:6" x14ac:dyDescent="0.3">
      <c r="B568" s="12">
        <v>565</v>
      </c>
      <c r="C568" s="28">
        <v>168.39032730837894</v>
      </c>
      <c r="E568" s="14" t="s">
        <v>82</v>
      </c>
      <c r="F568" s="11">
        <v>160</v>
      </c>
    </row>
    <row r="569" spans="2:6" x14ac:dyDescent="0.3">
      <c r="B569" s="12">
        <v>566</v>
      </c>
      <c r="C569" s="28">
        <v>159.04581007499132</v>
      </c>
      <c r="E569" s="14" t="s">
        <v>4822</v>
      </c>
      <c r="F569" s="11">
        <v>164</v>
      </c>
    </row>
    <row r="570" spans="2:6" x14ac:dyDescent="0.3">
      <c r="B570" s="12">
        <v>567</v>
      </c>
      <c r="C570" s="28">
        <v>176.09800106932113</v>
      </c>
      <c r="E570" s="14" t="s">
        <v>1284</v>
      </c>
      <c r="F570" s="11">
        <v>170</v>
      </c>
    </row>
    <row r="571" spans="2:6" x14ac:dyDescent="0.3">
      <c r="B571" s="12">
        <v>568</v>
      </c>
      <c r="C571" s="28">
        <v>160.62468786339909</v>
      </c>
      <c r="E571" s="14" t="s">
        <v>3288</v>
      </c>
      <c r="F571" s="11">
        <v>174</v>
      </c>
    </row>
    <row r="572" spans="2:6" x14ac:dyDescent="0.3">
      <c r="B572" s="12">
        <v>569</v>
      </c>
      <c r="C572" s="28">
        <v>165.13412490312166</v>
      </c>
      <c r="E572" s="14" t="s">
        <v>4441</v>
      </c>
      <c r="F572" s="11">
        <v>170</v>
      </c>
    </row>
    <row r="573" spans="2:6" x14ac:dyDescent="0.3">
      <c r="B573" s="12">
        <v>570</v>
      </c>
      <c r="C573" s="28">
        <v>154.11413463081101</v>
      </c>
      <c r="E573" s="14" t="s">
        <v>4184</v>
      </c>
      <c r="F573" s="11">
        <v>154</v>
      </c>
    </row>
    <row r="574" spans="2:6" x14ac:dyDescent="0.3">
      <c r="B574" s="12">
        <v>571</v>
      </c>
      <c r="C574" s="28">
        <v>166.08219470340399</v>
      </c>
      <c r="E574" s="14" t="s">
        <v>2935</v>
      </c>
      <c r="F574" s="11">
        <v>164</v>
      </c>
    </row>
    <row r="575" spans="2:6" x14ac:dyDescent="0.3">
      <c r="B575" s="12">
        <v>572</v>
      </c>
      <c r="C575" s="28">
        <v>160.28123828540097</v>
      </c>
      <c r="E575" s="14" t="s">
        <v>650</v>
      </c>
      <c r="F575" s="11">
        <v>175</v>
      </c>
    </row>
    <row r="576" spans="2:6" x14ac:dyDescent="0.3">
      <c r="B576" s="12">
        <v>573</v>
      </c>
      <c r="C576" s="28">
        <v>160.08152759267</v>
      </c>
      <c r="E576" s="14" t="s">
        <v>1834</v>
      </c>
      <c r="F576" s="11">
        <v>180</v>
      </c>
    </row>
    <row r="577" spans="2:6" x14ac:dyDescent="0.3">
      <c r="B577" s="12">
        <v>574</v>
      </c>
      <c r="C577" s="28">
        <v>163.81854381966804</v>
      </c>
      <c r="E577" s="14" t="s">
        <v>1011</v>
      </c>
      <c r="F577" s="11">
        <v>163</v>
      </c>
    </row>
    <row r="578" spans="2:6" x14ac:dyDescent="0.3">
      <c r="B578" s="12">
        <v>575</v>
      </c>
      <c r="C578" s="28">
        <v>161.7195468672073</v>
      </c>
      <c r="E578" s="14" t="s">
        <v>416</v>
      </c>
      <c r="F578" s="11">
        <v>175</v>
      </c>
    </row>
    <row r="579" spans="2:6" x14ac:dyDescent="0.3">
      <c r="B579" s="12">
        <v>576</v>
      </c>
      <c r="C579" s="28">
        <v>157.75878288800459</v>
      </c>
      <c r="E579" s="14" t="s">
        <v>3359</v>
      </c>
      <c r="F579" s="11">
        <v>172</v>
      </c>
    </row>
    <row r="580" spans="2:6" x14ac:dyDescent="0.3">
      <c r="B580" s="12">
        <v>577</v>
      </c>
      <c r="C580" s="28">
        <v>170.35478668602357</v>
      </c>
      <c r="E580" s="14" t="s">
        <v>271</v>
      </c>
      <c r="F580" s="11">
        <v>167</v>
      </c>
    </row>
    <row r="581" spans="2:6" x14ac:dyDescent="0.3">
      <c r="B581" s="12">
        <v>578</v>
      </c>
      <c r="C581" s="28">
        <v>163.97325202085707</v>
      </c>
      <c r="E581" s="14" t="s">
        <v>272</v>
      </c>
      <c r="F581" s="11">
        <v>182</v>
      </c>
    </row>
    <row r="582" spans="2:6" x14ac:dyDescent="0.3">
      <c r="B582" s="12">
        <v>579</v>
      </c>
      <c r="C582" s="28">
        <v>167.65269644155831</v>
      </c>
      <c r="E582" s="14" t="s">
        <v>273</v>
      </c>
      <c r="F582" s="11">
        <v>175</v>
      </c>
    </row>
    <row r="583" spans="2:6" x14ac:dyDescent="0.3">
      <c r="B583" s="12">
        <v>580</v>
      </c>
      <c r="C583" s="28">
        <v>162.11817871560089</v>
      </c>
      <c r="E583" s="14" t="s">
        <v>274</v>
      </c>
      <c r="F583" s="11">
        <v>173</v>
      </c>
    </row>
    <row r="584" spans="2:6" x14ac:dyDescent="0.3">
      <c r="B584" s="12">
        <v>581</v>
      </c>
      <c r="C584" s="28">
        <v>171.74634923364451</v>
      </c>
      <c r="E584" s="14" t="s">
        <v>614</v>
      </c>
      <c r="F584" s="11">
        <v>190</v>
      </c>
    </row>
    <row r="585" spans="2:6" x14ac:dyDescent="0.3">
      <c r="B585" s="12">
        <v>582</v>
      </c>
      <c r="C585" s="28">
        <v>169.00777440754527</v>
      </c>
      <c r="E585" s="14" t="s">
        <v>278</v>
      </c>
      <c r="F585" s="11">
        <v>168</v>
      </c>
    </row>
    <row r="586" spans="2:6" x14ac:dyDescent="0.3">
      <c r="B586" s="12">
        <v>583</v>
      </c>
      <c r="C586" s="28">
        <v>158.84565338310128</v>
      </c>
      <c r="E586" s="14" t="s">
        <v>299</v>
      </c>
      <c r="F586" s="11">
        <v>173</v>
      </c>
    </row>
    <row r="587" spans="2:6" x14ac:dyDescent="0.3">
      <c r="B587" s="12">
        <v>584</v>
      </c>
      <c r="C587" s="28">
        <v>175.40815623366939</v>
      </c>
      <c r="E587" s="14" t="s">
        <v>581</v>
      </c>
      <c r="F587" s="11">
        <v>172</v>
      </c>
    </row>
    <row r="588" spans="2:6" x14ac:dyDescent="0.3">
      <c r="B588" s="12">
        <v>585</v>
      </c>
      <c r="C588" s="28">
        <v>163.06331448418462</v>
      </c>
      <c r="E588" s="14" t="s">
        <v>2181</v>
      </c>
      <c r="F588" s="11">
        <v>167</v>
      </c>
    </row>
    <row r="589" spans="2:6" x14ac:dyDescent="0.3">
      <c r="B589" s="12">
        <v>586</v>
      </c>
      <c r="C589" s="28">
        <v>165.26742237143603</v>
      </c>
      <c r="E589" s="14" t="s">
        <v>2325</v>
      </c>
      <c r="F589" s="11">
        <v>162</v>
      </c>
    </row>
    <row r="590" spans="2:6" x14ac:dyDescent="0.3">
      <c r="B590" s="12">
        <v>587</v>
      </c>
      <c r="C590" s="28">
        <v>160.46892274047963</v>
      </c>
      <c r="E590" s="14" t="s">
        <v>2677</v>
      </c>
      <c r="F590" s="11">
        <v>171</v>
      </c>
    </row>
    <row r="591" spans="2:6" x14ac:dyDescent="0.3">
      <c r="B591" s="12">
        <v>588</v>
      </c>
      <c r="C591" s="28">
        <v>159.74690107242907</v>
      </c>
      <c r="E591" s="14" t="s">
        <v>4201</v>
      </c>
      <c r="F591" s="11">
        <v>173</v>
      </c>
    </row>
    <row r="592" spans="2:6" x14ac:dyDescent="0.3">
      <c r="B592" s="12">
        <v>589</v>
      </c>
      <c r="C592" s="28">
        <v>156.211235797184</v>
      </c>
      <c r="E592" s="14" t="s">
        <v>3097</v>
      </c>
      <c r="F592" s="11">
        <v>175</v>
      </c>
    </row>
    <row r="593" spans="2:6" x14ac:dyDescent="0.3">
      <c r="B593" s="12">
        <v>590</v>
      </c>
      <c r="C593" s="28">
        <v>158.77340219499993</v>
      </c>
      <c r="E593" s="14" t="s">
        <v>285</v>
      </c>
      <c r="F593" s="11">
        <v>169</v>
      </c>
    </row>
    <row r="594" spans="2:6" x14ac:dyDescent="0.3">
      <c r="B594" s="12">
        <v>591</v>
      </c>
      <c r="C594" s="28">
        <v>167.17669512311451</v>
      </c>
      <c r="E594" s="14" t="s">
        <v>1663</v>
      </c>
      <c r="F594" s="11">
        <v>180</v>
      </c>
    </row>
    <row r="595" spans="2:6" x14ac:dyDescent="0.3">
      <c r="B595" s="12">
        <v>592</v>
      </c>
      <c r="C595" s="28">
        <v>159.25616528283072</v>
      </c>
      <c r="E595" s="14" t="s">
        <v>2132</v>
      </c>
      <c r="F595" s="11">
        <v>165</v>
      </c>
    </row>
    <row r="596" spans="2:6" x14ac:dyDescent="0.3">
      <c r="B596" s="12">
        <v>593</v>
      </c>
      <c r="C596" s="28">
        <v>157.49144718947946</v>
      </c>
      <c r="E596" s="14" t="s">
        <v>2864</v>
      </c>
      <c r="F596" s="11">
        <v>168</v>
      </c>
    </row>
    <row r="597" spans="2:6" x14ac:dyDescent="0.3">
      <c r="B597" s="12">
        <v>594</v>
      </c>
      <c r="C597" s="28">
        <v>162.95903518221684</v>
      </c>
      <c r="E597" s="14" t="s">
        <v>4080</v>
      </c>
      <c r="F597" s="11">
        <v>182</v>
      </c>
    </row>
    <row r="598" spans="2:6" x14ac:dyDescent="0.3">
      <c r="B598" s="12">
        <v>595</v>
      </c>
      <c r="C598" s="28">
        <v>155.00407144704354</v>
      </c>
      <c r="E598" s="14" t="s">
        <v>3884</v>
      </c>
      <c r="F598" s="11">
        <v>175</v>
      </c>
    </row>
    <row r="599" spans="2:6" x14ac:dyDescent="0.3">
      <c r="B599" s="12">
        <v>596</v>
      </c>
      <c r="C599" s="28">
        <v>159.36735882606246</v>
      </c>
      <c r="E599" s="14" t="s">
        <v>4149</v>
      </c>
      <c r="F599" s="11">
        <v>164</v>
      </c>
    </row>
    <row r="600" spans="2:6" x14ac:dyDescent="0.3">
      <c r="B600" s="12">
        <v>597</v>
      </c>
      <c r="C600" s="28">
        <v>159.41985876408216</v>
      </c>
      <c r="E600" s="14" t="s">
        <v>4887</v>
      </c>
      <c r="F600" s="11">
        <v>177</v>
      </c>
    </row>
    <row r="601" spans="2:6" x14ac:dyDescent="0.3">
      <c r="B601" s="12">
        <v>598</v>
      </c>
      <c r="C601" s="28">
        <v>166.49398329093617</v>
      </c>
      <c r="E601" s="14" t="s">
        <v>1124</v>
      </c>
      <c r="F601" s="11">
        <v>182</v>
      </c>
    </row>
    <row r="602" spans="2:6" x14ac:dyDescent="0.3">
      <c r="B602" s="12">
        <v>599</v>
      </c>
      <c r="C602" s="28">
        <v>160.31277944537464</v>
      </c>
      <c r="E602" s="14" t="s">
        <v>1929</v>
      </c>
      <c r="F602" s="11">
        <v>182</v>
      </c>
    </row>
    <row r="603" spans="2:6" x14ac:dyDescent="0.3">
      <c r="B603" s="12">
        <v>600</v>
      </c>
      <c r="C603" s="28">
        <v>161.89651300732385</v>
      </c>
      <c r="E603" s="14" t="s">
        <v>343</v>
      </c>
      <c r="F603" s="11">
        <v>160</v>
      </c>
    </row>
    <row r="604" spans="2:6" x14ac:dyDescent="0.3">
      <c r="B604" s="12">
        <v>601</v>
      </c>
      <c r="C604" s="28">
        <v>171.40351061401554</v>
      </c>
      <c r="E604" s="14" t="s">
        <v>344</v>
      </c>
      <c r="F604" s="11">
        <v>176</v>
      </c>
    </row>
    <row r="605" spans="2:6" x14ac:dyDescent="0.3">
      <c r="B605" s="12">
        <v>602</v>
      </c>
      <c r="C605" s="28">
        <v>151.79587748052583</v>
      </c>
      <c r="E605" s="14" t="s">
        <v>2807</v>
      </c>
      <c r="F605" s="11">
        <v>170</v>
      </c>
    </row>
    <row r="606" spans="2:6" x14ac:dyDescent="0.3">
      <c r="B606" s="12">
        <v>603</v>
      </c>
      <c r="C606" s="28">
        <v>162.62847779040686</v>
      </c>
      <c r="E606" s="14" t="s">
        <v>2971</v>
      </c>
      <c r="F606" s="11">
        <v>167</v>
      </c>
    </row>
    <row r="607" spans="2:6" x14ac:dyDescent="0.3">
      <c r="B607" s="12">
        <v>604</v>
      </c>
      <c r="C607" s="28">
        <v>162.38826535609229</v>
      </c>
      <c r="E607" s="14" t="s">
        <v>3863</v>
      </c>
      <c r="F607" s="11">
        <v>177</v>
      </c>
    </row>
    <row r="608" spans="2:6" x14ac:dyDescent="0.3">
      <c r="B608" s="12">
        <v>605</v>
      </c>
      <c r="C608" s="28">
        <v>173.38511300678277</v>
      </c>
      <c r="E608" s="14" t="s">
        <v>326</v>
      </c>
      <c r="F608" s="11">
        <v>165</v>
      </c>
    </row>
    <row r="609" spans="2:6" x14ac:dyDescent="0.3">
      <c r="B609" s="12">
        <v>606</v>
      </c>
      <c r="C609" s="28">
        <v>153.10170589401949</v>
      </c>
      <c r="E609" s="14" t="s">
        <v>620</v>
      </c>
      <c r="F609" s="11">
        <v>175</v>
      </c>
    </row>
    <row r="610" spans="2:6" x14ac:dyDescent="0.3">
      <c r="B610" s="12">
        <v>607</v>
      </c>
      <c r="C610" s="28">
        <v>160.62585276818638</v>
      </c>
      <c r="E610" s="14" t="s">
        <v>752</v>
      </c>
      <c r="F610" s="11">
        <v>170</v>
      </c>
    </row>
    <row r="611" spans="2:6" x14ac:dyDescent="0.3">
      <c r="B611" s="12">
        <v>608</v>
      </c>
      <c r="C611" s="28">
        <v>165.96290138214783</v>
      </c>
      <c r="E611" s="14" t="s">
        <v>1550</v>
      </c>
      <c r="F611" s="11">
        <v>162</v>
      </c>
    </row>
    <row r="612" spans="2:6" x14ac:dyDescent="0.3">
      <c r="B612" s="12">
        <v>609</v>
      </c>
      <c r="C612" s="28">
        <v>157.65610746041153</v>
      </c>
      <c r="E612" s="14" t="s">
        <v>4760</v>
      </c>
      <c r="F612" s="11">
        <v>159</v>
      </c>
    </row>
    <row r="613" spans="2:6" x14ac:dyDescent="0.3">
      <c r="B613" s="12">
        <v>610</v>
      </c>
      <c r="C613" s="28">
        <v>167.60853014124538</v>
      </c>
      <c r="E613" s="14" t="s">
        <v>3406</v>
      </c>
      <c r="F613" s="11">
        <v>150</v>
      </c>
    </row>
    <row r="614" spans="2:6" x14ac:dyDescent="0.3">
      <c r="B614" s="12">
        <v>611</v>
      </c>
      <c r="C614" s="28">
        <v>161.54438529342906</v>
      </c>
      <c r="E614" s="14" t="s">
        <v>1244</v>
      </c>
      <c r="F614" s="11">
        <v>176</v>
      </c>
    </row>
    <row r="615" spans="2:6" x14ac:dyDescent="0.3">
      <c r="B615" s="12">
        <v>612</v>
      </c>
      <c r="C615" s="28">
        <v>148.89785885975374</v>
      </c>
      <c r="E615" s="14" t="s">
        <v>2923</v>
      </c>
      <c r="F615" s="11">
        <v>172</v>
      </c>
    </row>
    <row r="616" spans="2:6" x14ac:dyDescent="0.3">
      <c r="B616" s="12">
        <v>613</v>
      </c>
      <c r="C616" s="28">
        <v>158.3731099002384</v>
      </c>
      <c r="E616" s="14" t="s">
        <v>1232</v>
      </c>
      <c r="F616" s="11">
        <v>163</v>
      </c>
    </row>
    <row r="617" spans="2:6" x14ac:dyDescent="0.3">
      <c r="B617" s="12">
        <v>614</v>
      </c>
      <c r="C617" s="28">
        <v>157.64374054647305</v>
      </c>
      <c r="E617" s="14" t="s">
        <v>3190</v>
      </c>
      <c r="F617" s="11">
        <v>176</v>
      </c>
    </row>
    <row r="618" spans="2:6" x14ac:dyDescent="0.3">
      <c r="B618" s="12">
        <v>615</v>
      </c>
      <c r="C618" s="28">
        <v>165.43781604580343</v>
      </c>
      <c r="E618" s="14" t="s">
        <v>3274</v>
      </c>
      <c r="F618" s="11">
        <v>163</v>
      </c>
    </row>
    <row r="619" spans="2:6" x14ac:dyDescent="0.3">
      <c r="B619" s="12">
        <v>616</v>
      </c>
      <c r="C619" s="28">
        <v>162.00234436071838</v>
      </c>
      <c r="E619" s="14" t="s">
        <v>3331</v>
      </c>
      <c r="F619" s="11">
        <v>167</v>
      </c>
    </row>
    <row r="620" spans="2:6" x14ac:dyDescent="0.3">
      <c r="B620" s="12">
        <v>617</v>
      </c>
      <c r="C620" s="28">
        <v>156.45307920837453</v>
      </c>
      <c r="E620" s="14" t="s">
        <v>350</v>
      </c>
      <c r="F620" s="11">
        <v>176</v>
      </c>
    </row>
    <row r="621" spans="2:6" x14ac:dyDescent="0.3">
      <c r="B621" s="12">
        <v>618</v>
      </c>
      <c r="C621" s="28">
        <v>160.37742860781344</v>
      </c>
      <c r="E621" s="14" t="s">
        <v>1536</v>
      </c>
      <c r="F621" s="11">
        <v>167</v>
      </c>
    </row>
    <row r="622" spans="2:6" x14ac:dyDescent="0.3">
      <c r="B622" s="12">
        <v>619</v>
      </c>
      <c r="C622" s="28">
        <v>155.92473271944451</v>
      </c>
      <c r="E622" s="14" t="s">
        <v>1361</v>
      </c>
      <c r="F622" s="11">
        <v>164</v>
      </c>
    </row>
    <row r="623" spans="2:6" x14ac:dyDescent="0.3">
      <c r="B623" s="12">
        <v>620</v>
      </c>
      <c r="C623" s="28">
        <v>158.50631546649731</v>
      </c>
      <c r="E623" s="14" t="s">
        <v>1535</v>
      </c>
      <c r="F623" s="11">
        <v>169</v>
      </c>
    </row>
    <row r="624" spans="2:6" x14ac:dyDescent="0.3">
      <c r="B624" s="12">
        <v>621</v>
      </c>
      <c r="C624" s="28">
        <v>160.27310204259274</v>
      </c>
      <c r="E624" s="14" t="s">
        <v>782</v>
      </c>
      <c r="F624" s="11">
        <v>164</v>
      </c>
    </row>
    <row r="625" spans="2:6" x14ac:dyDescent="0.3">
      <c r="B625" s="12">
        <v>622</v>
      </c>
      <c r="C625" s="28">
        <v>165.82923258495052</v>
      </c>
      <c r="E625" s="14" t="s">
        <v>1697</v>
      </c>
      <c r="F625" s="11">
        <v>167</v>
      </c>
    </row>
    <row r="626" spans="2:6" x14ac:dyDescent="0.3">
      <c r="B626" s="12">
        <v>623</v>
      </c>
      <c r="C626" s="28">
        <v>172.29696225446355</v>
      </c>
      <c r="E626" s="14" t="s">
        <v>4413</v>
      </c>
      <c r="F626" s="11">
        <v>160</v>
      </c>
    </row>
    <row r="627" spans="2:6" x14ac:dyDescent="0.3">
      <c r="B627" s="12">
        <v>624</v>
      </c>
      <c r="C627" s="28">
        <v>154.6888015311884</v>
      </c>
      <c r="E627" s="14" t="s">
        <v>671</v>
      </c>
      <c r="F627" s="11">
        <v>163</v>
      </c>
    </row>
    <row r="628" spans="2:6" x14ac:dyDescent="0.3">
      <c r="B628" s="12">
        <v>625</v>
      </c>
      <c r="C628" s="28">
        <v>157.51012527313361</v>
      </c>
      <c r="E628" s="14" t="s">
        <v>1171</v>
      </c>
      <c r="F628" s="11">
        <v>165</v>
      </c>
    </row>
    <row r="629" spans="2:6" x14ac:dyDescent="0.3">
      <c r="B629" s="12">
        <v>626</v>
      </c>
      <c r="C629" s="28">
        <v>172.73546599362092</v>
      </c>
      <c r="E629" s="14" t="s">
        <v>1479</v>
      </c>
      <c r="F629" s="11">
        <v>175</v>
      </c>
    </row>
    <row r="630" spans="2:6" x14ac:dyDescent="0.3">
      <c r="B630" s="12">
        <v>627</v>
      </c>
      <c r="C630" s="28">
        <v>163.62340697987264</v>
      </c>
      <c r="E630" s="14" t="s">
        <v>3509</v>
      </c>
      <c r="F630" s="11">
        <v>158</v>
      </c>
    </row>
    <row r="631" spans="2:6" x14ac:dyDescent="0.3">
      <c r="B631" s="12">
        <v>628</v>
      </c>
      <c r="C631" s="28">
        <v>164.44469110210073</v>
      </c>
      <c r="E631" s="14" t="s">
        <v>4208</v>
      </c>
      <c r="F631" s="11">
        <v>159</v>
      </c>
    </row>
    <row r="632" spans="2:6" x14ac:dyDescent="0.3">
      <c r="B632" s="12">
        <v>629</v>
      </c>
      <c r="C632" s="28">
        <v>155.3906398133617</v>
      </c>
      <c r="E632" s="14" t="s">
        <v>419</v>
      </c>
      <c r="F632" s="11">
        <v>179</v>
      </c>
    </row>
    <row r="633" spans="2:6" x14ac:dyDescent="0.3">
      <c r="B633" s="12">
        <v>630</v>
      </c>
      <c r="C633" s="28">
        <v>175.58718933301981</v>
      </c>
      <c r="E633" s="14" t="s">
        <v>480</v>
      </c>
      <c r="F633" s="11">
        <v>157</v>
      </c>
    </row>
    <row r="634" spans="2:6" x14ac:dyDescent="0.3">
      <c r="B634" s="12">
        <v>631</v>
      </c>
      <c r="C634" s="28">
        <v>151.79470815649697</v>
      </c>
      <c r="E634" s="14" t="s">
        <v>1362</v>
      </c>
      <c r="F634" s="11">
        <v>173</v>
      </c>
    </row>
    <row r="635" spans="2:6" x14ac:dyDescent="0.3">
      <c r="B635" s="12">
        <v>632</v>
      </c>
      <c r="C635" s="28">
        <v>162.26259611894204</v>
      </c>
      <c r="E635" s="14" t="s">
        <v>1274</v>
      </c>
      <c r="F635" s="11">
        <v>183</v>
      </c>
    </row>
    <row r="636" spans="2:6" x14ac:dyDescent="0.3">
      <c r="B636" s="12">
        <v>633</v>
      </c>
      <c r="C636" s="28">
        <v>161.5411872029388</v>
      </c>
      <c r="E636" s="14" t="s">
        <v>3744</v>
      </c>
      <c r="F636" s="11">
        <v>172</v>
      </c>
    </row>
    <row r="637" spans="2:6" x14ac:dyDescent="0.3">
      <c r="B637" s="12">
        <v>634</v>
      </c>
      <c r="C637" s="28">
        <v>168.91072175872034</v>
      </c>
      <c r="E637" s="14" t="s">
        <v>3469</v>
      </c>
      <c r="F637" s="11">
        <v>170</v>
      </c>
    </row>
    <row r="638" spans="2:6" x14ac:dyDescent="0.3">
      <c r="B638" s="12">
        <v>635</v>
      </c>
      <c r="C638" s="28">
        <v>163.56899103626839</v>
      </c>
      <c r="E638" s="14" t="s">
        <v>2687</v>
      </c>
      <c r="F638" s="11">
        <v>168</v>
      </c>
    </row>
    <row r="639" spans="2:6" x14ac:dyDescent="0.3">
      <c r="B639" s="12">
        <v>636</v>
      </c>
      <c r="C639" s="28">
        <v>171.59198222762095</v>
      </c>
      <c r="E639" s="14" t="s">
        <v>1616</v>
      </c>
      <c r="F639" s="11">
        <v>157</v>
      </c>
    </row>
    <row r="640" spans="2:6" x14ac:dyDescent="0.3">
      <c r="B640" s="12">
        <v>637</v>
      </c>
      <c r="C640" s="28">
        <v>161.25859817538367</v>
      </c>
      <c r="E640" s="14" t="s">
        <v>3757</v>
      </c>
      <c r="F640" s="11">
        <v>168</v>
      </c>
    </row>
    <row r="641" spans="2:6" x14ac:dyDescent="0.3">
      <c r="B641" s="12">
        <v>638</v>
      </c>
      <c r="C641" s="28">
        <v>157.98527578572404</v>
      </c>
      <c r="E641" s="14" t="s">
        <v>1639</v>
      </c>
      <c r="F641" s="11">
        <v>175</v>
      </c>
    </row>
    <row r="642" spans="2:6" x14ac:dyDescent="0.3">
      <c r="B642" s="12">
        <v>639</v>
      </c>
      <c r="C642" s="28">
        <v>165.93304129343426</v>
      </c>
      <c r="E642" s="14" t="s">
        <v>201</v>
      </c>
      <c r="F642" s="11">
        <v>164</v>
      </c>
    </row>
    <row r="643" spans="2:6" x14ac:dyDescent="0.3">
      <c r="B643" s="12">
        <v>640</v>
      </c>
      <c r="C643" s="28">
        <v>169.58603777996262</v>
      </c>
      <c r="E643" s="14" t="s">
        <v>3558</v>
      </c>
      <c r="F643" s="11">
        <v>168</v>
      </c>
    </row>
    <row r="644" spans="2:6" x14ac:dyDescent="0.3">
      <c r="B644" s="12">
        <v>641</v>
      </c>
      <c r="C644" s="28">
        <v>162.87279653546662</v>
      </c>
      <c r="E644" s="14" t="s">
        <v>426</v>
      </c>
      <c r="F644" s="11">
        <v>182</v>
      </c>
    </row>
    <row r="645" spans="2:6" x14ac:dyDescent="0.3">
      <c r="B645" s="12">
        <v>642</v>
      </c>
      <c r="C645" s="28">
        <v>169.0332904796083</v>
      </c>
      <c r="E645" s="14" t="s">
        <v>3580</v>
      </c>
      <c r="F645" s="11">
        <v>170</v>
      </c>
    </row>
    <row r="646" spans="2:6" x14ac:dyDescent="0.3">
      <c r="B646" s="12">
        <v>643</v>
      </c>
      <c r="C646" s="28">
        <v>162.03061842405026</v>
      </c>
      <c r="E646" s="14" t="s">
        <v>1214</v>
      </c>
      <c r="F646" s="11">
        <v>173</v>
      </c>
    </row>
    <row r="647" spans="2:6" x14ac:dyDescent="0.3">
      <c r="B647" s="12">
        <v>644</v>
      </c>
      <c r="C647" s="28">
        <v>168.10674564023532</v>
      </c>
      <c r="E647" s="14" t="s">
        <v>1578</v>
      </c>
      <c r="F647" s="11">
        <v>173</v>
      </c>
    </row>
    <row r="648" spans="2:6" x14ac:dyDescent="0.3">
      <c r="B648" s="12">
        <v>645</v>
      </c>
      <c r="C648" s="28">
        <v>165.18772357551819</v>
      </c>
      <c r="E648" s="14" t="s">
        <v>4638</v>
      </c>
      <c r="F648" s="11">
        <v>182</v>
      </c>
    </row>
    <row r="649" spans="2:6" x14ac:dyDescent="0.3">
      <c r="B649" s="12">
        <v>646</v>
      </c>
      <c r="C649" s="28">
        <v>148.3341541433422</v>
      </c>
      <c r="E649" s="14" t="s">
        <v>598</v>
      </c>
      <c r="F649" s="11">
        <v>187</v>
      </c>
    </row>
    <row r="650" spans="2:6" x14ac:dyDescent="0.3">
      <c r="B650" s="12">
        <v>647</v>
      </c>
      <c r="C650" s="28">
        <v>159.39836821804585</v>
      </c>
      <c r="E650" s="14" t="s">
        <v>110</v>
      </c>
      <c r="F650" s="11">
        <v>160</v>
      </c>
    </row>
    <row r="651" spans="2:6" x14ac:dyDescent="0.3">
      <c r="B651" s="12">
        <v>648</v>
      </c>
      <c r="C651" s="28">
        <v>154.98296066720755</v>
      </c>
      <c r="E651" s="14" t="s">
        <v>3294</v>
      </c>
      <c r="F651" s="11">
        <v>169</v>
      </c>
    </row>
    <row r="652" spans="2:6" x14ac:dyDescent="0.3">
      <c r="B652" s="12">
        <v>649</v>
      </c>
      <c r="C652" s="28">
        <v>153.44295181022861</v>
      </c>
      <c r="E652" s="14" t="s">
        <v>1021</v>
      </c>
      <c r="F652" s="11">
        <v>167</v>
      </c>
    </row>
    <row r="653" spans="2:6" x14ac:dyDescent="0.3">
      <c r="B653" s="12">
        <v>650</v>
      </c>
      <c r="C653" s="28">
        <v>165.70487164404167</v>
      </c>
      <c r="E653" s="14" t="s">
        <v>2170</v>
      </c>
      <c r="F653" s="11">
        <v>169</v>
      </c>
    </row>
    <row r="654" spans="2:6" x14ac:dyDescent="0.3">
      <c r="B654" s="12">
        <v>651</v>
      </c>
      <c r="C654" s="28">
        <v>168.18274876565195</v>
      </c>
      <c r="E654" s="14" t="s">
        <v>3217</v>
      </c>
      <c r="F654" s="11">
        <v>178</v>
      </c>
    </row>
    <row r="655" spans="2:6" x14ac:dyDescent="0.3">
      <c r="B655" s="12">
        <v>652</v>
      </c>
      <c r="C655" s="28">
        <v>160.97153498626582</v>
      </c>
      <c r="E655" s="14" t="s">
        <v>4538</v>
      </c>
      <c r="F655" s="11">
        <v>175</v>
      </c>
    </row>
    <row r="656" spans="2:6" x14ac:dyDescent="0.3">
      <c r="B656" s="12">
        <v>653</v>
      </c>
      <c r="C656" s="28">
        <v>167.35695661032719</v>
      </c>
      <c r="E656" s="14" t="s">
        <v>1195</v>
      </c>
      <c r="F656" s="11">
        <v>175</v>
      </c>
    </row>
    <row r="657" spans="2:6" x14ac:dyDescent="0.3">
      <c r="B657" s="12">
        <v>654</v>
      </c>
      <c r="C657" s="28">
        <v>157.70512421212226</v>
      </c>
      <c r="E657" s="14" t="s">
        <v>919</v>
      </c>
      <c r="F657" s="11">
        <v>169</v>
      </c>
    </row>
    <row r="658" spans="2:6" x14ac:dyDescent="0.3">
      <c r="B658" s="12">
        <v>655</v>
      </c>
      <c r="C658" s="28">
        <v>162.37118383742123</v>
      </c>
      <c r="E658" s="14" t="s">
        <v>4602</v>
      </c>
      <c r="F658" s="11">
        <v>193</v>
      </c>
    </row>
    <row r="659" spans="2:6" x14ac:dyDescent="0.3">
      <c r="B659" s="12">
        <v>656</v>
      </c>
      <c r="C659" s="28">
        <v>149.30566438630515</v>
      </c>
      <c r="E659" s="14" t="s">
        <v>3112</v>
      </c>
      <c r="F659" s="11">
        <v>163</v>
      </c>
    </row>
    <row r="660" spans="2:6" x14ac:dyDescent="0.3">
      <c r="B660" s="12">
        <v>657</v>
      </c>
      <c r="C660" s="28">
        <v>166.63204730653248</v>
      </c>
      <c r="E660" s="14" t="s">
        <v>3135</v>
      </c>
      <c r="F660" s="11">
        <v>181</v>
      </c>
    </row>
    <row r="661" spans="2:6" x14ac:dyDescent="0.3">
      <c r="B661" s="12">
        <v>658</v>
      </c>
      <c r="C661" s="28">
        <v>168.3779216430971</v>
      </c>
      <c r="E661" s="14" t="s">
        <v>4556</v>
      </c>
      <c r="F661" s="11">
        <v>170</v>
      </c>
    </row>
    <row r="662" spans="2:6" x14ac:dyDescent="0.3">
      <c r="B662" s="12">
        <v>659</v>
      </c>
      <c r="C662" s="28">
        <v>166.16741928158135</v>
      </c>
      <c r="E662" s="14" t="s">
        <v>3549</v>
      </c>
      <c r="F662" s="11">
        <v>155</v>
      </c>
    </row>
    <row r="663" spans="2:6" x14ac:dyDescent="0.3">
      <c r="B663" s="12">
        <v>660</v>
      </c>
      <c r="C663" s="28">
        <v>173.04262146228234</v>
      </c>
      <c r="E663" s="14" t="s">
        <v>1962</v>
      </c>
      <c r="F663" s="11">
        <v>168</v>
      </c>
    </row>
    <row r="664" spans="2:6" x14ac:dyDescent="0.3">
      <c r="B664" s="12">
        <v>661</v>
      </c>
      <c r="C664" s="28">
        <v>171.19358435965702</v>
      </c>
      <c r="E664" s="14" t="s">
        <v>1924</v>
      </c>
      <c r="F664" s="11">
        <v>182</v>
      </c>
    </row>
    <row r="665" spans="2:6" x14ac:dyDescent="0.3">
      <c r="B665" s="12">
        <v>662</v>
      </c>
      <c r="C665" s="28">
        <v>173.48612008208471</v>
      </c>
      <c r="E665" s="14" t="s">
        <v>2123</v>
      </c>
      <c r="F665" s="11">
        <v>165</v>
      </c>
    </row>
    <row r="666" spans="2:6" x14ac:dyDescent="0.3">
      <c r="B666" s="12">
        <v>663</v>
      </c>
      <c r="C666" s="28">
        <v>174.80643672855331</v>
      </c>
      <c r="E666" s="14" t="s">
        <v>4950</v>
      </c>
      <c r="F666" s="11">
        <v>186</v>
      </c>
    </row>
    <row r="667" spans="2:6" x14ac:dyDescent="0.3">
      <c r="B667" s="12">
        <v>664</v>
      </c>
      <c r="C667" s="28">
        <v>162.97741496791974</v>
      </c>
      <c r="E667" s="14" t="s">
        <v>3456</v>
      </c>
      <c r="F667" s="11">
        <v>188</v>
      </c>
    </row>
    <row r="668" spans="2:6" x14ac:dyDescent="0.3">
      <c r="B668" s="12">
        <v>665</v>
      </c>
      <c r="C668" s="28">
        <v>169.13030920884628</v>
      </c>
      <c r="E668" s="14" t="s">
        <v>1691</v>
      </c>
      <c r="F668" s="11">
        <v>170</v>
      </c>
    </row>
    <row r="669" spans="2:6" x14ac:dyDescent="0.3">
      <c r="B669" s="12">
        <v>666</v>
      </c>
      <c r="C669" s="28">
        <v>173.22240068182708</v>
      </c>
      <c r="E669" s="14" t="s">
        <v>1988</v>
      </c>
      <c r="F669" s="11">
        <v>165</v>
      </c>
    </row>
    <row r="670" spans="2:6" x14ac:dyDescent="0.3">
      <c r="B670" s="12">
        <v>667</v>
      </c>
      <c r="C670" s="28">
        <v>172.49288993238488</v>
      </c>
      <c r="E670" s="14" t="s">
        <v>1233</v>
      </c>
      <c r="F670" s="11">
        <v>164</v>
      </c>
    </row>
    <row r="671" spans="2:6" x14ac:dyDescent="0.3">
      <c r="B671" s="12">
        <v>668</v>
      </c>
      <c r="C671" s="28">
        <v>176.22452661925206</v>
      </c>
      <c r="E671" s="14" t="s">
        <v>2796</v>
      </c>
      <c r="F671" s="11">
        <v>190</v>
      </c>
    </row>
    <row r="672" spans="2:6" x14ac:dyDescent="0.3">
      <c r="B672" s="12">
        <v>669</v>
      </c>
      <c r="C672" s="28">
        <v>163.97277829483755</v>
      </c>
      <c r="E672" s="14" t="s">
        <v>3641</v>
      </c>
      <c r="F672" s="11">
        <v>157</v>
      </c>
    </row>
    <row r="673" spans="2:6" x14ac:dyDescent="0.3">
      <c r="B673" s="12">
        <v>670</v>
      </c>
      <c r="C673" s="28">
        <v>165.09392888319738</v>
      </c>
      <c r="E673" s="14" t="s">
        <v>846</v>
      </c>
      <c r="F673" s="11">
        <v>160</v>
      </c>
    </row>
    <row r="674" spans="2:6" x14ac:dyDescent="0.3">
      <c r="B674" s="12">
        <v>671</v>
      </c>
      <c r="C674" s="28">
        <v>154.26070037121488</v>
      </c>
      <c r="E674" s="14" t="s">
        <v>199</v>
      </c>
      <c r="F674" s="11">
        <v>182</v>
      </c>
    </row>
    <row r="675" spans="2:6" x14ac:dyDescent="0.3">
      <c r="B675" s="12">
        <v>672</v>
      </c>
      <c r="C675" s="28">
        <v>169.33443023015587</v>
      </c>
      <c r="E675" s="14" t="s">
        <v>308</v>
      </c>
      <c r="F675" s="11">
        <v>171</v>
      </c>
    </row>
    <row r="676" spans="2:6" x14ac:dyDescent="0.3">
      <c r="B676" s="12">
        <v>673</v>
      </c>
      <c r="C676" s="28">
        <v>166.18186601111378</v>
      </c>
      <c r="E676" s="14" t="s">
        <v>3413</v>
      </c>
      <c r="F676" s="11">
        <v>162</v>
      </c>
    </row>
    <row r="677" spans="2:6" x14ac:dyDescent="0.3">
      <c r="B677" s="12">
        <v>674</v>
      </c>
      <c r="C677" s="28">
        <v>165.24306580279114</v>
      </c>
      <c r="E677" s="14" t="s">
        <v>826</v>
      </c>
      <c r="F677" s="11">
        <v>180</v>
      </c>
    </row>
    <row r="678" spans="2:6" x14ac:dyDescent="0.3">
      <c r="B678" s="12">
        <v>675</v>
      </c>
      <c r="C678" s="28">
        <v>168.26272127007263</v>
      </c>
      <c r="E678" s="14" t="s">
        <v>307</v>
      </c>
      <c r="F678" s="11">
        <v>178</v>
      </c>
    </row>
    <row r="679" spans="2:6" x14ac:dyDescent="0.3">
      <c r="B679" s="12">
        <v>676</v>
      </c>
      <c r="C679" s="28">
        <v>165.9348410122453</v>
      </c>
      <c r="E679" s="14" t="s">
        <v>4129</v>
      </c>
      <c r="F679" s="11">
        <v>193</v>
      </c>
    </row>
    <row r="680" spans="2:6" x14ac:dyDescent="0.3">
      <c r="B680" s="12">
        <v>677</v>
      </c>
      <c r="C680" s="28">
        <v>161.9540066290707</v>
      </c>
      <c r="E680" s="14" t="s">
        <v>833</v>
      </c>
      <c r="F680" s="11">
        <v>163</v>
      </c>
    </row>
    <row r="681" spans="2:6" x14ac:dyDescent="0.3">
      <c r="B681" s="12">
        <v>678</v>
      </c>
      <c r="C681" s="28">
        <v>169.20390741058227</v>
      </c>
      <c r="E681" s="14" t="s">
        <v>515</v>
      </c>
      <c r="F681" s="11">
        <v>170</v>
      </c>
    </row>
    <row r="682" spans="2:6" x14ac:dyDescent="0.3">
      <c r="B682" s="12">
        <v>679</v>
      </c>
      <c r="C682" s="28">
        <v>164.35180971553268</v>
      </c>
      <c r="E682" s="14" t="s">
        <v>1275</v>
      </c>
      <c r="F682" s="11">
        <v>163</v>
      </c>
    </row>
    <row r="683" spans="2:6" x14ac:dyDescent="0.3">
      <c r="B683" s="12">
        <v>680</v>
      </c>
      <c r="C683" s="28">
        <v>154.12934787396662</v>
      </c>
      <c r="E683" s="14" t="s">
        <v>2650</v>
      </c>
      <c r="F683" s="11">
        <v>170</v>
      </c>
    </row>
    <row r="684" spans="2:6" x14ac:dyDescent="0.3">
      <c r="B684" s="12">
        <v>681</v>
      </c>
      <c r="C684" s="28">
        <v>162.01367006939307</v>
      </c>
      <c r="E684" s="14" t="s">
        <v>3678</v>
      </c>
      <c r="F684" s="11">
        <v>166</v>
      </c>
    </row>
    <row r="685" spans="2:6" x14ac:dyDescent="0.3">
      <c r="B685" s="12">
        <v>682</v>
      </c>
      <c r="C685" s="28">
        <v>154.58021698159897</v>
      </c>
      <c r="E685" s="14" t="s">
        <v>4327</v>
      </c>
      <c r="F685" s="11">
        <v>163</v>
      </c>
    </row>
    <row r="686" spans="2:6" x14ac:dyDescent="0.3">
      <c r="B686" s="12">
        <v>683</v>
      </c>
      <c r="C686" s="28">
        <v>164.74433202889387</v>
      </c>
      <c r="E686" s="14" t="s">
        <v>3501</v>
      </c>
      <c r="F686" s="11">
        <v>170</v>
      </c>
    </row>
    <row r="687" spans="2:6" x14ac:dyDescent="0.3">
      <c r="B687" s="12">
        <v>684</v>
      </c>
      <c r="C687" s="28">
        <v>167.132071181849</v>
      </c>
      <c r="E687" s="14" t="s">
        <v>3684</v>
      </c>
      <c r="F687" s="11">
        <v>165</v>
      </c>
    </row>
    <row r="688" spans="2:6" x14ac:dyDescent="0.3">
      <c r="B688" s="12">
        <v>685</v>
      </c>
      <c r="C688" s="28">
        <v>159.08783349898289</v>
      </c>
      <c r="E688" s="14" t="s">
        <v>4341</v>
      </c>
      <c r="F688" s="11">
        <v>175</v>
      </c>
    </row>
    <row r="689" spans="2:6" x14ac:dyDescent="0.3">
      <c r="B689" s="12">
        <v>686</v>
      </c>
      <c r="C689" s="28">
        <v>161.00211719397606</v>
      </c>
      <c r="E689" s="14" t="s">
        <v>4310</v>
      </c>
      <c r="F689" s="11">
        <v>175</v>
      </c>
    </row>
    <row r="690" spans="2:6" x14ac:dyDescent="0.3">
      <c r="B690" s="12">
        <v>687</v>
      </c>
      <c r="C690" s="28">
        <v>158.93666924242405</v>
      </c>
      <c r="E690" s="14" t="s">
        <v>1608</v>
      </c>
      <c r="F690" s="11">
        <v>174</v>
      </c>
    </row>
    <row r="691" spans="2:6" x14ac:dyDescent="0.3">
      <c r="B691" s="12">
        <v>688</v>
      </c>
      <c r="C691" s="28">
        <v>179.48732288998832</v>
      </c>
      <c r="E691" s="14" t="s">
        <v>4595</v>
      </c>
      <c r="F691" s="11">
        <v>163</v>
      </c>
    </row>
    <row r="692" spans="2:6" x14ac:dyDescent="0.3">
      <c r="B692" s="12">
        <v>689</v>
      </c>
      <c r="C692" s="28">
        <v>159.31222787384172</v>
      </c>
      <c r="E692" s="14" t="s">
        <v>2774</v>
      </c>
      <c r="F692" s="11">
        <v>174</v>
      </c>
    </row>
    <row r="693" spans="2:6" x14ac:dyDescent="0.3">
      <c r="B693" s="12">
        <v>690</v>
      </c>
      <c r="C693" s="28">
        <v>171.17549192818436</v>
      </c>
      <c r="E693" s="14" t="s">
        <v>3087</v>
      </c>
      <c r="F693" s="11">
        <v>172</v>
      </c>
    </row>
    <row r="694" spans="2:6" x14ac:dyDescent="0.3">
      <c r="B694" s="12">
        <v>691</v>
      </c>
      <c r="C694" s="28">
        <v>151.28150519376194</v>
      </c>
      <c r="E694" s="14" t="s">
        <v>1125</v>
      </c>
      <c r="F694" s="11">
        <v>168</v>
      </c>
    </row>
    <row r="695" spans="2:6" x14ac:dyDescent="0.3">
      <c r="B695" s="12">
        <v>692</v>
      </c>
      <c r="C695" s="28">
        <v>161.76762129380785</v>
      </c>
      <c r="E695" s="14" t="s">
        <v>601</v>
      </c>
      <c r="F695" s="11">
        <v>185</v>
      </c>
    </row>
    <row r="696" spans="2:6" x14ac:dyDescent="0.3">
      <c r="B696" s="12">
        <v>693</v>
      </c>
      <c r="C696" s="28">
        <v>161.90323538790804</v>
      </c>
      <c r="E696" s="14" t="s">
        <v>396</v>
      </c>
      <c r="F696" s="11">
        <v>165</v>
      </c>
    </row>
    <row r="697" spans="2:6" x14ac:dyDescent="0.3">
      <c r="B697" s="12">
        <v>694</v>
      </c>
      <c r="C697" s="28">
        <v>168.19197976552721</v>
      </c>
      <c r="E697" s="14" t="s">
        <v>495</v>
      </c>
      <c r="F697" s="11">
        <v>183</v>
      </c>
    </row>
    <row r="698" spans="2:6" x14ac:dyDescent="0.3">
      <c r="B698" s="12">
        <v>695</v>
      </c>
      <c r="C698" s="28">
        <v>156.23891339656222</v>
      </c>
      <c r="E698" s="14" t="s">
        <v>869</v>
      </c>
      <c r="F698" s="11">
        <v>178</v>
      </c>
    </row>
    <row r="699" spans="2:6" x14ac:dyDescent="0.3">
      <c r="B699" s="12">
        <v>696</v>
      </c>
      <c r="C699" s="28">
        <v>159.4638620508062</v>
      </c>
      <c r="E699" s="14" t="s">
        <v>1149</v>
      </c>
      <c r="F699" s="11">
        <v>179</v>
      </c>
    </row>
    <row r="700" spans="2:6" x14ac:dyDescent="0.3">
      <c r="B700" s="12">
        <v>697</v>
      </c>
      <c r="C700" s="28">
        <v>157.34162916344937</v>
      </c>
      <c r="E700" s="14" t="s">
        <v>2546</v>
      </c>
      <c r="F700" s="11">
        <v>172</v>
      </c>
    </row>
    <row r="701" spans="2:6" x14ac:dyDescent="0.3">
      <c r="B701" s="12">
        <v>698</v>
      </c>
      <c r="C701" s="28">
        <v>168.16026794189003</v>
      </c>
      <c r="E701" s="14" t="s">
        <v>3105</v>
      </c>
      <c r="F701" s="11">
        <v>168</v>
      </c>
    </row>
    <row r="702" spans="2:6" x14ac:dyDescent="0.3">
      <c r="B702" s="12">
        <v>699</v>
      </c>
      <c r="C702" s="28">
        <v>162.01357131372214</v>
      </c>
      <c r="E702" s="14" t="s">
        <v>3676</v>
      </c>
      <c r="F702" s="11">
        <v>157</v>
      </c>
    </row>
    <row r="703" spans="2:6" x14ac:dyDescent="0.3">
      <c r="B703" s="12">
        <v>700</v>
      </c>
      <c r="C703" s="28">
        <v>160.34522919001785</v>
      </c>
      <c r="E703" s="14" t="s">
        <v>3583</v>
      </c>
      <c r="F703" s="11">
        <v>173</v>
      </c>
    </row>
    <row r="704" spans="2:6" x14ac:dyDescent="0.3">
      <c r="B704" s="12">
        <v>701</v>
      </c>
      <c r="C704" s="28">
        <v>162.27918675860602</v>
      </c>
      <c r="E704" s="14" t="s">
        <v>1500</v>
      </c>
      <c r="F704" s="11">
        <v>203</v>
      </c>
    </row>
    <row r="705" spans="2:6" x14ac:dyDescent="0.3">
      <c r="B705" s="12">
        <v>702</v>
      </c>
      <c r="C705" s="28">
        <v>169.76656513831105</v>
      </c>
      <c r="E705" s="14" t="s">
        <v>318</v>
      </c>
      <c r="F705" s="11">
        <v>171</v>
      </c>
    </row>
    <row r="706" spans="2:6" x14ac:dyDescent="0.3">
      <c r="B706" s="12">
        <v>703</v>
      </c>
      <c r="C706" s="28">
        <v>167.7809004816252</v>
      </c>
      <c r="E706" s="14" t="s">
        <v>627</v>
      </c>
      <c r="F706" s="11">
        <v>179</v>
      </c>
    </row>
    <row r="707" spans="2:6" x14ac:dyDescent="0.3">
      <c r="B707" s="12">
        <v>704</v>
      </c>
      <c r="C707" s="28">
        <v>163.23223127226473</v>
      </c>
      <c r="E707" s="14" t="s">
        <v>2121</v>
      </c>
      <c r="F707" s="11">
        <v>182</v>
      </c>
    </row>
    <row r="708" spans="2:6" x14ac:dyDescent="0.3">
      <c r="B708" s="12">
        <v>705</v>
      </c>
      <c r="C708" s="28">
        <v>156.18366949685998</v>
      </c>
      <c r="E708" s="14" t="s">
        <v>865</v>
      </c>
      <c r="F708" s="11">
        <v>160</v>
      </c>
    </row>
    <row r="709" spans="2:6" x14ac:dyDescent="0.3">
      <c r="B709" s="12">
        <v>706</v>
      </c>
      <c r="C709" s="28">
        <v>169.74881746065026</v>
      </c>
      <c r="E709" s="14" t="s">
        <v>1646</v>
      </c>
      <c r="F709" s="11">
        <v>163</v>
      </c>
    </row>
    <row r="710" spans="2:6" x14ac:dyDescent="0.3">
      <c r="B710" s="12">
        <v>707</v>
      </c>
      <c r="C710" s="28">
        <v>152.6739681685543</v>
      </c>
      <c r="E710" s="14" t="s">
        <v>3006</v>
      </c>
      <c r="F710" s="11">
        <v>182</v>
      </c>
    </row>
    <row r="711" spans="2:6" x14ac:dyDescent="0.3">
      <c r="B711" s="12">
        <v>708</v>
      </c>
      <c r="C711" s="28">
        <v>165.54983458034172</v>
      </c>
      <c r="E711" s="14" t="s">
        <v>3346</v>
      </c>
      <c r="F711" s="11">
        <v>172</v>
      </c>
    </row>
    <row r="712" spans="2:6" x14ac:dyDescent="0.3">
      <c r="B712" s="12">
        <v>709</v>
      </c>
      <c r="C712" s="28">
        <v>158.64533071320133</v>
      </c>
      <c r="E712" s="14" t="s">
        <v>4144</v>
      </c>
      <c r="F712" s="11">
        <v>168</v>
      </c>
    </row>
    <row r="713" spans="2:6" x14ac:dyDescent="0.3">
      <c r="B713" s="12">
        <v>710</v>
      </c>
      <c r="C713" s="28">
        <v>155.8646931223708</v>
      </c>
      <c r="E713" s="14" t="s">
        <v>4192</v>
      </c>
      <c r="F713" s="11">
        <v>173</v>
      </c>
    </row>
    <row r="714" spans="2:6" x14ac:dyDescent="0.3">
      <c r="B714" s="12">
        <v>711</v>
      </c>
      <c r="C714" s="28">
        <v>161.60387852821069</v>
      </c>
      <c r="E714" s="14" t="s">
        <v>559</v>
      </c>
      <c r="F714" s="11">
        <v>178</v>
      </c>
    </row>
    <row r="715" spans="2:6" x14ac:dyDescent="0.3">
      <c r="B715" s="12">
        <v>712</v>
      </c>
      <c r="C715" s="28">
        <v>154.36101813428127</v>
      </c>
      <c r="E715" s="14" t="s">
        <v>1215</v>
      </c>
      <c r="F715" s="11">
        <v>156</v>
      </c>
    </row>
    <row r="716" spans="2:6" x14ac:dyDescent="0.3">
      <c r="B716" s="12">
        <v>713</v>
      </c>
      <c r="C716" s="28">
        <v>163.93731472302622</v>
      </c>
      <c r="E716" s="14" t="s">
        <v>4227</v>
      </c>
      <c r="F716" s="11">
        <v>170</v>
      </c>
    </row>
    <row r="717" spans="2:6" x14ac:dyDescent="0.3">
      <c r="B717" s="12">
        <v>714</v>
      </c>
      <c r="C717" s="28">
        <v>166.61937846569825</v>
      </c>
      <c r="E717" s="14" t="s">
        <v>1379</v>
      </c>
      <c r="F717" s="11">
        <v>176</v>
      </c>
    </row>
    <row r="718" spans="2:6" x14ac:dyDescent="0.3">
      <c r="B718" s="12">
        <v>715</v>
      </c>
      <c r="C718" s="28">
        <v>171.49327667281682</v>
      </c>
      <c r="E718" s="14" t="s">
        <v>3938</v>
      </c>
      <c r="F718" s="11">
        <v>166</v>
      </c>
    </row>
    <row r="719" spans="2:6" x14ac:dyDescent="0.3">
      <c r="B719" s="12">
        <v>716</v>
      </c>
      <c r="C719" s="28">
        <v>157.05185724505355</v>
      </c>
      <c r="E719" s="14" t="s">
        <v>3228</v>
      </c>
      <c r="F719" s="11">
        <v>172</v>
      </c>
    </row>
    <row r="720" spans="2:6" x14ac:dyDescent="0.3">
      <c r="B720" s="12">
        <v>717</v>
      </c>
      <c r="C720" s="28">
        <v>146.44340797077533</v>
      </c>
      <c r="E720" s="14" t="s">
        <v>4386</v>
      </c>
      <c r="F720" s="11">
        <v>173</v>
      </c>
    </row>
    <row r="721" spans="2:6" x14ac:dyDescent="0.3">
      <c r="B721" s="12">
        <v>718</v>
      </c>
      <c r="C721" s="28">
        <v>168.05384436946505</v>
      </c>
      <c r="E721" s="14" t="s">
        <v>4519</v>
      </c>
      <c r="F721" s="11">
        <v>180</v>
      </c>
    </row>
    <row r="722" spans="2:6" x14ac:dyDescent="0.3">
      <c r="B722" s="12">
        <v>719</v>
      </c>
      <c r="C722" s="28">
        <v>166.8585014268667</v>
      </c>
      <c r="E722" s="14" t="s">
        <v>1254</v>
      </c>
      <c r="F722" s="11">
        <v>169</v>
      </c>
    </row>
    <row r="723" spans="2:6" x14ac:dyDescent="0.3">
      <c r="B723" s="12">
        <v>720</v>
      </c>
      <c r="C723" s="28">
        <v>148.95293760390896</v>
      </c>
      <c r="E723" s="14" t="s">
        <v>1288</v>
      </c>
      <c r="F723" s="11">
        <v>165</v>
      </c>
    </row>
    <row r="724" spans="2:6" x14ac:dyDescent="0.3">
      <c r="B724" s="12">
        <v>721</v>
      </c>
      <c r="C724" s="28">
        <v>168.1862860757353</v>
      </c>
      <c r="E724" s="14" t="s">
        <v>3734</v>
      </c>
      <c r="F724" s="11">
        <v>178</v>
      </c>
    </row>
    <row r="725" spans="2:6" x14ac:dyDescent="0.3">
      <c r="B725" s="12">
        <v>722</v>
      </c>
      <c r="C725" s="28">
        <v>149.86442456969465</v>
      </c>
      <c r="E725" s="14" t="s">
        <v>3812</v>
      </c>
      <c r="F725" s="11">
        <v>171</v>
      </c>
    </row>
    <row r="726" spans="2:6" x14ac:dyDescent="0.3">
      <c r="B726" s="12">
        <v>723</v>
      </c>
      <c r="C726" s="28">
        <v>172.63177566512945</v>
      </c>
      <c r="E726" s="14" t="s">
        <v>4527</v>
      </c>
      <c r="F726" s="11">
        <v>166</v>
      </c>
    </row>
    <row r="727" spans="2:6" x14ac:dyDescent="0.3">
      <c r="B727" s="12">
        <v>724</v>
      </c>
      <c r="C727" s="28">
        <v>173.37592159310216</v>
      </c>
      <c r="E727" s="14" t="s">
        <v>1731</v>
      </c>
      <c r="F727" s="11">
        <v>175</v>
      </c>
    </row>
    <row r="728" spans="2:6" x14ac:dyDescent="0.3">
      <c r="B728" s="12">
        <v>725</v>
      </c>
      <c r="C728" s="28">
        <v>162.89679262110482</v>
      </c>
      <c r="E728" s="14" t="s">
        <v>3309</v>
      </c>
      <c r="F728" s="11">
        <v>172</v>
      </c>
    </row>
    <row r="729" spans="2:6" x14ac:dyDescent="0.3">
      <c r="B729" s="12">
        <v>726</v>
      </c>
      <c r="C729" s="28">
        <v>165.2429213984594</v>
      </c>
      <c r="E729" s="14" t="s">
        <v>4493</v>
      </c>
      <c r="F729" s="11">
        <v>160</v>
      </c>
    </row>
    <row r="730" spans="2:6" x14ac:dyDescent="0.3">
      <c r="B730" s="12">
        <v>727</v>
      </c>
      <c r="C730" s="28">
        <v>152.94202424043803</v>
      </c>
      <c r="E730" s="14" t="s">
        <v>686</v>
      </c>
      <c r="F730" s="11">
        <v>173</v>
      </c>
    </row>
    <row r="731" spans="2:6" x14ac:dyDescent="0.3">
      <c r="B731" s="12">
        <v>728</v>
      </c>
      <c r="C731" s="28">
        <v>155.24509573056551</v>
      </c>
      <c r="E731" s="14" t="s">
        <v>694</v>
      </c>
      <c r="F731" s="11">
        <v>167</v>
      </c>
    </row>
    <row r="732" spans="2:6" x14ac:dyDescent="0.3">
      <c r="B732" s="12">
        <v>729</v>
      </c>
      <c r="C732" s="28">
        <v>175.56300123371642</v>
      </c>
      <c r="E732" s="14" t="s">
        <v>1622</v>
      </c>
      <c r="F732" s="11">
        <v>174</v>
      </c>
    </row>
    <row r="733" spans="2:6" x14ac:dyDescent="0.3">
      <c r="B733" s="12">
        <v>730</v>
      </c>
      <c r="C733" s="28">
        <v>169.51930175945066</v>
      </c>
      <c r="E733" s="14" t="s">
        <v>1673</v>
      </c>
      <c r="F733" s="11">
        <v>167</v>
      </c>
    </row>
    <row r="734" spans="2:6" x14ac:dyDescent="0.3">
      <c r="B734" s="12">
        <v>731</v>
      </c>
      <c r="C734" s="28">
        <v>156.7491575811033</v>
      </c>
      <c r="E734" s="14" t="s">
        <v>2217</v>
      </c>
      <c r="F734" s="11">
        <v>161</v>
      </c>
    </row>
    <row r="735" spans="2:6" x14ac:dyDescent="0.3">
      <c r="B735" s="12">
        <v>732</v>
      </c>
      <c r="C735" s="28">
        <v>168.06803649324789</v>
      </c>
      <c r="E735" s="14" t="s">
        <v>3283</v>
      </c>
      <c r="F735" s="11">
        <v>170</v>
      </c>
    </row>
    <row r="736" spans="2:6" x14ac:dyDescent="0.3">
      <c r="B736" s="12">
        <v>733</v>
      </c>
      <c r="C736" s="28">
        <v>142.4398973205368</v>
      </c>
      <c r="E736" s="14" t="s">
        <v>257</v>
      </c>
      <c r="F736" s="11">
        <v>180</v>
      </c>
    </row>
    <row r="737" spans="2:6" x14ac:dyDescent="0.3">
      <c r="B737" s="12">
        <v>734</v>
      </c>
      <c r="C737" s="28">
        <v>172.61792644400145</v>
      </c>
      <c r="E737" s="14" t="s">
        <v>12</v>
      </c>
      <c r="F737" s="11">
        <v>168</v>
      </c>
    </row>
    <row r="738" spans="2:6" x14ac:dyDescent="0.3">
      <c r="B738" s="12">
        <v>735</v>
      </c>
      <c r="C738" s="28">
        <v>160.90896935261705</v>
      </c>
      <c r="E738" s="14" t="s">
        <v>1487</v>
      </c>
      <c r="F738" s="11">
        <v>165</v>
      </c>
    </row>
    <row r="739" spans="2:6" x14ac:dyDescent="0.3">
      <c r="B739" s="12">
        <v>736</v>
      </c>
      <c r="C739" s="28">
        <v>156.08371670311496</v>
      </c>
      <c r="E739" s="14" t="s">
        <v>2328</v>
      </c>
      <c r="F739" s="11">
        <v>159</v>
      </c>
    </row>
    <row r="740" spans="2:6" x14ac:dyDescent="0.3">
      <c r="B740" s="12">
        <v>737</v>
      </c>
      <c r="C740" s="28">
        <v>174.00382349928867</v>
      </c>
      <c r="E740" s="14" t="s">
        <v>3222</v>
      </c>
      <c r="F740" s="11">
        <v>167</v>
      </c>
    </row>
    <row r="741" spans="2:6" x14ac:dyDescent="0.3">
      <c r="B741" s="12">
        <v>738</v>
      </c>
      <c r="C741" s="28">
        <v>156.12897309821034</v>
      </c>
      <c r="E741" s="14" t="s">
        <v>641</v>
      </c>
      <c r="F741" s="11">
        <v>175</v>
      </c>
    </row>
    <row r="742" spans="2:6" x14ac:dyDescent="0.3">
      <c r="B742" s="12">
        <v>739</v>
      </c>
      <c r="C742" s="28">
        <v>173.9130771182073</v>
      </c>
      <c r="E742" s="14" t="s">
        <v>642</v>
      </c>
      <c r="F742" s="11">
        <v>178</v>
      </c>
    </row>
    <row r="743" spans="2:6" x14ac:dyDescent="0.3">
      <c r="B743" s="12">
        <v>740</v>
      </c>
      <c r="C743" s="28">
        <v>166.12368534747074</v>
      </c>
      <c r="E743" s="14" t="s">
        <v>1886</v>
      </c>
      <c r="F743" s="11">
        <v>170</v>
      </c>
    </row>
    <row r="744" spans="2:6" x14ac:dyDescent="0.3">
      <c r="B744" s="12">
        <v>741</v>
      </c>
      <c r="C744" s="28">
        <v>142.51661132429973</v>
      </c>
      <c r="E744" s="14" t="s">
        <v>4146</v>
      </c>
      <c r="F744" s="11">
        <v>184</v>
      </c>
    </row>
    <row r="745" spans="2:6" x14ac:dyDescent="0.3">
      <c r="B745" s="12">
        <v>742</v>
      </c>
      <c r="C745" s="28">
        <v>171.35949819067838</v>
      </c>
      <c r="E745" s="14" t="s">
        <v>1363</v>
      </c>
      <c r="F745" s="11">
        <v>160</v>
      </c>
    </row>
    <row r="746" spans="2:6" x14ac:dyDescent="0.3">
      <c r="B746" s="12">
        <v>743</v>
      </c>
      <c r="C746" s="28">
        <v>162.34815689462738</v>
      </c>
      <c r="E746" s="14" t="s">
        <v>303</v>
      </c>
      <c r="F746" s="11">
        <v>185</v>
      </c>
    </row>
    <row r="747" spans="2:6" x14ac:dyDescent="0.3">
      <c r="B747" s="12">
        <v>744</v>
      </c>
      <c r="C747" s="28">
        <v>164.60898200832091</v>
      </c>
      <c r="E747" s="14" t="s">
        <v>1719</v>
      </c>
      <c r="F747" s="11">
        <v>168</v>
      </c>
    </row>
    <row r="748" spans="2:6" x14ac:dyDescent="0.3">
      <c r="B748" s="12">
        <v>745</v>
      </c>
      <c r="C748" s="28">
        <v>155.51012331223498</v>
      </c>
      <c r="E748" s="14" t="s">
        <v>3019</v>
      </c>
      <c r="F748" s="11">
        <v>171</v>
      </c>
    </row>
    <row r="749" spans="2:6" x14ac:dyDescent="0.3">
      <c r="B749" s="12">
        <v>746</v>
      </c>
      <c r="C749" s="28">
        <v>161.47306764176875</v>
      </c>
      <c r="E749" s="14" t="s">
        <v>3581</v>
      </c>
      <c r="F749" s="11">
        <v>163</v>
      </c>
    </row>
    <row r="750" spans="2:6" x14ac:dyDescent="0.3">
      <c r="B750" s="12">
        <v>747</v>
      </c>
      <c r="C750" s="28">
        <v>148.59970504490153</v>
      </c>
      <c r="E750" s="14" t="s">
        <v>3657</v>
      </c>
      <c r="F750" s="11">
        <v>157</v>
      </c>
    </row>
    <row r="751" spans="2:6" x14ac:dyDescent="0.3">
      <c r="B751" s="12">
        <v>748</v>
      </c>
      <c r="C751" s="28">
        <v>173.12680409907546</v>
      </c>
      <c r="E751" s="14" t="s">
        <v>4154</v>
      </c>
      <c r="F751" s="11">
        <v>162</v>
      </c>
    </row>
    <row r="752" spans="2:6" x14ac:dyDescent="0.3">
      <c r="B752" s="12">
        <v>749</v>
      </c>
      <c r="C752" s="28">
        <v>161.94030026543649</v>
      </c>
      <c r="E752" s="14" t="s">
        <v>2452</v>
      </c>
      <c r="F752" s="11">
        <v>170</v>
      </c>
    </row>
    <row r="753" spans="2:6" x14ac:dyDescent="0.3">
      <c r="B753" s="12">
        <v>750</v>
      </c>
      <c r="C753" s="28">
        <v>168.65520491650659</v>
      </c>
      <c r="E753" s="14" t="s">
        <v>2453</v>
      </c>
      <c r="F753" s="11">
        <v>180</v>
      </c>
    </row>
    <row r="754" spans="2:6" x14ac:dyDescent="0.3">
      <c r="B754" s="12">
        <v>751</v>
      </c>
      <c r="C754" s="28">
        <v>151.30175441722835</v>
      </c>
      <c r="E754" s="14" t="s">
        <v>1034</v>
      </c>
      <c r="F754" s="11">
        <v>170</v>
      </c>
    </row>
    <row r="755" spans="2:6" x14ac:dyDescent="0.3">
      <c r="B755" s="12">
        <v>752</v>
      </c>
      <c r="C755" s="28">
        <v>162.71423091930106</v>
      </c>
      <c r="E755" s="14" t="s">
        <v>511</v>
      </c>
      <c r="F755" s="11">
        <v>184</v>
      </c>
    </row>
    <row r="756" spans="2:6" x14ac:dyDescent="0.3">
      <c r="B756" s="12">
        <v>753</v>
      </c>
      <c r="C756" s="28">
        <v>157.03030904206773</v>
      </c>
      <c r="E756" s="14" t="s">
        <v>2924</v>
      </c>
      <c r="F756" s="11">
        <v>170</v>
      </c>
    </row>
    <row r="757" spans="2:6" x14ac:dyDescent="0.3">
      <c r="B757" s="12">
        <v>754</v>
      </c>
      <c r="C757" s="28">
        <v>172.11930097730774</v>
      </c>
      <c r="E757" s="14" t="s">
        <v>4890</v>
      </c>
      <c r="F757" s="11">
        <v>187</v>
      </c>
    </row>
    <row r="758" spans="2:6" x14ac:dyDescent="0.3">
      <c r="B758" s="12">
        <v>755</v>
      </c>
      <c r="C758" s="28">
        <v>151.258946478741</v>
      </c>
      <c r="E758" s="14" t="s">
        <v>800</v>
      </c>
      <c r="F758" s="11">
        <v>173</v>
      </c>
    </row>
    <row r="759" spans="2:6" x14ac:dyDescent="0.3">
      <c r="B759" s="12">
        <v>756</v>
      </c>
      <c r="C759" s="28">
        <v>159.17565350515051</v>
      </c>
      <c r="E759" s="14" t="s">
        <v>3358</v>
      </c>
      <c r="F759" s="11">
        <v>160</v>
      </c>
    </row>
    <row r="760" spans="2:6" x14ac:dyDescent="0.3">
      <c r="B760" s="12">
        <v>757</v>
      </c>
      <c r="C760" s="28">
        <v>167.49214201294998</v>
      </c>
      <c r="E760" s="14" t="s">
        <v>1235</v>
      </c>
      <c r="F760" s="11">
        <v>160</v>
      </c>
    </row>
    <row r="761" spans="2:6" x14ac:dyDescent="0.3">
      <c r="B761" s="12">
        <v>758</v>
      </c>
      <c r="C761" s="28">
        <v>154.39868414272965</v>
      </c>
      <c r="E761" s="14" t="s">
        <v>4952</v>
      </c>
      <c r="F761" s="11">
        <v>183</v>
      </c>
    </row>
    <row r="762" spans="2:6" x14ac:dyDescent="0.3">
      <c r="B762" s="12">
        <v>759</v>
      </c>
      <c r="C762" s="28">
        <v>171.1514861869544</v>
      </c>
      <c r="E762" s="14" t="s">
        <v>2648</v>
      </c>
      <c r="F762" s="11">
        <v>172</v>
      </c>
    </row>
    <row r="763" spans="2:6" x14ac:dyDescent="0.3">
      <c r="B763" s="12">
        <v>760</v>
      </c>
      <c r="C763" s="28">
        <v>159.54769579263012</v>
      </c>
      <c r="E763" s="14" t="s">
        <v>1216</v>
      </c>
      <c r="F763" s="11">
        <v>185</v>
      </c>
    </row>
    <row r="764" spans="2:6" x14ac:dyDescent="0.3">
      <c r="B764" s="12">
        <v>761</v>
      </c>
      <c r="C764" s="28">
        <v>160.95105044357356</v>
      </c>
      <c r="E764" s="14" t="s">
        <v>2661</v>
      </c>
      <c r="F764" s="11">
        <v>172</v>
      </c>
    </row>
    <row r="765" spans="2:6" x14ac:dyDescent="0.3">
      <c r="B765" s="12">
        <v>762</v>
      </c>
      <c r="C765" s="28">
        <v>171.08720214208765</v>
      </c>
      <c r="E765" s="14" t="s">
        <v>2651</v>
      </c>
      <c r="F765" s="11">
        <v>160</v>
      </c>
    </row>
    <row r="766" spans="2:6" x14ac:dyDescent="0.3">
      <c r="B766" s="12">
        <v>763</v>
      </c>
      <c r="C766" s="28">
        <v>158.91695521573305</v>
      </c>
      <c r="E766" s="14" t="s">
        <v>858</v>
      </c>
      <c r="F766" s="11">
        <v>168</v>
      </c>
    </row>
    <row r="767" spans="2:6" x14ac:dyDescent="0.3">
      <c r="B767" s="12">
        <v>764</v>
      </c>
      <c r="C767" s="28">
        <v>160.20077423425016</v>
      </c>
      <c r="E767" s="14" t="s">
        <v>3770</v>
      </c>
      <c r="F767" s="11">
        <v>171</v>
      </c>
    </row>
    <row r="768" spans="2:6" x14ac:dyDescent="0.3">
      <c r="B768" s="12">
        <v>765</v>
      </c>
      <c r="C768" s="28">
        <v>158.07596778241157</v>
      </c>
      <c r="E768" s="14" t="s">
        <v>664</v>
      </c>
      <c r="F768" s="11">
        <v>168</v>
      </c>
    </row>
    <row r="769" spans="2:6" x14ac:dyDescent="0.3">
      <c r="B769" s="12">
        <v>766</v>
      </c>
      <c r="C769" s="28">
        <v>154.12582054477645</v>
      </c>
      <c r="E769" s="14" t="s">
        <v>1445</v>
      </c>
      <c r="F769" s="11">
        <v>167</v>
      </c>
    </row>
    <row r="770" spans="2:6" x14ac:dyDescent="0.3">
      <c r="B770" s="12">
        <v>767</v>
      </c>
      <c r="C770" s="28">
        <v>157.83735055633989</v>
      </c>
      <c r="E770" s="14" t="s">
        <v>3838</v>
      </c>
      <c r="F770" s="11">
        <v>178</v>
      </c>
    </row>
    <row r="771" spans="2:6" x14ac:dyDescent="0.3">
      <c r="B771" s="12">
        <v>768</v>
      </c>
      <c r="C771" s="28">
        <v>153.67844940850932</v>
      </c>
      <c r="E771" s="14" t="s">
        <v>3713</v>
      </c>
      <c r="F771" s="11">
        <v>172</v>
      </c>
    </row>
    <row r="772" spans="2:6" x14ac:dyDescent="0.3">
      <c r="B772" s="12">
        <v>769</v>
      </c>
      <c r="C772" s="28">
        <v>157.94731515073076</v>
      </c>
      <c r="E772" s="14" t="s">
        <v>55</v>
      </c>
      <c r="F772" s="11">
        <v>160</v>
      </c>
    </row>
    <row r="773" spans="2:6" x14ac:dyDescent="0.3">
      <c r="B773" s="12">
        <v>770</v>
      </c>
      <c r="C773" s="28">
        <v>163.80301410513013</v>
      </c>
      <c r="E773" s="14" t="s">
        <v>202</v>
      </c>
      <c r="F773" s="11">
        <v>159</v>
      </c>
    </row>
    <row r="774" spans="2:6" x14ac:dyDescent="0.3">
      <c r="B774" s="12">
        <v>771</v>
      </c>
      <c r="C774" s="28">
        <v>165.78176640695469</v>
      </c>
      <c r="E774" s="14" t="s">
        <v>676</v>
      </c>
      <c r="F774" s="11">
        <v>157</v>
      </c>
    </row>
    <row r="775" spans="2:6" x14ac:dyDescent="0.3">
      <c r="B775" s="12">
        <v>772</v>
      </c>
      <c r="C775" s="28">
        <v>169.64360784911358</v>
      </c>
      <c r="E775" s="14" t="s">
        <v>2638</v>
      </c>
      <c r="F775" s="11">
        <v>172</v>
      </c>
    </row>
    <row r="776" spans="2:6" x14ac:dyDescent="0.3">
      <c r="B776" s="12">
        <v>773</v>
      </c>
      <c r="C776" s="28">
        <v>152.12414741266031</v>
      </c>
      <c r="E776" s="14" t="s">
        <v>3668</v>
      </c>
      <c r="F776" s="11">
        <v>164</v>
      </c>
    </row>
    <row r="777" spans="2:6" x14ac:dyDescent="0.3">
      <c r="B777" s="12">
        <v>774</v>
      </c>
      <c r="C777" s="28">
        <v>168.16475815575288</v>
      </c>
      <c r="E777" s="14" t="s">
        <v>3667</v>
      </c>
      <c r="F777" s="11">
        <v>163</v>
      </c>
    </row>
    <row r="778" spans="2:6" x14ac:dyDescent="0.3">
      <c r="B778" s="12">
        <v>775</v>
      </c>
      <c r="C778" s="28">
        <v>172.47172069488192</v>
      </c>
      <c r="E778" s="14" t="s">
        <v>2233</v>
      </c>
      <c r="F778" s="11">
        <v>166</v>
      </c>
    </row>
    <row r="779" spans="2:6" x14ac:dyDescent="0.3">
      <c r="B779" s="12">
        <v>776</v>
      </c>
      <c r="C779" s="28">
        <v>150.08013796126727</v>
      </c>
      <c r="E779" s="14" t="s">
        <v>807</v>
      </c>
      <c r="F779" s="11">
        <v>188</v>
      </c>
    </row>
    <row r="780" spans="2:6" x14ac:dyDescent="0.3">
      <c r="B780" s="12">
        <v>777</v>
      </c>
      <c r="C780" s="28">
        <v>175.58805530658833</v>
      </c>
      <c r="E780" s="14" t="s">
        <v>567</v>
      </c>
      <c r="F780" s="11">
        <v>165</v>
      </c>
    </row>
    <row r="781" spans="2:6" x14ac:dyDescent="0.3">
      <c r="B781" s="12">
        <v>778</v>
      </c>
      <c r="C781" s="28">
        <v>169.70220161500939</v>
      </c>
      <c r="E781" s="14" t="s">
        <v>1364</v>
      </c>
      <c r="F781" s="11">
        <v>177</v>
      </c>
    </row>
    <row r="782" spans="2:6" x14ac:dyDescent="0.3">
      <c r="B782" s="12">
        <v>779</v>
      </c>
      <c r="C782" s="28">
        <v>162.94202296730003</v>
      </c>
      <c r="E782" s="14" t="s">
        <v>2266</v>
      </c>
      <c r="F782" s="11">
        <v>172</v>
      </c>
    </row>
    <row r="783" spans="2:6" x14ac:dyDescent="0.3">
      <c r="B783" s="12">
        <v>780</v>
      </c>
      <c r="C783" s="28">
        <v>160.68871749847696</v>
      </c>
      <c r="E783" s="14" t="s">
        <v>2662</v>
      </c>
      <c r="F783" s="11">
        <v>186</v>
      </c>
    </row>
    <row r="784" spans="2:6" x14ac:dyDescent="0.3">
      <c r="B784" s="12">
        <v>781</v>
      </c>
      <c r="C784" s="28">
        <v>159.04893261046251</v>
      </c>
      <c r="E784" s="14" t="s">
        <v>2670</v>
      </c>
      <c r="F784" s="11">
        <v>173</v>
      </c>
    </row>
    <row r="785" spans="2:6" x14ac:dyDescent="0.3">
      <c r="B785" s="12">
        <v>782</v>
      </c>
      <c r="C785" s="28">
        <v>164.40302871046427</v>
      </c>
      <c r="E785" s="14" t="s">
        <v>4762</v>
      </c>
      <c r="F785" s="11">
        <v>179</v>
      </c>
    </row>
    <row r="786" spans="2:6" x14ac:dyDescent="0.3">
      <c r="B786" s="12">
        <v>783</v>
      </c>
      <c r="C786" s="28">
        <v>161.1389101323048</v>
      </c>
      <c r="E786" s="14" t="s">
        <v>4025</v>
      </c>
      <c r="F786" s="11">
        <v>165</v>
      </c>
    </row>
    <row r="787" spans="2:6" x14ac:dyDescent="0.3">
      <c r="B787" s="12">
        <v>784</v>
      </c>
      <c r="C787" s="28">
        <v>161.04340786342581</v>
      </c>
      <c r="E787" s="14" t="s">
        <v>1112</v>
      </c>
      <c r="F787" s="11">
        <v>170</v>
      </c>
    </row>
    <row r="788" spans="2:6" x14ac:dyDescent="0.3">
      <c r="B788" s="12">
        <v>785</v>
      </c>
      <c r="C788" s="28">
        <v>163.31148945706889</v>
      </c>
      <c r="E788" s="14" t="s">
        <v>353</v>
      </c>
      <c r="F788" s="11">
        <v>177</v>
      </c>
    </row>
    <row r="789" spans="2:6" x14ac:dyDescent="0.3">
      <c r="B789" s="12">
        <v>786</v>
      </c>
      <c r="C789" s="28">
        <v>153.07603310838573</v>
      </c>
      <c r="E789" s="14" t="s">
        <v>1179</v>
      </c>
      <c r="F789" s="11">
        <v>156</v>
      </c>
    </row>
    <row r="790" spans="2:6" x14ac:dyDescent="0.3">
      <c r="B790" s="12">
        <v>787</v>
      </c>
      <c r="C790" s="28">
        <v>164.90600638004034</v>
      </c>
      <c r="E790" s="14" t="s">
        <v>628</v>
      </c>
      <c r="F790" s="11">
        <v>186</v>
      </c>
    </row>
    <row r="791" spans="2:6" x14ac:dyDescent="0.3">
      <c r="B791" s="12">
        <v>788</v>
      </c>
      <c r="C791" s="28">
        <v>168.95405566123674</v>
      </c>
      <c r="E791" s="14" t="s">
        <v>1785</v>
      </c>
      <c r="F791" s="11">
        <v>185</v>
      </c>
    </row>
    <row r="792" spans="2:6" x14ac:dyDescent="0.3">
      <c r="B792" s="12">
        <v>789</v>
      </c>
      <c r="C792" s="28">
        <v>163.39546382390796</v>
      </c>
      <c r="E792" s="14" t="s">
        <v>3318</v>
      </c>
      <c r="F792" s="11">
        <v>166</v>
      </c>
    </row>
    <row r="793" spans="2:6" x14ac:dyDescent="0.3">
      <c r="B793" s="12">
        <v>790</v>
      </c>
      <c r="C793" s="28">
        <v>165.96624371032976</v>
      </c>
      <c r="E793" s="14" t="s">
        <v>11</v>
      </c>
      <c r="F793" s="11">
        <v>162</v>
      </c>
    </row>
    <row r="794" spans="2:6" x14ac:dyDescent="0.3">
      <c r="B794" s="12">
        <v>791</v>
      </c>
      <c r="C794" s="28">
        <v>158.09520943159166</v>
      </c>
      <c r="E794" s="14" t="s">
        <v>3155</v>
      </c>
      <c r="F794" s="11">
        <v>169</v>
      </c>
    </row>
    <row r="795" spans="2:6" x14ac:dyDescent="0.3">
      <c r="B795" s="12">
        <v>792</v>
      </c>
      <c r="C795" s="28">
        <v>153.99104164329086</v>
      </c>
      <c r="E795" s="14" t="s">
        <v>352</v>
      </c>
      <c r="F795" s="11">
        <v>161</v>
      </c>
    </row>
    <row r="796" spans="2:6" x14ac:dyDescent="0.3">
      <c r="B796" s="12">
        <v>793</v>
      </c>
      <c r="C796" s="28">
        <v>163.75233404879936</v>
      </c>
      <c r="E796" s="14" t="s">
        <v>415</v>
      </c>
      <c r="F796" s="11">
        <v>160</v>
      </c>
    </row>
    <row r="797" spans="2:6" x14ac:dyDescent="0.3">
      <c r="B797" s="12">
        <v>794</v>
      </c>
      <c r="C797" s="28">
        <v>168.69304334448313</v>
      </c>
      <c r="E797" s="14" t="s">
        <v>2748</v>
      </c>
      <c r="F797" s="11">
        <v>170</v>
      </c>
    </row>
    <row r="798" spans="2:6" x14ac:dyDescent="0.3">
      <c r="B798" s="12">
        <v>795</v>
      </c>
      <c r="C798" s="28">
        <v>175.19647691226382</v>
      </c>
      <c r="E798" s="14" t="s">
        <v>1495</v>
      </c>
      <c r="F798" s="11">
        <v>179</v>
      </c>
    </row>
    <row r="799" spans="2:6" x14ac:dyDescent="0.3">
      <c r="B799" s="12">
        <v>796</v>
      </c>
      <c r="C799" s="28">
        <v>157.43994385315563</v>
      </c>
      <c r="E799" s="14" t="s">
        <v>4013</v>
      </c>
      <c r="F799" s="11">
        <v>172</v>
      </c>
    </row>
    <row r="800" spans="2:6" x14ac:dyDescent="0.3">
      <c r="B800" s="12">
        <v>797</v>
      </c>
      <c r="C800" s="28">
        <v>157.88855718980017</v>
      </c>
      <c r="E800" s="14" t="s">
        <v>1093</v>
      </c>
      <c r="F800" s="11">
        <v>170</v>
      </c>
    </row>
    <row r="801" spans="2:6" x14ac:dyDescent="0.3">
      <c r="B801" s="12">
        <v>798</v>
      </c>
      <c r="C801" s="28">
        <v>155.98289786348306</v>
      </c>
      <c r="E801" s="14" t="s">
        <v>2688</v>
      </c>
      <c r="F801" s="11">
        <v>163</v>
      </c>
    </row>
    <row r="802" spans="2:6" x14ac:dyDescent="0.3">
      <c r="B802" s="12">
        <v>799</v>
      </c>
      <c r="C802" s="28">
        <v>164.45775585882791</v>
      </c>
      <c r="E802" s="14" t="s">
        <v>1396</v>
      </c>
      <c r="F802" s="11">
        <v>192</v>
      </c>
    </row>
    <row r="803" spans="2:6" x14ac:dyDescent="0.3">
      <c r="B803" s="12">
        <v>800</v>
      </c>
      <c r="C803" s="28">
        <v>162.16391200603482</v>
      </c>
      <c r="E803" s="14" t="s">
        <v>3389</v>
      </c>
      <c r="F803" s="11">
        <v>166</v>
      </c>
    </row>
    <row r="804" spans="2:6" x14ac:dyDescent="0.3">
      <c r="B804" s="12">
        <v>801</v>
      </c>
      <c r="C804" s="28">
        <v>168.29597539828535</v>
      </c>
      <c r="E804" s="14" t="s">
        <v>398</v>
      </c>
      <c r="F804" s="11">
        <v>171</v>
      </c>
    </row>
    <row r="805" spans="2:6" x14ac:dyDescent="0.3">
      <c r="B805" s="12">
        <v>802</v>
      </c>
      <c r="C805" s="28">
        <v>164.09563617647692</v>
      </c>
      <c r="E805" s="14" t="s">
        <v>657</v>
      </c>
      <c r="F805" s="11">
        <v>164</v>
      </c>
    </row>
    <row r="806" spans="2:6" x14ac:dyDescent="0.3">
      <c r="B806" s="12">
        <v>803</v>
      </c>
      <c r="C806" s="28">
        <v>163.60087813848693</v>
      </c>
      <c r="E806" s="14" t="s">
        <v>3333</v>
      </c>
      <c r="F806" s="11">
        <v>165</v>
      </c>
    </row>
    <row r="807" spans="2:6" x14ac:dyDescent="0.3">
      <c r="B807" s="12">
        <v>804</v>
      </c>
      <c r="C807" s="28">
        <v>172.27477610843178</v>
      </c>
      <c r="E807" s="14" t="s">
        <v>4753</v>
      </c>
      <c r="F807" s="11">
        <v>164</v>
      </c>
    </row>
    <row r="808" spans="2:6" x14ac:dyDescent="0.3">
      <c r="B808" s="12">
        <v>805</v>
      </c>
      <c r="C808" s="28">
        <v>161.88143159259039</v>
      </c>
      <c r="E808" s="14" t="s">
        <v>3414</v>
      </c>
      <c r="F808" s="11">
        <v>190</v>
      </c>
    </row>
    <row r="809" spans="2:6" x14ac:dyDescent="0.3">
      <c r="B809" s="12">
        <v>806</v>
      </c>
      <c r="C809" s="28">
        <v>175.95082473124742</v>
      </c>
      <c r="E809" s="14" t="s">
        <v>2665</v>
      </c>
      <c r="F809" s="11">
        <v>162</v>
      </c>
    </row>
    <row r="810" spans="2:6" x14ac:dyDescent="0.3">
      <c r="B810" s="12">
        <v>807</v>
      </c>
      <c r="C810" s="28">
        <v>171.81458818844399</v>
      </c>
      <c r="E810" s="14" t="s">
        <v>2887</v>
      </c>
      <c r="F810" s="11">
        <v>165</v>
      </c>
    </row>
    <row r="811" spans="2:6" x14ac:dyDescent="0.3">
      <c r="B811" s="12">
        <v>808</v>
      </c>
      <c r="C811" s="28">
        <v>153.84394858210695</v>
      </c>
      <c r="E811" s="14" t="s">
        <v>484</v>
      </c>
      <c r="F811" s="11">
        <v>165</v>
      </c>
    </row>
    <row r="812" spans="2:6" x14ac:dyDescent="0.3">
      <c r="B812" s="12">
        <v>809</v>
      </c>
      <c r="C812" s="28">
        <v>152.49471065778428</v>
      </c>
      <c r="E812" s="14" t="s">
        <v>2991</v>
      </c>
      <c r="F812" s="11">
        <v>168</v>
      </c>
    </row>
    <row r="813" spans="2:6" x14ac:dyDescent="0.3">
      <c r="B813" s="12">
        <v>810</v>
      </c>
      <c r="C813" s="28">
        <v>151.45157555004346</v>
      </c>
      <c r="E813" s="14" t="s">
        <v>710</v>
      </c>
      <c r="F813" s="11">
        <v>175</v>
      </c>
    </row>
    <row r="814" spans="2:6" x14ac:dyDescent="0.3">
      <c r="B814" s="12">
        <v>811</v>
      </c>
      <c r="C814" s="28">
        <v>173.56695667244421</v>
      </c>
      <c r="E814" s="14" t="s">
        <v>712</v>
      </c>
      <c r="F814" s="11">
        <v>170</v>
      </c>
    </row>
    <row r="815" spans="2:6" x14ac:dyDescent="0.3">
      <c r="B815" s="12">
        <v>812</v>
      </c>
      <c r="C815" s="28">
        <v>166.84728707617552</v>
      </c>
      <c r="E815" s="14" t="s">
        <v>715</v>
      </c>
      <c r="F815" s="11">
        <v>158</v>
      </c>
    </row>
    <row r="816" spans="2:6" x14ac:dyDescent="0.3">
      <c r="B816" s="12">
        <v>813</v>
      </c>
      <c r="C816" s="28">
        <v>173.14668368902795</v>
      </c>
      <c r="E816" s="14" t="s">
        <v>716</v>
      </c>
      <c r="F816" s="11">
        <v>172</v>
      </c>
    </row>
    <row r="817" spans="2:6" x14ac:dyDescent="0.3">
      <c r="B817" s="12">
        <v>814</v>
      </c>
      <c r="C817" s="28">
        <v>171.49673351937454</v>
      </c>
      <c r="E817" s="14" t="s">
        <v>724</v>
      </c>
      <c r="F817" s="11">
        <v>173</v>
      </c>
    </row>
    <row r="818" spans="2:6" x14ac:dyDescent="0.3">
      <c r="B818" s="12">
        <v>815</v>
      </c>
      <c r="C818" s="28">
        <v>161.19505436745729</v>
      </c>
      <c r="E818" s="14" t="s">
        <v>26</v>
      </c>
      <c r="F818" s="11">
        <v>172</v>
      </c>
    </row>
    <row r="819" spans="2:6" x14ac:dyDescent="0.3">
      <c r="B819" s="12">
        <v>816</v>
      </c>
      <c r="C819" s="28">
        <v>161.90732120518544</v>
      </c>
      <c r="E819" s="14" t="s">
        <v>1698</v>
      </c>
      <c r="F819" s="11">
        <v>167</v>
      </c>
    </row>
    <row r="820" spans="2:6" x14ac:dyDescent="0.3">
      <c r="B820" s="12">
        <v>817</v>
      </c>
      <c r="C820" s="28">
        <v>170.367098336276</v>
      </c>
      <c r="E820" s="14" t="s">
        <v>4517</v>
      </c>
      <c r="F820" s="11">
        <v>180</v>
      </c>
    </row>
    <row r="821" spans="2:6" x14ac:dyDescent="0.3">
      <c r="B821" s="12">
        <v>818</v>
      </c>
      <c r="C821" s="28">
        <v>159.24449242562835</v>
      </c>
      <c r="E821" s="14" t="s">
        <v>2823</v>
      </c>
      <c r="F821" s="11">
        <v>145</v>
      </c>
    </row>
    <row r="822" spans="2:6" x14ac:dyDescent="0.3">
      <c r="B822" s="12">
        <v>819</v>
      </c>
      <c r="C822" s="28">
        <v>170.77602102071779</v>
      </c>
      <c r="E822" s="14" t="s">
        <v>4720</v>
      </c>
      <c r="F822" s="11">
        <v>162</v>
      </c>
    </row>
    <row r="823" spans="2:6" x14ac:dyDescent="0.3">
      <c r="B823" s="12">
        <v>820</v>
      </c>
      <c r="C823" s="28">
        <v>159.52021287325547</v>
      </c>
      <c r="E823" s="14" t="s">
        <v>4750</v>
      </c>
      <c r="F823" s="11">
        <v>178</v>
      </c>
    </row>
    <row r="824" spans="2:6" x14ac:dyDescent="0.3">
      <c r="B824" s="12">
        <v>821</v>
      </c>
      <c r="C824" s="28">
        <v>157.77848101834005</v>
      </c>
      <c r="E824" s="14" t="s">
        <v>1770</v>
      </c>
      <c r="F824" s="11">
        <v>168</v>
      </c>
    </row>
    <row r="825" spans="2:6" x14ac:dyDescent="0.3">
      <c r="B825" s="12">
        <v>822</v>
      </c>
      <c r="C825" s="28">
        <v>146.83060003643843</v>
      </c>
      <c r="E825" s="14" t="s">
        <v>2676</v>
      </c>
      <c r="F825" s="11">
        <v>173</v>
      </c>
    </row>
    <row r="826" spans="2:6" x14ac:dyDescent="0.3">
      <c r="B826" s="12">
        <v>823</v>
      </c>
      <c r="C826" s="28">
        <v>161.07118932322064</v>
      </c>
      <c r="E826" s="14" t="s">
        <v>3385</v>
      </c>
      <c r="F826" s="11">
        <v>169</v>
      </c>
    </row>
    <row r="827" spans="2:6" x14ac:dyDescent="0.3">
      <c r="B827" s="12">
        <v>824</v>
      </c>
      <c r="C827" s="28">
        <v>158.45925674021589</v>
      </c>
      <c r="E827" s="14" t="s">
        <v>4528</v>
      </c>
      <c r="F827" s="11">
        <v>157</v>
      </c>
    </row>
    <row r="828" spans="2:6" x14ac:dyDescent="0.3">
      <c r="B828" s="12">
        <v>825</v>
      </c>
      <c r="C828" s="28">
        <v>157.60736627079729</v>
      </c>
      <c r="E828" s="14" t="s">
        <v>1297</v>
      </c>
      <c r="F828" s="11">
        <v>165</v>
      </c>
    </row>
    <row r="829" spans="2:6" x14ac:dyDescent="0.3">
      <c r="B829" s="12">
        <v>826</v>
      </c>
      <c r="C829" s="28">
        <v>161.99632158109671</v>
      </c>
      <c r="E829" s="14" t="s">
        <v>3841</v>
      </c>
      <c r="F829" s="11">
        <v>179</v>
      </c>
    </row>
    <row r="830" spans="2:6" x14ac:dyDescent="0.3">
      <c r="B830" s="12">
        <v>827</v>
      </c>
      <c r="C830" s="28">
        <v>174.54224590839573</v>
      </c>
      <c r="E830" s="14" t="s">
        <v>358</v>
      </c>
      <c r="F830" s="11">
        <v>173</v>
      </c>
    </row>
    <row r="831" spans="2:6" x14ac:dyDescent="0.3">
      <c r="B831" s="12">
        <v>828</v>
      </c>
      <c r="C831" s="28">
        <v>165.29803942995642</v>
      </c>
      <c r="E831" s="14" t="s">
        <v>486</v>
      </c>
      <c r="F831" s="11">
        <v>173</v>
      </c>
    </row>
    <row r="832" spans="2:6" x14ac:dyDescent="0.3">
      <c r="B832" s="12">
        <v>829</v>
      </c>
      <c r="C832" s="28">
        <v>156.36394716425087</v>
      </c>
      <c r="E832" s="14" t="s">
        <v>488</v>
      </c>
      <c r="F832" s="11">
        <v>175</v>
      </c>
    </row>
    <row r="833" spans="2:6" x14ac:dyDescent="0.3">
      <c r="B833" s="12">
        <v>830</v>
      </c>
      <c r="C833" s="28">
        <v>156.766066664931</v>
      </c>
      <c r="E833" s="14" t="s">
        <v>673</v>
      </c>
      <c r="F833" s="11">
        <v>172</v>
      </c>
    </row>
    <row r="834" spans="2:6" x14ac:dyDescent="0.3">
      <c r="B834" s="12">
        <v>831</v>
      </c>
      <c r="C834" s="28">
        <v>163.88488899839706</v>
      </c>
      <c r="E834" s="14" t="s">
        <v>1044</v>
      </c>
      <c r="F834" s="11">
        <v>168</v>
      </c>
    </row>
    <row r="835" spans="2:6" x14ac:dyDescent="0.3">
      <c r="B835" s="12">
        <v>832</v>
      </c>
      <c r="C835" s="28">
        <v>154.35848858392887</v>
      </c>
      <c r="E835" s="14" t="s">
        <v>1605</v>
      </c>
      <c r="F835" s="11">
        <v>167</v>
      </c>
    </row>
    <row r="836" spans="2:6" x14ac:dyDescent="0.3">
      <c r="B836" s="12">
        <v>833</v>
      </c>
      <c r="C836" s="28">
        <v>165.74701382574449</v>
      </c>
      <c r="E836" s="14" t="s">
        <v>2356</v>
      </c>
      <c r="F836" s="11">
        <v>164</v>
      </c>
    </row>
    <row r="837" spans="2:6" x14ac:dyDescent="0.3">
      <c r="B837" s="12">
        <v>834</v>
      </c>
      <c r="C837" s="28">
        <v>160.66685241134365</v>
      </c>
      <c r="E837" s="14" t="s">
        <v>4272</v>
      </c>
      <c r="F837" s="11">
        <v>165</v>
      </c>
    </row>
    <row r="838" spans="2:6" x14ac:dyDescent="0.3">
      <c r="B838" s="12">
        <v>835</v>
      </c>
      <c r="C838" s="28">
        <v>165.20724185122629</v>
      </c>
      <c r="E838" s="14" t="s">
        <v>4102</v>
      </c>
      <c r="F838" s="11">
        <v>168</v>
      </c>
    </row>
    <row r="839" spans="2:6" x14ac:dyDescent="0.3">
      <c r="B839" s="12">
        <v>836</v>
      </c>
      <c r="C839" s="28">
        <v>162.01103082563603</v>
      </c>
      <c r="E839" s="14" t="s">
        <v>1094</v>
      </c>
      <c r="F839" s="11">
        <v>170</v>
      </c>
    </row>
    <row r="840" spans="2:6" x14ac:dyDescent="0.3">
      <c r="B840" s="12">
        <v>837</v>
      </c>
      <c r="C840" s="28">
        <v>159.81692571628832</v>
      </c>
      <c r="E840" s="14" t="s">
        <v>4181</v>
      </c>
      <c r="F840" s="11">
        <v>180</v>
      </c>
    </row>
    <row r="841" spans="2:6" x14ac:dyDescent="0.3">
      <c r="B841" s="12">
        <v>838</v>
      </c>
      <c r="C841" s="28">
        <v>160.71016505668516</v>
      </c>
      <c r="E841" s="14" t="s">
        <v>4743</v>
      </c>
      <c r="F841" s="11">
        <v>173</v>
      </c>
    </row>
    <row r="842" spans="2:6" x14ac:dyDescent="0.3">
      <c r="B842" s="12">
        <v>839</v>
      </c>
      <c r="C842" s="28">
        <v>163.63781924987532</v>
      </c>
      <c r="E842" s="14" t="s">
        <v>725</v>
      </c>
      <c r="F842" s="11">
        <v>165</v>
      </c>
    </row>
    <row r="843" spans="2:6" x14ac:dyDescent="0.3">
      <c r="B843" s="12">
        <v>840</v>
      </c>
      <c r="C843" s="28">
        <v>165.49390288368849</v>
      </c>
      <c r="E843" s="14" t="s">
        <v>1739</v>
      </c>
      <c r="F843" s="11">
        <v>176</v>
      </c>
    </row>
    <row r="844" spans="2:6" x14ac:dyDescent="0.3">
      <c r="B844" s="12">
        <v>841</v>
      </c>
      <c r="C844" s="28">
        <v>163.17675130007865</v>
      </c>
      <c r="E844" s="14" t="s">
        <v>889</v>
      </c>
      <c r="F844" s="11">
        <v>182</v>
      </c>
    </row>
    <row r="845" spans="2:6" x14ac:dyDescent="0.3">
      <c r="B845" s="12">
        <v>842</v>
      </c>
      <c r="C845" s="28">
        <v>157.20988755683888</v>
      </c>
      <c r="E845" s="14" t="s">
        <v>1843</v>
      </c>
      <c r="F845" s="11">
        <v>163</v>
      </c>
    </row>
    <row r="846" spans="2:6" x14ac:dyDescent="0.3">
      <c r="B846" s="12">
        <v>843</v>
      </c>
      <c r="C846" s="28">
        <v>159.40013524608352</v>
      </c>
      <c r="E846" s="14" t="s">
        <v>1520</v>
      </c>
      <c r="F846" s="11">
        <v>162</v>
      </c>
    </row>
    <row r="847" spans="2:6" x14ac:dyDescent="0.3">
      <c r="B847" s="12">
        <v>844</v>
      </c>
      <c r="C847" s="28">
        <v>171.9865281149815</v>
      </c>
      <c r="E847" s="14" t="s">
        <v>732</v>
      </c>
      <c r="F847" s="11">
        <v>171</v>
      </c>
    </row>
    <row r="848" spans="2:6" x14ac:dyDescent="0.3">
      <c r="B848" s="12">
        <v>845</v>
      </c>
      <c r="C848" s="28">
        <v>168.38655615870485</v>
      </c>
      <c r="E848" s="14" t="s">
        <v>733</v>
      </c>
      <c r="F848" s="11">
        <v>177</v>
      </c>
    </row>
    <row r="849" spans="2:6" x14ac:dyDescent="0.3">
      <c r="B849" s="12">
        <v>846</v>
      </c>
      <c r="C849" s="28">
        <v>148.78704259698617</v>
      </c>
      <c r="E849" s="14" t="s">
        <v>734</v>
      </c>
      <c r="F849" s="11">
        <v>195</v>
      </c>
    </row>
    <row r="850" spans="2:6" x14ac:dyDescent="0.3">
      <c r="B850" s="12">
        <v>847</v>
      </c>
      <c r="C850" s="28">
        <v>156.59550059924109</v>
      </c>
      <c r="E850" s="14" t="s">
        <v>735</v>
      </c>
      <c r="F850" s="11">
        <v>169</v>
      </c>
    </row>
    <row r="851" spans="2:6" x14ac:dyDescent="0.3">
      <c r="B851" s="12">
        <v>848</v>
      </c>
      <c r="C851" s="28">
        <v>148.51629845182325</v>
      </c>
      <c r="E851" s="14" t="s">
        <v>736</v>
      </c>
      <c r="F851" s="11">
        <v>172</v>
      </c>
    </row>
    <row r="852" spans="2:6" x14ac:dyDescent="0.3">
      <c r="B852" s="12">
        <v>849</v>
      </c>
      <c r="C852" s="28">
        <v>164.98911566766981</v>
      </c>
      <c r="E852" s="14" t="s">
        <v>737</v>
      </c>
      <c r="F852" s="11">
        <v>163</v>
      </c>
    </row>
    <row r="853" spans="2:6" x14ac:dyDescent="0.3">
      <c r="B853" s="12">
        <v>850</v>
      </c>
      <c r="C853" s="28">
        <v>147.18561139488722</v>
      </c>
      <c r="E853" s="14" t="s">
        <v>738</v>
      </c>
      <c r="F853" s="11">
        <v>160</v>
      </c>
    </row>
    <row r="854" spans="2:6" x14ac:dyDescent="0.3">
      <c r="B854" s="12">
        <v>851</v>
      </c>
      <c r="C854" s="28">
        <v>173.00300335658753</v>
      </c>
      <c r="E854" s="14" t="s">
        <v>739</v>
      </c>
      <c r="F854" s="11">
        <v>162</v>
      </c>
    </row>
    <row r="855" spans="2:6" x14ac:dyDescent="0.3">
      <c r="B855" s="12">
        <v>852</v>
      </c>
      <c r="C855" s="28">
        <v>152.7654267950586</v>
      </c>
      <c r="E855" s="14" t="s">
        <v>740</v>
      </c>
      <c r="F855" s="11">
        <v>149</v>
      </c>
    </row>
    <row r="856" spans="2:6" x14ac:dyDescent="0.3">
      <c r="B856" s="12">
        <v>853</v>
      </c>
      <c r="C856" s="28">
        <v>166.73225927059278</v>
      </c>
      <c r="E856" s="14" t="s">
        <v>741</v>
      </c>
      <c r="F856" s="11">
        <v>175</v>
      </c>
    </row>
    <row r="857" spans="2:6" x14ac:dyDescent="0.3">
      <c r="B857" s="12">
        <v>854</v>
      </c>
      <c r="C857" s="28">
        <v>162.10972115814343</v>
      </c>
      <c r="E857" s="14" t="s">
        <v>743</v>
      </c>
      <c r="F857" s="11">
        <v>182</v>
      </c>
    </row>
    <row r="858" spans="2:6" x14ac:dyDescent="0.3">
      <c r="B858" s="12">
        <v>855</v>
      </c>
      <c r="C858" s="28">
        <v>171.56852479553922</v>
      </c>
      <c r="E858" s="14" t="s">
        <v>744</v>
      </c>
      <c r="F858" s="11">
        <v>177</v>
      </c>
    </row>
    <row r="859" spans="2:6" x14ac:dyDescent="0.3">
      <c r="B859" s="12">
        <v>856</v>
      </c>
      <c r="C859" s="28">
        <v>171.32371980825582</v>
      </c>
      <c r="E859" s="14" t="s">
        <v>745</v>
      </c>
      <c r="F859" s="11">
        <v>180</v>
      </c>
    </row>
    <row r="860" spans="2:6" x14ac:dyDescent="0.3">
      <c r="B860" s="12">
        <v>857</v>
      </c>
      <c r="C860" s="28">
        <v>165.0089324267106</v>
      </c>
      <c r="E860" s="14" t="s">
        <v>746</v>
      </c>
      <c r="F860" s="11">
        <v>164</v>
      </c>
    </row>
    <row r="861" spans="2:6" x14ac:dyDescent="0.3">
      <c r="B861" s="12">
        <v>858</v>
      </c>
      <c r="C861" s="28">
        <v>157.85921121819021</v>
      </c>
      <c r="E861" s="14" t="s">
        <v>747</v>
      </c>
      <c r="F861" s="11">
        <v>157</v>
      </c>
    </row>
    <row r="862" spans="2:6" x14ac:dyDescent="0.3">
      <c r="B862" s="12">
        <v>859</v>
      </c>
      <c r="C862" s="28">
        <v>164.08745067861705</v>
      </c>
      <c r="E862" s="14" t="s">
        <v>749</v>
      </c>
      <c r="F862" s="11">
        <v>162</v>
      </c>
    </row>
    <row r="863" spans="2:6" x14ac:dyDescent="0.3">
      <c r="B863" s="12">
        <v>860</v>
      </c>
      <c r="C863" s="28">
        <v>165.39010700204824</v>
      </c>
      <c r="E863" s="14" t="s">
        <v>750</v>
      </c>
      <c r="F863" s="11">
        <v>165</v>
      </c>
    </row>
    <row r="864" spans="2:6" x14ac:dyDescent="0.3">
      <c r="B864" s="12">
        <v>861</v>
      </c>
      <c r="C864" s="28">
        <v>163.34869332919845</v>
      </c>
      <c r="E864" s="14" t="s">
        <v>751</v>
      </c>
      <c r="F864" s="11">
        <v>150</v>
      </c>
    </row>
    <row r="865" spans="2:6" x14ac:dyDescent="0.3">
      <c r="B865" s="12">
        <v>862</v>
      </c>
      <c r="C865" s="28">
        <v>159.15473365444547</v>
      </c>
      <c r="E865" s="14" t="s">
        <v>4369</v>
      </c>
      <c r="F865" s="11">
        <v>165</v>
      </c>
    </row>
    <row r="866" spans="2:6" x14ac:dyDescent="0.3">
      <c r="B866" s="12">
        <v>863</v>
      </c>
      <c r="C866" s="28">
        <v>162.46659617876128</v>
      </c>
      <c r="E866" s="14" t="s">
        <v>616</v>
      </c>
      <c r="F866" s="11">
        <v>171</v>
      </c>
    </row>
    <row r="867" spans="2:6" x14ac:dyDescent="0.3">
      <c r="B867" s="12">
        <v>864</v>
      </c>
      <c r="C867" s="28">
        <v>164.93399311060884</v>
      </c>
      <c r="E867" s="14" t="s">
        <v>2666</v>
      </c>
      <c r="F867" s="11">
        <v>171</v>
      </c>
    </row>
    <row r="868" spans="2:6" x14ac:dyDescent="0.3">
      <c r="B868" s="12">
        <v>865</v>
      </c>
      <c r="C868" s="28">
        <v>169.39349629379768</v>
      </c>
      <c r="E868" s="14" t="s">
        <v>4217</v>
      </c>
      <c r="F868" s="11">
        <v>176</v>
      </c>
    </row>
    <row r="869" spans="2:6" x14ac:dyDescent="0.3">
      <c r="B869" s="12">
        <v>866</v>
      </c>
      <c r="C869" s="28">
        <v>172.77659717054709</v>
      </c>
      <c r="E869" s="14" t="s">
        <v>1111</v>
      </c>
      <c r="F869" s="11">
        <v>172</v>
      </c>
    </row>
    <row r="870" spans="2:6" x14ac:dyDescent="0.3">
      <c r="B870" s="12">
        <v>867</v>
      </c>
      <c r="C870" s="28">
        <v>159.77293115462484</v>
      </c>
      <c r="E870" s="14" t="s">
        <v>4449</v>
      </c>
      <c r="F870" s="11">
        <v>180</v>
      </c>
    </row>
    <row r="871" spans="2:6" x14ac:dyDescent="0.3">
      <c r="B871" s="12">
        <v>868</v>
      </c>
      <c r="C871" s="28">
        <v>161.7111263883117</v>
      </c>
      <c r="E871" s="14" t="s">
        <v>2976</v>
      </c>
      <c r="F871" s="11">
        <v>163</v>
      </c>
    </row>
    <row r="872" spans="2:6" x14ac:dyDescent="0.3">
      <c r="B872" s="12">
        <v>869</v>
      </c>
      <c r="C872" s="28">
        <v>148.27710297269954</v>
      </c>
      <c r="E872" s="14" t="s">
        <v>1791</v>
      </c>
      <c r="F872" s="11">
        <v>170</v>
      </c>
    </row>
    <row r="873" spans="2:6" x14ac:dyDescent="0.3">
      <c r="B873" s="12">
        <v>870</v>
      </c>
      <c r="C873" s="28">
        <v>158.09937722217373</v>
      </c>
      <c r="E873" s="14" t="s">
        <v>182</v>
      </c>
      <c r="F873" s="11">
        <v>158</v>
      </c>
    </row>
    <row r="874" spans="2:6" x14ac:dyDescent="0.3">
      <c r="B874" s="12">
        <v>871</v>
      </c>
      <c r="C874" s="28">
        <v>170.88421391999887</v>
      </c>
      <c r="E874" s="14" t="s">
        <v>3139</v>
      </c>
      <c r="F874" s="11">
        <v>178</v>
      </c>
    </row>
    <row r="875" spans="2:6" x14ac:dyDescent="0.3">
      <c r="B875" s="12">
        <v>872</v>
      </c>
      <c r="C875" s="28">
        <v>157.28619208161433</v>
      </c>
      <c r="E875" s="14" t="s">
        <v>3074</v>
      </c>
      <c r="F875" s="11">
        <v>168</v>
      </c>
    </row>
    <row r="876" spans="2:6" x14ac:dyDescent="0.3">
      <c r="B876" s="12">
        <v>873</v>
      </c>
      <c r="C876" s="28">
        <v>156.5824685856374</v>
      </c>
      <c r="E876" s="14" t="s">
        <v>1327</v>
      </c>
      <c r="F876" s="11">
        <v>165</v>
      </c>
    </row>
    <row r="877" spans="2:6" x14ac:dyDescent="0.3">
      <c r="B877" s="12">
        <v>874</v>
      </c>
      <c r="C877" s="28">
        <v>160.35614196382596</v>
      </c>
      <c r="E877" s="14" t="s">
        <v>4836</v>
      </c>
      <c r="F877" s="11">
        <v>164</v>
      </c>
    </row>
    <row r="878" spans="2:6" x14ac:dyDescent="0.3">
      <c r="B878" s="12">
        <v>875</v>
      </c>
      <c r="C878" s="28">
        <v>166.82289734032136</v>
      </c>
      <c r="E878" s="14" t="s">
        <v>589</v>
      </c>
      <c r="F878" s="11">
        <v>172</v>
      </c>
    </row>
    <row r="879" spans="2:6" x14ac:dyDescent="0.3">
      <c r="B879" s="12">
        <v>876</v>
      </c>
      <c r="C879" s="28">
        <v>157.04128650304446</v>
      </c>
      <c r="E879" s="14" t="s">
        <v>1108</v>
      </c>
      <c r="F879" s="11">
        <v>176</v>
      </c>
    </row>
    <row r="880" spans="2:6" x14ac:dyDescent="0.3">
      <c r="B880" s="12">
        <v>877</v>
      </c>
      <c r="C880" s="28">
        <v>156.63274511597822</v>
      </c>
      <c r="E880" s="14" t="s">
        <v>2366</v>
      </c>
      <c r="F880" s="11">
        <v>169</v>
      </c>
    </row>
    <row r="881" spans="2:6" x14ac:dyDescent="0.3">
      <c r="B881" s="12">
        <v>878</v>
      </c>
      <c r="C881" s="28">
        <v>166.87324481598384</v>
      </c>
      <c r="E881" s="14" t="s">
        <v>4437</v>
      </c>
      <c r="F881" s="11">
        <v>169</v>
      </c>
    </row>
    <row r="882" spans="2:6" x14ac:dyDescent="0.3">
      <c r="B882" s="12">
        <v>879</v>
      </c>
      <c r="C882" s="28">
        <v>150.53160570630126</v>
      </c>
      <c r="E882" s="14" t="s">
        <v>3828</v>
      </c>
      <c r="F882" s="11">
        <v>166</v>
      </c>
    </row>
    <row r="883" spans="2:6" x14ac:dyDescent="0.3">
      <c r="B883" s="12">
        <v>880</v>
      </c>
      <c r="C883" s="28">
        <v>163.88239269431574</v>
      </c>
      <c r="E883" s="14" t="s">
        <v>918</v>
      </c>
      <c r="F883" s="11">
        <v>180</v>
      </c>
    </row>
    <row r="884" spans="2:6" x14ac:dyDescent="0.3">
      <c r="B884" s="12">
        <v>881</v>
      </c>
      <c r="C884" s="28">
        <v>162.32034329275911</v>
      </c>
      <c r="E884" s="14" t="s">
        <v>1190</v>
      </c>
      <c r="F884" s="11">
        <v>168</v>
      </c>
    </row>
    <row r="885" spans="2:6" x14ac:dyDescent="0.3">
      <c r="B885" s="12">
        <v>882</v>
      </c>
      <c r="C885" s="28">
        <v>153.96054033798748</v>
      </c>
      <c r="E885" s="14" t="s">
        <v>2463</v>
      </c>
      <c r="F885" s="11">
        <v>165</v>
      </c>
    </row>
    <row r="886" spans="2:6" x14ac:dyDescent="0.3">
      <c r="B886" s="12">
        <v>883</v>
      </c>
      <c r="C886" s="28">
        <v>167.48614117417696</v>
      </c>
      <c r="E886" s="14" t="s">
        <v>2558</v>
      </c>
      <c r="F886" s="11">
        <v>165</v>
      </c>
    </row>
    <row r="887" spans="2:6" x14ac:dyDescent="0.3">
      <c r="B887" s="12">
        <v>884</v>
      </c>
      <c r="C887" s="28">
        <v>150.57032108835321</v>
      </c>
      <c r="E887" s="14" t="s">
        <v>3578</v>
      </c>
      <c r="F887" s="11">
        <v>155</v>
      </c>
    </row>
    <row r="888" spans="2:6" x14ac:dyDescent="0.3">
      <c r="B888" s="12">
        <v>885</v>
      </c>
      <c r="C888" s="28">
        <v>169.67832800487</v>
      </c>
      <c r="E888" s="14" t="s">
        <v>4350</v>
      </c>
      <c r="F888" s="11">
        <v>178</v>
      </c>
    </row>
    <row r="889" spans="2:6" x14ac:dyDescent="0.3">
      <c r="B889" s="12">
        <v>886</v>
      </c>
      <c r="C889" s="28">
        <v>162.02794273225712</v>
      </c>
      <c r="E889" s="14" t="s">
        <v>4758</v>
      </c>
      <c r="F889" s="11">
        <v>158</v>
      </c>
    </row>
    <row r="890" spans="2:6" x14ac:dyDescent="0.3">
      <c r="B890" s="12">
        <v>887</v>
      </c>
      <c r="C890" s="28">
        <v>166.83236440446973</v>
      </c>
      <c r="E890" s="14" t="s">
        <v>775</v>
      </c>
      <c r="F890" s="11">
        <v>159</v>
      </c>
    </row>
    <row r="891" spans="2:6" x14ac:dyDescent="0.3">
      <c r="B891" s="12">
        <v>888</v>
      </c>
      <c r="C891" s="28">
        <v>171.22918147803975</v>
      </c>
      <c r="E891" s="14" t="s">
        <v>776</v>
      </c>
      <c r="F891" s="11">
        <v>159</v>
      </c>
    </row>
    <row r="892" spans="2:6" x14ac:dyDescent="0.3">
      <c r="B892" s="12">
        <v>889</v>
      </c>
      <c r="C892" s="28">
        <v>164.50424254108043</v>
      </c>
      <c r="E892" s="14" t="s">
        <v>777</v>
      </c>
      <c r="F892" s="11">
        <v>169</v>
      </c>
    </row>
    <row r="893" spans="2:6" x14ac:dyDescent="0.3">
      <c r="B893" s="12">
        <v>890</v>
      </c>
      <c r="C893" s="28">
        <v>168.46287254048428</v>
      </c>
      <c r="E893" s="14" t="s">
        <v>778</v>
      </c>
      <c r="F893" s="11">
        <v>174</v>
      </c>
    </row>
    <row r="894" spans="2:6" x14ac:dyDescent="0.3">
      <c r="B894" s="12">
        <v>891</v>
      </c>
      <c r="C894" s="28">
        <v>161.78608085976035</v>
      </c>
      <c r="E894" s="14" t="s">
        <v>779</v>
      </c>
      <c r="F894" s="11">
        <v>168</v>
      </c>
    </row>
    <row r="895" spans="2:6" x14ac:dyDescent="0.3">
      <c r="B895" s="12">
        <v>892</v>
      </c>
      <c r="C895" s="28">
        <v>156.84578858490875</v>
      </c>
      <c r="E895" s="14" t="s">
        <v>780</v>
      </c>
      <c r="F895" s="11">
        <v>177</v>
      </c>
    </row>
    <row r="896" spans="2:6" x14ac:dyDescent="0.3">
      <c r="B896" s="12">
        <v>893</v>
      </c>
      <c r="C896" s="28">
        <v>158.35530362463638</v>
      </c>
      <c r="E896" s="14" t="s">
        <v>785</v>
      </c>
      <c r="F896" s="11">
        <v>155</v>
      </c>
    </row>
    <row r="897" spans="2:6" x14ac:dyDescent="0.3">
      <c r="B897" s="12">
        <v>894</v>
      </c>
      <c r="C897" s="28">
        <v>168.62408563913874</v>
      </c>
      <c r="E897" s="14" t="s">
        <v>1468</v>
      </c>
      <c r="F897" s="11">
        <v>168</v>
      </c>
    </row>
    <row r="898" spans="2:6" x14ac:dyDescent="0.3">
      <c r="B898" s="12">
        <v>895</v>
      </c>
      <c r="C898" s="28">
        <v>156.45250477019522</v>
      </c>
      <c r="E898" s="14" t="s">
        <v>4721</v>
      </c>
      <c r="F898" s="11">
        <v>160</v>
      </c>
    </row>
    <row r="899" spans="2:6" x14ac:dyDescent="0.3">
      <c r="B899" s="12">
        <v>896</v>
      </c>
      <c r="C899" s="28">
        <v>172.5720117553017</v>
      </c>
      <c r="E899" s="14" t="s">
        <v>1600</v>
      </c>
      <c r="F899" s="11">
        <v>188</v>
      </c>
    </row>
    <row r="900" spans="2:6" x14ac:dyDescent="0.3">
      <c r="B900" s="12">
        <v>897</v>
      </c>
      <c r="C900" s="28">
        <v>164.37728025168394</v>
      </c>
      <c r="E900" s="14" t="s">
        <v>3029</v>
      </c>
      <c r="F900" s="11">
        <v>162</v>
      </c>
    </row>
    <row r="901" spans="2:6" x14ac:dyDescent="0.3">
      <c r="B901" s="12">
        <v>898</v>
      </c>
      <c r="C901" s="28">
        <v>163.84436093882516</v>
      </c>
      <c r="E901" s="14" t="s">
        <v>4722</v>
      </c>
      <c r="F901" s="11">
        <v>165</v>
      </c>
    </row>
    <row r="902" spans="2:6" x14ac:dyDescent="0.3">
      <c r="B902" s="12">
        <v>899</v>
      </c>
      <c r="C902" s="28">
        <v>159.48372417706153</v>
      </c>
      <c r="E902" s="14" t="s">
        <v>933</v>
      </c>
      <c r="F902" s="11">
        <v>162</v>
      </c>
    </row>
    <row r="903" spans="2:6" x14ac:dyDescent="0.3">
      <c r="B903" s="12">
        <v>900</v>
      </c>
      <c r="C903" s="28">
        <v>175.88677979146306</v>
      </c>
      <c r="E903" s="14" t="s">
        <v>4277</v>
      </c>
      <c r="F903" s="11">
        <v>184</v>
      </c>
    </row>
    <row r="904" spans="2:6" x14ac:dyDescent="0.3">
      <c r="B904" s="12">
        <v>901</v>
      </c>
      <c r="C904" s="28">
        <v>154.81188665385687</v>
      </c>
      <c r="E904" s="14" t="s">
        <v>3485</v>
      </c>
      <c r="F904" s="11">
        <v>168</v>
      </c>
    </row>
    <row r="905" spans="2:6" x14ac:dyDescent="0.3">
      <c r="B905" s="12">
        <v>902</v>
      </c>
      <c r="C905" s="28">
        <v>167.07470623038</v>
      </c>
      <c r="E905" s="14" t="s">
        <v>1775</v>
      </c>
      <c r="F905" s="11">
        <v>186</v>
      </c>
    </row>
    <row r="906" spans="2:6" x14ac:dyDescent="0.3">
      <c r="B906" s="12">
        <v>903</v>
      </c>
      <c r="C906" s="28">
        <v>178.0131596656008</v>
      </c>
      <c r="E906" s="14" t="s">
        <v>1163</v>
      </c>
      <c r="F906" s="11">
        <v>175</v>
      </c>
    </row>
    <row r="907" spans="2:6" x14ac:dyDescent="0.3">
      <c r="B907" s="12">
        <v>904</v>
      </c>
      <c r="C907" s="28">
        <v>163.57369154345156</v>
      </c>
      <c r="E907" s="14" t="s">
        <v>1660</v>
      </c>
      <c r="F907" s="11">
        <v>185</v>
      </c>
    </row>
    <row r="908" spans="2:6" x14ac:dyDescent="0.3">
      <c r="B908" s="12">
        <v>905</v>
      </c>
      <c r="C908" s="28">
        <v>158.15863237950873</v>
      </c>
      <c r="E908" s="14" t="s">
        <v>3109</v>
      </c>
      <c r="F908" s="11">
        <v>175</v>
      </c>
    </row>
    <row r="909" spans="2:6" x14ac:dyDescent="0.3">
      <c r="B909" s="12">
        <v>906</v>
      </c>
      <c r="C909" s="28">
        <v>165.96748834812931</v>
      </c>
      <c r="E909" s="14" t="s">
        <v>3868</v>
      </c>
      <c r="F909" s="11">
        <v>180</v>
      </c>
    </row>
    <row r="910" spans="2:6" x14ac:dyDescent="0.3">
      <c r="B910" s="12">
        <v>907</v>
      </c>
      <c r="C910" s="28">
        <v>167.33523555235971</v>
      </c>
      <c r="E910" s="14" t="s">
        <v>138</v>
      </c>
      <c r="F910" s="11">
        <v>168</v>
      </c>
    </row>
    <row r="911" spans="2:6" x14ac:dyDescent="0.3">
      <c r="B911" s="12">
        <v>908</v>
      </c>
      <c r="C911" s="28">
        <v>154.12818480797478</v>
      </c>
      <c r="E911" s="14" t="s">
        <v>501</v>
      </c>
      <c r="F911" s="11">
        <v>170</v>
      </c>
    </row>
    <row r="912" spans="2:6" x14ac:dyDescent="0.3">
      <c r="B912" s="12">
        <v>909</v>
      </c>
      <c r="C912" s="28">
        <v>163.54313612003347</v>
      </c>
      <c r="E912" s="14" t="s">
        <v>539</v>
      </c>
      <c r="F912" s="11">
        <v>171</v>
      </c>
    </row>
    <row r="913" spans="2:6" x14ac:dyDescent="0.3">
      <c r="B913" s="12">
        <v>910</v>
      </c>
      <c r="C913" s="28">
        <v>172.87064383773864</v>
      </c>
      <c r="E913" s="14" t="s">
        <v>942</v>
      </c>
      <c r="F913" s="11">
        <v>168</v>
      </c>
    </row>
    <row r="914" spans="2:6" x14ac:dyDescent="0.3">
      <c r="B914" s="12">
        <v>911</v>
      </c>
      <c r="C914" s="28">
        <v>162.53381784053002</v>
      </c>
      <c r="E914" s="14" t="s">
        <v>3132</v>
      </c>
      <c r="F914" s="11">
        <v>172</v>
      </c>
    </row>
    <row r="915" spans="2:6" x14ac:dyDescent="0.3">
      <c r="B915" s="12">
        <v>912</v>
      </c>
      <c r="C915" s="28">
        <v>162.81911310478597</v>
      </c>
      <c r="E915" s="14" t="s">
        <v>1948</v>
      </c>
      <c r="F915" s="11">
        <v>172</v>
      </c>
    </row>
    <row r="916" spans="2:6" x14ac:dyDescent="0.3">
      <c r="B916" s="12">
        <v>913</v>
      </c>
      <c r="C916" s="28">
        <v>164.46247894372971</v>
      </c>
      <c r="E916" s="14" t="s">
        <v>445</v>
      </c>
      <c r="F916" s="11">
        <v>161</v>
      </c>
    </row>
    <row r="917" spans="2:6" x14ac:dyDescent="0.3">
      <c r="B917" s="12">
        <v>914</v>
      </c>
      <c r="C917" s="28">
        <v>160.4051385549177</v>
      </c>
      <c r="E917" s="14" t="s">
        <v>2570</v>
      </c>
      <c r="F917" s="11">
        <v>174</v>
      </c>
    </row>
    <row r="918" spans="2:6" x14ac:dyDescent="0.3">
      <c r="B918" s="12">
        <v>915</v>
      </c>
      <c r="C918" s="28">
        <v>154.784294164172</v>
      </c>
      <c r="E918" s="14" t="s">
        <v>3999</v>
      </c>
      <c r="F918" s="11">
        <v>176</v>
      </c>
    </row>
    <row r="919" spans="2:6" x14ac:dyDescent="0.3">
      <c r="B919" s="12">
        <v>916</v>
      </c>
      <c r="C919" s="28">
        <v>156.70361629956199</v>
      </c>
      <c r="E919" s="14" t="s">
        <v>3698</v>
      </c>
      <c r="F919" s="11">
        <v>188</v>
      </c>
    </row>
    <row r="920" spans="2:6" x14ac:dyDescent="0.3">
      <c r="B920" s="12">
        <v>917</v>
      </c>
      <c r="C920" s="28">
        <v>166.99918572297733</v>
      </c>
      <c r="E920" s="14" t="s">
        <v>4752</v>
      </c>
      <c r="F920" s="11">
        <v>172</v>
      </c>
    </row>
    <row r="921" spans="2:6" x14ac:dyDescent="0.3">
      <c r="B921" s="12">
        <v>918</v>
      </c>
      <c r="C921" s="28">
        <v>174.41842739807109</v>
      </c>
      <c r="E921" s="14" t="s">
        <v>3306</v>
      </c>
      <c r="F921" s="11">
        <v>178</v>
      </c>
    </row>
    <row r="922" spans="2:6" x14ac:dyDescent="0.3">
      <c r="B922" s="12">
        <v>919</v>
      </c>
      <c r="C922" s="28">
        <v>156.68127938180004</v>
      </c>
      <c r="E922" s="14" t="s">
        <v>792</v>
      </c>
      <c r="F922" s="11">
        <v>179</v>
      </c>
    </row>
    <row r="923" spans="2:6" x14ac:dyDescent="0.3">
      <c r="B923" s="12">
        <v>920</v>
      </c>
      <c r="C923" s="28">
        <v>163.51152816557689</v>
      </c>
      <c r="E923" s="14" t="s">
        <v>793</v>
      </c>
      <c r="F923" s="11">
        <v>175</v>
      </c>
    </row>
    <row r="924" spans="2:6" x14ac:dyDescent="0.3">
      <c r="B924" s="12">
        <v>921</v>
      </c>
      <c r="C924" s="28">
        <v>153.52722438776922</v>
      </c>
      <c r="E924" s="14" t="s">
        <v>1197</v>
      </c>
      <c r="F924" s="11">
        <v>169</v>
      </c>
    </row>
    <row r="925" spans="2:6" x14ac:dyDescent="0.3">
      <c r="B925" s="12">
        <v>922</v>
      </c>
      <c r="C925" s="28">
        <v>166.64012998695941</v>
      </c>
      <c r="E925" s="14" t="s">
        <v>2559</v>
      </c>
      <c r="F925" s="11">
        <v>170</v>
      </c>
    </row>
    <row r="926" spans="2:6" x14ac:dyDescent="0.3">
      <c r="B926" s="12">
        <v>923</v>
      </c>
      <c r="C926" s="28">
        <v>159.47206191708639</v>
      </c>
      <c r="E926" s="14" t="s">
        <v>3723</v>
      </c>
      <c r="F926" s="11">
        <v>193</v>
      </c>
    </row>
    <row r="927" spans="2:6" x14ac:dyDescent="0.3">
      <c r="B927" s="12">
        <v>924</v>
      </c>
      <c r="C927" s="28">
        <v>155.19531084468844</v>
      </c>
      <c r="E927" s="14" t="s">
        <v>436</v>
      </c>
      <c r="F927" s="11">
        <v>167</v>
      </c>
    </row>
    <row r="928" spans="2:6" x14ac:dyDescent="0.3">
      <c r="B928" s="12">
        <v>925</v>
      </c>
      <c r="C928" s="28">
        <v>165.15159760738806</v>
      </c>
      <c r="E928" s="14" t="s">
        <v>3123</v>
      </c>
      <c r="F928" s="11">
        <v>178</v>
      </c>
    </row>
    <row r="929" spans="2:6" x14ac:dyDescent="0.3">
      <c r="B929" s="12">
        <v>926</v>
      </c>
      <c r="C929" s="28">
        <v>146.00273590769882</v>
      </c>
      <c r="E929" s="14" t="s">
        <v>3682</v>
      </c>
      <c r="F929" s="11">
        <v>178</v>
      </c>
    </row>
    <row r="930" spans="2:6" x14ac:dyDescent="0.3">
      <c r="B930" s="12">
        <v>927</v>
      </c>
      <c r="C930" s="28">
        <v>151.19908028434233</v>
      </c>
      <c r="E930" s="14" t="s">
        <v>979</v>
      </c>
      <c r="F930" s="11">
        <v>155</v>
      </c>
    </row>
    <row r="931" spans="2:6" x14ac:dyDescent="0.3">
      <c r="B931" s="12">
        <v>928</v>
      </c>
      <c r="C931" s="28">
        <v>157.97853721328934</v>
      </c>
      <c r="E931" s="14" t="s">
        <v>2476</v>
      </c>
      <c r="F931" s="11">
        <v>159</v>
      </c>
    </row>
    <row r="932" spans="2:6" x14ac:dyDescent="0.3">
      <c r="B932" s="12">
        <v>929</v>
      </c>
      <c r="C932" s="28">
        <v>152.39508746302931</v>
      </c>
      <c r="E932" s="14" t="s">
        <v>115</v>
      </c>
      <c r="F932" s="11">
        <v>170</v>
      </c>
    </row>
    <row r="933" spans="2:6" x14ac:dyDescent="0.3">
      <c r="B933" s="12">
        <v>930</v>
      </c>
      <c r="C933" s="28">
        <v>157.51813448804151</v>
      </c>
      <c r="E933" s="14" t="s">
        <v>2280</v>
      </c>
      <c r="F933" s="11">
        <v>178</v>
      </c>
    </row>
    <row r="934" spans="2:6" x14ac:dyDescent="0.3">
      <c r="B934" s="12">
        <v>931</v>
      </c>
      <c r="C934" s="28">
        <v>158.9799581733489</v>
      </c>
      <c r="E934" s="14" t="s">
        <v>2311</v>
      </c>
      <c r="F934" s="11">
        <v>173</v>
      </c>
    </row>
    <row r="935" spans="2:6" x14ac:dyDescent="0.3">
      <c r="B935" s="12">
        <v>932</v>
      </c>
      <c r="C935" s="28">
        <v>174.29820994988822</v>
      </c>
      <c r="E935" s="14" t="s">
        <v>2788</v>
      </c>
      <c r="F935" s="11">
        <v>168</v>
      </c>
    </row>
    <row r="936" spans="2:6" x14ac:dyDescent="0.3">
      <c r="B936" s="12">
        <v>933</v>
      </c>
      <c r="C936" s="28">
        <v>154.56995041718801</v>
      </c>
      <c r="E936" s="14" t="s">
        <v>1184</v>
      </c>
      <c r="F936" s="11">
        <v>178</v>
      </c>
    </row>
    <row r="937" spans="2:6" x14ac:dyDescent="0.3">
      <c r="B937" s="12">
        <v>934</v>
      </c>
      <c r="C937" s="28">
        <v>157.85048618444628</v>
      </c>
      <c r="E937" s="14" t="s">
        <v>3</v>
      </c>
      <c r="F937" s="11">
        <v>167</v>
      </c>
    </row>
    <row r="938" spans="2:6" x14ac:dyDescent="0.3">
      <c r="B938" s="12">
        <v>935</v>
      </c>
      <c r="C938" s="28">
        <v>150.32159732637501</v>
      </c>
      <c r="E938" s="14" t="s">
        <v>3437</v>
      </c>
      <c r="F938" s="11">
        <v>173</v>
      </c>
    </row>
    <row r="939" spans="2:6" x14ac:dyDescent="0.3">
      <c r="B939" s="12">
        <v>936</v>
      </c>
      <c r="C939" s="28">
        <v>155.83182917268127</v>
      </c>
      <c r="E939" s="14" t="s">
        <v>3952</v>
      </c>
      <c r="F939" s="11">
        <v>175</v>
      </c>
    </row>
    <row r="940" spans="2:6" x14ac:dyDescent="0.3">
      <c r="B940" s="12">
        <v>937</v>
      </c>
      <c r="C940" s="28">
        <v>174.25374253786848</v>
      </c>
      <c r="E940" s="14" t="s">
        <v>3750</v>
      </c>
      <c r="F940" s="11">
        <v>174</v>
      </c>
    </row>
    <row r="941" spans="2:6" x14ac:dyDescent="0.3">
      <c r="B941" s="12">
        <v>938</v>
      </c>
      <c r="C941" s="28">
        <v>164.67188139219957</v>
      </c>
      <c r="E941" s="14" t="s">
        <v>1061</v>
      </c>
      <c r="F941" s="11">
        <v>183</v>
      </c>
    </row>
    <row r="942" spans="2:6" x14ac:dyDescent="0.3">
      <c r="B942" s="12">
        <v>939</v>
      </c>
      <c r="C942" s="28">
        <v>160.05367247190816</v>
      </c>
      <c r="E942" s="14" t="s">
        <v>46</v>
      </c>
      <c r="F942" s="11">
        <v>164</v>
      </c>
    </row>
    <row r="943" spans="2:6" x14ac:dyDescent="0.3">
      <c r="B943" s="12">
        <v>940</v>
      </c>
      <c r="C943" s="28">
        <v>151.98778850208885</v>
      </c>
      <c r="E943" s="14" t="s">
        <v>2926</v>
      </c>
      <c r="F943" s="11">
        <v>160</v>
      </c>
    </row>
    <row r="944" spans="2:6" x14ac:dyDescent="0.3">
      <c r="B944" s="12">
        <v>941</v>
      </c>
      <c r="C944" s="28">
        <v>157.38550056236832</v>
      </c>
      <c r="E944" s="14" t="s">
        <v>418</v>
      </c>
      <c r="F944" s="11">
        <v>160</v>
      </c>
    </row>
    <row r="945" spans="2:6" x14ac:dyDescent="0.3">
      <c r="B945" s="12">
        <v>942</v>
      </c>
      <c r="C945" s="28">
        <v>155.5644029552993</v>
      </c>
      <c r="E945" s="14" t="s">
        <v>705</v>
      </c>
      <c r="F945" s="11">
        <v>177</v>
      </c>
    </row>
    <row r="946" spans="2:6" x14ac:dyDescent="0.3">
      <c r="B946" s="12">
        <v>943</v>
      </c>
      <c r="C946" s="28">
        <v>156.81715501431339</v>
      </c>
      <c r="E946" s="14" t="s">
        <v>1304</v>
      </c>
      <c r="F946" s="11">
        <v>137</v>
      </c>
    </row>
    <row r="947" spans="2:6" x14ac:dyDescent="0.3">
      <c r="B947" s="12">
        <v>944</v>
      </c>
      <c r="C947" s="28">
        <v>159.05191243752367</v>
      </c>
      <c r="E947" s="14" t="s">
        <v>2407</v>
      </c>
      <c r="F947" s="11">
        <v>170</v>
      </c>
    </row>
    <row r="948" spans="2:6" x14ac:dyDescent="0.3">
      <c r="B948" s="12">
        <v>945</v>
      </c>
      <c r="C948" s="28">
        <v>166.32128412479946</v>
      </c>
      <c r="E948" s="14" t="s">
        <v>2607</v>
      </c>
      <c r="F948" s="11">
        <v>170</v>
      </c>
    </row>
    <row r="949" spans="2:6" x14ac:dyDescent="0.3">
      <c r="B949" s="12">
        <v>946</v>
      </c>
      <c r="C949" s="28">
        <v>158.01807979049002</v>
      </c>
      <c r="E949" s="14" t="s">
        <v>465</v>
      </c>
      <c r="F949" s="11">
        <v>176</v>
      </c>
    </row>
    <row r="950" spans="2:6" x14ac:dyDescent="0.3">
      <c r="B950" s="12">
        <v>947</v>
      </c>
      <c r="C950" s="28">
        <v>152.39626394437738</v>
      </c>
      <c r="E950" s="14" t="s">
        <v>4111</v>
      </c>
      <c r="F950" s="11">
        <v>170</v>
      </c>
    </row>
    <row r="951" spans="2:6" x14ac:dyDescent="0.3">
      <c r="B951" s="12">
        <v>948</v>
      </c>
      <c r="C951" s="28">
        <v>166.45014672914664</v>
      </c>
      <c r="E951" s="14" t="s">
        <v>3571</v>
      </c>
      <c r="F951" s="11">
        <v>175</v>
      </c>
    </row>
    <row r="952" spans="2:6" x14ac:dyDescent="0.3">
      <c r="B952" s="12">
        <v>949</v>
      </c>
      <c r="C952" s="28">
        <v>163.18654676697611</v>
      </c>
      <c r="E952" s="14" t="s">
        <v>376</v>
      </c>
      <c r="F952" s="11">
        <v>175</v>
      </c>
    </row>
    <row r="953" spans="2:6" x14ac:dyDescent="0.3">
      <c r="B953" s="12">
        <v>950</v>
      </c>
      <c r="C953" s="28">
        <v>162.79034522322254</v>
      </c>
      <c r="E953" s="14" t="s">
        <v>3638</v>
      </c>
      <c r="F953" s="11">
        <v>171</v>
      </c>
    </row>
    <row r="954" spans="2:6" x14ac:dyDescent="0.3">
      <c r="B954" s="12">
        <v>951</v>
      </c>
      <c r="C954" s="28">
        <v>158.7614220759267</v>
      </c>
      <c r="E954" s="14" t="s">
        <v>3978</v>
      </c>
      <c r="F954" s="11">
        <v>163</v>
      </c>
    </row>
    <row r="955" spans="2:6" x14ac:dyDescent="0.3">
      <c r="B955" s="12">
        <v>952</v>
      </c>
      <c r="C955" s="28">
        <v>159.11453341179481</v>
      </c>
      <c r="E955" s="14" t="s">
        <v>490</v>
      </c>
      <c r="F955" s="11">
        <v>172</v>
      </c>
    </row>
    <row r="956" spans="2:6" x14ac:dyDescent="0.3">
      <c r="B956" s="12">
        <v>953</v>
      </c>
      <c r="C956" s="28">
        <v>169.27737217773065</v>
      </c>
      <c r="E956" s="14" t="s">
        <v>1037</v>
      </c>
      <c r="F956" s="11">
        <v>170</v>
      </c>
    </row>
    <row r="957" spans="2:6" x14ac:dyDescent="0.3">
      <c r="B957" s="12">
        <v>954</v>
      </c>
      <c r="C957" s="28">
        <v>173.03216811301152</v>
      </c>
      <c r="E957" s="14" t="s">
        <v>4514</v>
      </c>
      <c r="F957" s="11">
        <v>156</v>
      </c>
    </row>
    <row r="958" spans="2:6" x14ac:dyDescent="0.3">
      <c r="B958" s="12">
        <v>955</v>
      </c>
      <c r="C958" s="28">
        <v>157.50051595881661</v>
      </c>
      <c r="E958" s="14" t="s">
        <v>1438</v>
      </c>
      <c r="F958" s="11">
        <v>156</v>
      </c>
    </row>
    <row r="959" spans="2:6" x14ac:dyDescent="0.3">
      <c r="B959" s="12">
        <v>956</v>
      </c>
      <c r="C959" s="28">
        <v>166.60765000071581</v>
      </c>
      <c r="E959" s="14" t="s">
        <v>3606</v>
      </c>
      <c r="F959" s="11">
        <v>170</v>
      </c>
    </row>
    <row r="960" spans="2:6" x14ac:dyDescent="0.3">
      <c r="B960" s="12">
        <v>957</v>
      </c>
      <c r="C960" s="28">
        <v>161.48793547059688</v>
      </c>
      <c r="E960" s="14" t="s">
        <v>1556</v>
      </c>
      <c r="F960" s="11">
        <v>171</v>
      </c>
    </row>
    <row r="961" spans="2:6" x14ac:dyDescent="0.3">
      <c r="B961" s="12">
        <v>958</v>
      </c>
      <c r="C961" s="28">
        <v>166.5309318641209</v>
      </c>
      <c r="E961" s="14" t="s">
        <v>4289</v>
      </c>
      <c r="F961" s="11">
        <v>166</v>
      </c>
    </row>
    <row r="962" spans="2:6" x14ac:dyDescent="0.3">
      <c r="B962" s="12">
        <v>959</v>
      </c>
      <c r="C962" s="28">
        <v>144.16431322535212</v>
      </c>
      <c r="E962" s="14" t="s">
        <v>1330</v>
      </c>
      <c r="F962" s="11">
        <v>176</v>
      </c>
    </row>
    <row r="963" spans="2:6" x14ac:dyDescent="0.3">
      <c r="B963" s="12">
        <v>960</v>
      </c>
      <c r="C963" s="28">
        <v>147.44290537653623</v>
      </c>
      <c r="E963" s="14" t="s">
        <v>2456</v>
      </c>
      <c r="F963" s="11">
        <v>179</v>
      </c>
    </row>
    <row r="964" spans="2:6" x14ac:dyDescent="0.3">
      <c r="B964" s="12">
        <v>961</v>
      </c>
      <c r="C964" s="28">
        <v>174.22029360088689</v>
      </c>
      <c r="E964" s="14" t="s">
        <v>4534</v>
      </c>
      <c r="F964" s="11">
        <v>185</v>
      </c>
    </row>
    <row r="965" spans="2:6" x14ac:dyDescent="0.3">
      <c r="B965" s="12">
        <v>962</v>
      </c>
      <c r="C965" s="28">
        <v>161.80089487477616</v>
      </c>
      <c r="E965" s="14" t="s">
        <v>3528</v>
      </c>
      <c r="F965" s="11">
        <v>175</v>
      </c>
    </row>
    <row r="966" spans="2:6" x14ac:dyDescent="0.3">
      <c r="B966" s="12">
        <v>963</v>
      </c>
      <c r="C966" s="28">
        <v>160.47427075627988</v>
      </c>
      <c r="E966" s="14" t="s">
        <v>2878</v>
      </c>
      <c r="F966" s="11">
        <v>170</v>
      </c>
    </row>
    <row r="967" spans="2:6" x14ac:dyDescent="0.3">
      <c r="B967" s="12">
        <v>964</v>
      </c>
      <c r="C967" s="28">
        <v>171.78560453309569</v>
      </c>
      <c r="E967" s="14" t="s">
        <v>4663</v>
      </c>
      <c r="F967" s="11">
        <v>167</v>
      </c>
    </row>
    <row r="968" spans="2:6" x14ac:dyDescent="0.3">
      <c r="B968" s="12">
        <v>965</v>
      </c>
      <c r="C968" s="28">
        <v>169.01163936915898</v>
      </c>
      <c r="E968" s="14" t="s">
        <v>291</v>
      </c>
      <c r="F968" s="11">
        <v>180</v>
      </c>
    </row>
    <row r="969" spans="2:6" x14ac:dyDescent="0.3">
      <c r="B969" s="12">
        <v>966</v>
      </c>
      <c r="C969" s="28">
        <v>158.06751835154463</v>
      </c>
      <c r="E969" s="14" t="s">
        <v>819</v>
      </c>
      <c r="F969" s="11">
        <v>173</v>
      </c>
    </row>
    <row r="970" spans="2:6" x14ac:dyDescent="0.3">
      <c r="B970" s="12">
        <v>967</v>
      </c>
      <c r="C970" s="28">
        <v>153.86972193327847</v>
      </c>
      <c r="E970" s="14" t="s">
        <v>643</v>
      </c>
      <c r="F970" s="11">
        <v>161</v>
      </c>
    </row>
    <row r="971" spans="2:6" x14ac:dyDescent="0.3">
      <c r="B971" s="12">
        <v>968</v>
      </c>
      <c r="C971" s="28">
        <v>160.90986841616106</v>
      </c>
      <c r="E971" s="14" t="s">
        <v>2227</v>
      </c>
      <c r="F971" s="11">
        <v>174</v>
      </c>
    </row>
    <row r="972" spans="2:6" x14ac:dyDescent="0.3">
      <c r="B972" s="12">
        <v>969</v>
      </c>
      <c r="C972" s="28">
        <v>170.3050805764243</v>
      </c>
      <c r="E972" s="14" t="s">
        <v>1506</v>
      </c>
      <c r="F972" s="11">
        <v>175</v>
      </c>
    </row>
    <row r="973" spans="2:6" x14ac:dyDescent="0.3">
      <c r="B973" s="12">
        <v>970</v>
      </c>
      <c r="C973" s="28">
        <v>171.49747937508423</v>
      </c>
      <c r="E973" s="14" t="s">
        <v>1245</v>
      </c>
      <c r="F973" s="11">
        <v>169</v>
      </c>
    </row>
    <row r="974" spans="2:6" x14ac:dyDescent="0.3">
      <c r="B974" s="12">
        <v>971</v>
      </c>
      <c r="C974" s="28">
        <v>166.75533673760415</v>
      </c>
      <c r="E974" s="14" t="s">
        <v>1320</v>
      </c>
      <c r="F974" s="11">
        <v>170</v>
      </c>
    </row>
    <row r="975" spans="2:6" x14ac:dyDescent="0.3">
      <c r="B975" s="12">
        <v>972</v>
      </c>
      <c r="C975" s="28">
        <v>159.06458531539175</v>
      </c>
      <c r="E975" s="14" t="s">
        <v>2722</v>
      </c>
      <c r="F975" s="11">
        <v>159</v>
      </c>
    </row>
    <row r="976" spans="2:6" x14ac:dyDescent="0.3">
      <c r="B976" s="12">
        <v>973</v>
      </c>
      <c r="C976" s="28">
        <v>161.29115196521602</v>
      </c>
      <c r="E976" s="14" t="s">
        <v>1773</v>
      </c>
      <c r="F976" s="11">
        <v>173</v>
      </c>
    </row>
    <row r="977" spans="2:6" x14ac:dyDescent="0.3">
      <c r="B977" s="12">
        <v>974</v>
      </c>
      <c r="C977" s="28">
        <v>167.31243660561501</v>
      </c>
      <c r="E977" s="14" t="s">
        <v>2675</v>
      </c>
      <c r="F977" s="11">
        <v>171</v>
      </c>
    </row>
    <row r="978" spans="2:6" x14ac:dyDescent="0.3">
      <c r="B978" s="12">
        <v>975</v>
      </c>
      <c r="C978" s="28">
        <v>164.71197367033562</v>
      </c>
      <c r="E978" s="14" t="s">
        <v>4328</v>
      </c>
      <c r="F978" s="11">
        <v>170</v>
      </c>
    </row>
    <row r="979" spans="2:6" x14ac:dyDescent="0.3">
      <c r="B979" s="12">
        <v>976</v>
      </c>
      <c r="C979" s="28">
        <v>153.05403300881528</v>
      </c>
      <c r="E979" s="14" t="s">
        <v>3138</v>
      </c>
      <c r="F979" s="11">
        <v>173</v>
      </c>
    </row>
    <row r="980" spans="2:6" x14ac:dyDescent="0.3">
      <c r="B980" s="12">
        <v>977</v>
      </c>
      <c r="C980" s="28">
        <v>180.16777327925422</v>
      </c>
      <c r="E980" s="14" t="s">
        <v>870</v>
      </c>
      <c r="F980" s="11">
        <v>176</v>
      </c>
    </row>
    <row r="981" spans="2:6" x14ac:dyDescent="0.3">
      <c r="B981" s="12">
        <v>978</v>
      </c>
      <c r="C981" s="28">
        <v>151.54742518676977</v>
      </c>
      <c r="E981" s="14" t="s">
        <v>772</v>
      </c>
      <c r="F981" s="11">
        <v>195</v>
      </c>
    </row>
    <row r="982" spans="2:6" x14ac:dyDescent="0.3">
      <c r="B982" s="12">
        <v>979</v>
      </c>
      <c r="C982" s="28">
        <v>157.97760675048681</v>
      </c>
      <c r="E982" s="14" t="s">
        <v>522</v>
      </c>
      <c r="F982" s="11">
        <v>172</v>
      </c>
    </row>
    <row r="983" spans="2:6" x14ac:dyDescent="0.3">
      <c r="B983" s="12">
        <v>980</v>
      </c>
      <c r="C983" s="28">
        <v>168.42511638380955</v>
      </c>
      <c r="E983" s="14" t="s">
        <v>3005</v>
      </c>
      <c r="F983" s="11">
        <v>180</v>
      </c>
    </row>
    <row r="984" spans="2:6" x14ac:dyDescent="0.3">
      <c r="B984" s="12">
        <v>981</v>
      </c>
      <c r="C984" s="28">
        <v>166.82468791573791</v>
      </c>
      <c r="E984" s="14" t="s">
        <v>1530</v>
      </c>
      <c r="F984" s="11">
        <v>166</v>
      </c>
    </row>
    <row r="985" spans="2:6" x14ac:dyDescent="0.3">
      <c r="B985" s="12">
        <v>982</v>
      </c>
      <c r="C985" s="28">
        <v>149.50033023678469</v>
      </c>
      <c r="E985" s="14" t="s">
        <v>580</v>
      </c>
      <c r="F985" s="11">
        <v>172</v>
      </c>
    </row>
    <row r="986" spans="2:6" x14ac:dyDescent="0.3">
      <c r="B986" s="12">
        <v>983</v>
      </c>
      <c r="C986" s="28">
        <v>161.77336103813553</v>
      </c>
      <c r="E986" s="14" t="s">
        <v>3941</v>
      </c>
      <c r="F986" s="11">
        <v>163</v>
      </c>
    </row>
    <row r="987" spans="2:6" x14ac:dyDescent="0.3">
      <c r="B987" s="12">
        <v>984</v>
      </c>
      <c r="C987" s="28">
        <v>160.44351576952457</v>
      </c>
      <c r="E987" s="14" t="s">
        <v>2840</v>
      </c>
      <c r="F987" s="11">
        <v>175</v>
      </c>
    </row>
    <row r="988" spans="2:6" x14ac:dyDescent="0.3">
      <c r="B988" s="12">
        <v>985</v>
      </c>
      <c r="C988" s="28">
        <v>153.9182268232517</v>
      </c>
      <c r="E988" s="14" t="s">
        <v>3095</v>
      </c>
      <c r="F988" s="11">
        <v>182</v>
      </c>
    </row>
    <row r="989" spans="2:6" x14ac:dyDescent="0.3">
      <c r="B989" s="12">
        <v>986</v>
      </c>
      <c r="C989" s="28">
        <v>159.57570462745306</v>
      </c>
      <c r="E989" s="14" t="s">
        <v>1097</v>
      </c>
      <c r="F989" s="11">
        <v>157</v>
      </c>
    </row>
    <row r="990" spans="2:6" x14ac:dyDescent="0.3">
      <c r="B990" s="12">
        <v>987</v>
      </c>
      <c r="C990" s="28">
        <v>159.29267703124626</v>
      </c>
      <c r="E990" s="14" t="s">
        <v>4679</v>
      </c>
      <c r="F990" s="11">
        <v>178</v>
      </c>
    </row>
    <row r="991" spans="2:6" x14ac:dyDescent="0.3">
      <c r="B991" s="12">
        <v>988</v>
      </c>
      <c r="C991" s="28">
        <v>158.00079557885812</v>
      </c>
      <c r="E991" s="14" t="s">
        <v>1155</v>
      </c>
      <c r="F991" s="11">
        <v>170</v>
      </c>
    </row>
    <row r="992" spans="2:6" x14ac:dyDescent="0.3">
      <c r="B992" s="12">
        <v>989</v>
      </c>
      <c r="C992" s="28">
        <v>162.1970289855447</v>
      </c>
      <c r="E992" s="14" t="s">
        <v>260</v>
      </c>
      <c r="F992" s="11">
        <v>170</v>
      </c>
    </row>
    <row r="993" spans="2:6" x14ac:dyDescent="0.3">
      <c r="B993" s="12">
        <v>990</v>
      </c>
      <c r="C993" s="28">
        <v>154.88414302783431</v>
      </c>
      <c r="E993" s="14" t="s">
        <v>3445</v>
      </c>
      <c r="F993" s="11">
        <v>160</v>
      </c>
    </row>
    <row r="994" spans="2:6" x14ac:dyDescent="0.3">
      <c r="B994" s="12">
        <v>991</v>
      </c>
      <c r="C994" s="28">
        <v>169.41818988888309</v>
      </c>
      <c r="E994" s="14" t="s">
        <v>888</v>
      </c>
      <c r="F994" s="11">
        <v>166</v>
      </c>
    </row>
    <row r="995" spans="2:6" x14ac:dyDescent="0.3">
      <c r="B995" s="12">
        <v>992</v>
      </c>
      <c r="C995" s="28">
        <v>153.17074541323507</v>
      </c>
      <c r="E995" s="14" t="s">
        <v>982</v>
      </c>
      <c r="F995" s="11">
        <v>166</v>
      </c>
    </row>
    <row r="996" spans="2:6" x14ac:dyDescent="0.3">
      <c r="B996" s="12">
        <v>993</v>
      </c>
      <c r="C996" s="28">
        <v>158.90111657277487</v>
      </c>
      <c r="E996" s="14" t="s">
        <v>2780</v>
      </c>
      <c r="F996" s="11">
        <v>163</v>
      </c>
    </row>
    <row r="997" spans="2:6" x14ac:dyDescent="0.3">
      <c r="B997" s="12">
        <v>994</v>
      </c>
      <c r="C997" s="28">
        <v>160.04049050986927</v>
      </c>
      <c r="E997" s="14" t="s">
        <v>479</v>
      </c>
      <c r="F997" s="11">
        <v>165</v>
      </c>
    </row>
    <row r="998" spans="2:6" x14ac:dyDescent="0.3">
      <c r="B998" s="12">
        <v>995</v>
      </c>
      <c r="C998" s="28">
        <v>155.95398405014342</v>
      </c>
      <c r="E998" s="14" t="s">
        <v>4575</v>
      </c>
      <c r="F998" s="11">
        <v>170</v>
      </c>
    </row>
    <row r="999" spans="2:6" x14ac:dyDescent="0.3">
      <c r="B999" s="12">
        <v>996</v>
      </c>
      <c r="C999" s="28">
        <v>162.59468015954783</v>
      </c>
      <c r="E999" s="14" t="s">
        <v>3845</v>
      </c>
      <c r="F999" s="11">
        <v>179</v>
      </c>
    </row>
    <row r="1000" spans="2:6" x14ac:dyDescent="0.3">
      <c r="B1000" s="12">
        <v>997</v>
      </c>
      <c r="C1000" s="28">
        <v>157.7342440913396</v>
      </c>
      <c r="E1000" s="14" t="s">
        <v>4763</v>
      </c>
      <c r="F1000" s="11">
        <v>173</v>
      </c>
    </row>
    <row r="1001" spans="2:6" x14ac:dyDescent="0.3">
      <c r="B1001" s="12">
        <v>998</v>
      </c>
      <c r="C1001" s="28">
        <v>165.74436890749021</v>
      </c>
      <c r="E1001" s="14" t="s">
        <v>2622</v>
      </c>
      <c r="F1001" s="11">
        <v>159</v>
      </c>
    </row>
    <row r="1002" spans="2:6" x14ac:dyDescent="0.3">
      <c r="B1002" s="12">
        <v>999</v>
      </c>
      <c r="C1002" s="28">
        <v>172.82196401439109</v>
      </c>
      <c r="E1002" s="14" t="s">
        <v>385</v>
      </c>
      <c r="F1002" s="11">
        <v>158</v>
      </c>
    </row>
    <row r="1003" spans="2:6" x14ac:dyDescent="0.3">
      <c r="B1003" s="12">
        <v>1000</v>
      </c>
      <c r="C1003" s="28">
        <v>166.63816143606135</v>
      </c>
      <c r="E1003" s="14" t="s">
        <v>2371</v>
      </c>
      <c r="F1003" s="11">
        <v>165</v>
      </c>
    </row>
    <row r="1004" spans="2:6" x14ac:dyDescent="0.3">
      <c r="B1004" s="12">
        <v>1001</v>
      </c>
      <c r="C1004" s="28">
        <v>165.54407042548803</v>
      </c>
      <c r="E1004" s="14" t="s">
        <v>487</v>
      </c>
      <c r="F1004" s="11">
        <v>171</v>
      </c>
    </row>
    <row r="1005" spans="2:6" x14ac:dyDescent="0.3">
      <c r="B1005" s="12">
        <v>1002</v>
      </c>
      <c r="C1005" s="28">
        <v>161.83856374085101</v>
      </c>
      <c r="E1005" s="14" t="s">
        <v>1941</v>
      </c>
      <c r="F1005" s="11">
        <v>171</v>
      </c>
    </row>
    <row r="1006" spans="2:6" x14ac:dyDescent="0.3">
      <c r="B1006" s="12">
        <v>1003</v>
      </c>
      <c r="C1006" s="28">
        <v>165.01642008841898</v>
      </c>
      <c r="E1006" s="14" t="s">
        <v>4435</v>
      </c>
      <c r="F1006" s="11">
        <v>172</v>
      </c>
    </row>
    <row r="1007" spans="2:6" x14ac:dyDescent="0.3">
      <c r="B1007" s="12">
        <v>1004</v>
      </c>
      <c r="C1007" s="28">
        <v>158.96961801320305</v>
      </c>
      <c r="E1007" s="14" t="s">
        <v>603</v>
      </c>
      <c r="F1007" s="11">
        <v>175</v>
      </c>
    </row>
    <row r="1008" spans="2:6" x14ac:dyDescent="0.3">
      <c r="B1008" s="12">
        <v>1005</v>
      </c>
      <c r="C1008" s="28">
        <v>167.82763001854616</v>
      </c>
      <c r="E1008" s="14" t="s">
        <v>85</v>
      </c>
      <c r="F1008" s="11">
        <v>160</v>
      </c>
    </row>
    <row r="1009" spans="2:6" x14ac:dyDescent="0.3">
      <c r="B1009" s="12">
        <v>1006</v>
      </c>
      <c r="C1009" s="28">
        <v>154.09372908066536</v>
      </c>
      <c r="E1009" s="14" t="s">
        <v>4382</v>
      </c>
      <c r="F1009" s="11">
        <v>175</v>
      </c>
    </row>
    <row r="1010" spans="2:6" x14ac:dyDescent="0.3">
      <c r="B1010" s="12">
        <v>1007</v>
      </c>
      <c r="C1010" s="28">
        <v>164.71047624700662</v>
      </c>
      <c r="E1010" s="14" t="s">
        <v>2921</v>
      </c>
      <c r="F1010" s="11">
        <v>173</v>
      </c>
    </row>
    <row r="1011" spans="2:6" x14ac:dyDescent="0.3">
      <c r="B1011" s="12">
        <v>1008</v>
      </c>
      <c r="C1011" s="28">
        <v>158.29584008441208</v>
      </c>
      <c r="E1011" s="14" t="s">
        <v>3732</v>
      </c>
      <c r="F1011" s="11">
        <v>165</v>
      </c>
    </row>
    <row r="1012" spans="2:6" x14ac:dyDescent="0.3">
      <c r="B1012" s="12">
        <v>1009</v>
      </c>
      <c r="C1012" s="28">
        <v>161.35343958048099</v>
      </c>
      <c r="E1012" s="14" t="s">
        <v>3878</v>
      </c>
      <c r="F1012" s="11">
        <v>176</v>
      </c>
    </row>
    <row r="1013" spans="2:6" x14ac:dyDescent="0.3">
      <c r="B1013" s="12">
        <v>1010</v>
      </c>
      <c r="C1013" s="28">
        <v>155.15939927348199</v>
      </c>
      <c r="E1013" s="14" t="s">
        <v>3799</v>
      </c>
      <c r="F1013" s="11">
        <v>185</v>
      </c>
    </row>
    <row r="1014" spans="2:6" x14ac:dyDescent="0.3">
      <c r="B1014" s="12">
        <v>1011</v>
      </c>
      <c r="C1014" s="28">
        <v>162.99453312354186</v>
      </c>
      <c r="E1014" s="14" t="s">
        <v>924</v>
      </c>
      <c r="F1014" s="11">
        <v>192</v>
      </c>
    </row>
    <row r="1015" spans="2:6" x14ac:dyDescent="0.3">
      <c r="B1015" s="12">
        <v>1012</v>
      </c>
      <c r="C1015" s="28">
        <v>168.30427871341476</v>
      </c>
      <c r="E1015" s="14" t="s">
        <v>4552</v>
      </c>
      <c r="F1015" s="11">
        <v>179</v>
      </c>
    </row>
    <row r="1016" spans="2:6" x14ac:dyDescent="0.3">
      <c r="B1016" s="12">
        <v>1013</v>
      </c>
      <c r="C1016" s="28">
        <v>145.30818397827332</v>
      </c>
      <c r="E1016" s="14" t="s">
        <v>4607</v>
      </c>
      <c r="F1016" s="11">
        <v>185</v>
      </c>
    </row>
    <row r="1017" spans="2:6" x14ac:dyDescent="0.3">
      <c r="B1017" s="12">
        <v>1014</v>
      </c>
      <c r="C1017" s="28">
        <v>160.84004246705456</v>
      </c>
      <c r="E1017" s="14" t="s">
        <v>1485</v>
      </c>
      <c r="F1017" s="11">
        <v>175</v>
      </c>
    </row>
    <row r="1018" spans="2:6" x14ac:dyDescent="0.3">
      <c r="B1018" s="12">
        <v>1015</v>
      </c>
      <c r="C1018" s="28">
        <v>149.81065859495783</v>
      </c>
      <c r="E1018" s="14" t="s">
        <v>4036</v>
      </c>
      <c r="F1018" s="11">
        <v>178</v>
      </c>
    </row>
    <row r="1019" spans="2:6" x14ac:dyDescent="0.3">
      <c r="B1019" s="12">
        <v>1016</v>
      </c>
      <c r="C1019" s="28">
        <v>163.55998137355522</v>
      </c>
      <c r="E1019" s="14" t="s">
        <v>3387</v>
      </c>
      <c r="F1019" s="11">
        <v>174</v>
      </c>
    </row>
    <row r="1020" spans="2:6" x14ac:dyDescent="0.3">
      <c r="B1020" s="12">
        <v>1017</v>
      </c>
      <c r="C1020" s="28">
        <v>168.55538704242673</v>
      </c>
      <c r="E1020" s="14" t="s">
        <v>647</v>
      </c>
      <c r="F1020" s="11">
        <v>157</v>
      </c>
    </row>
    <row r="1021" spans="2:6" x14ac:dyDescent="0.3">
      <c r="B1021" s="12">
        <v>1018</v>
      </c>
      <c r="C1021" s="28">
        <v>163.92410202834037</v>
      </c>
      <c r="E1021" s="14" t="s">
        <v>634</v>
      </c>
      <c r="F1021" s="11">
        <v>173</v>
      </c>
    </row>
    <row r="1022" spans="2:6" x14ac:dyDescent="0.3">
      <c r="B1022" s="12">
        <v>1019</v>
      </c>
      <c r="C1022" s="28">
        <v>169.15164754799198</v>
      </c>
      <c r="E1022" s="14" t="s">
        <v>1080</v>
      </c>
      <c r="F1022" s="11">
        <v>150</v>
      </c>
    </row>
    <row r="1023" spans="2:6" x14ac:dyDescent="0.3">
      <c r="B1023" s="12">
        <v>1020</v>
      </c>
      <c r="C1023" s="28">
        <v>164.493513364075</v>
      </c>
      <c r="E1023" s="14" t="s">
        <v>658</v>
      </c>
      <c r="F1023" s="11">
        <v>165</v>
      </c>
    </row>
    <row r="1024" spans="2:6" x14ac:dyDescent="0.3">
      <c r="B1024" s="12">
        <v>1021</v>
      </c>
      <c r="C1024" s="28">
        <v>151.8041219999227</v>
      </c>
      <c r="E1024" s="14" t="s">
        <v>2882</v>
      </c>
      <c r="F1024" s="11">
        <v>170</v>
      </c>
    </row>
    <row r="1025" spans="2:6" x14ac:dyDescent="0.3">
      <c r="B1025" s="12">
        <v>1022</v>
      </c>
      <c r="C1025" s="28">
        <v>160.90751754566213</v>
      </c>
      <c r="E1025" s="14" t="s">
        <v>3467</v>
      </c>
      <c r="F1025" s="11">
        <v>166</v>
      </c>
    </row>
    <row r="1026" spans="2:6" x14ac:dyDescent="0.3">
      <c r="B1026" s="12">
        <v>1023</v>
      </c>
      <c r="C1026" s="28">
        <v>162.35609530976828</v>
      </c>
      <c r="E1026" s="14" t="s">
        <v>3779</v>
      </c>
      <c r="F1026" s="11">
        <v>182</v>
      </c>
    </row>
    <row r="1027" spans="2:6" x14ac:dyDescent="0.3">
      <c r="B1027" s="12">
        <v>1024</v>
      </c>
      <c r="C1027" s="28">
        <v>165.78213551782684</v>
      </c>
      <c r="E1027" s="14" t="s">
        <v>1781</v>
      </c>
      <c r="F1027" s="11">
        <v>147</v>
      </c>
    </row>
    <row r="1028" spans="2:6" x14ac:dyDescent="0.3">
      <c r="B1028" s="12">
        <v>1025</v>
      </c>
      <c r="C1028" s="28">
        <v>168.63465310166214</v>
      </c>
      <c r="E1028" s="14" t="s">
        <v>2434</v>
      </c>
      <c r="F1028" s="11">
        <v>183</v>
      </c>
    </row>
    <row r="1029" spans="2:6" x14ac:dyDescent="0.3">
      <c r="B1029" s="12">
        <v>1026</v>
      </c>
      <c r="C1029" s="28">
        <v>164.72712360311698</v>
      </c>
      <c r="E1029" s="14" t="s">
        <v>517</v>
      </c>
      <c r="F1029" s="11">
        <v>178</v>
      </c>
    </row>
    <row r="1030" spans="2:6" x14ac:dyDescent="0.3">
      <c r="B1030" s="12">
        <v>1027</v>
      </c>
      <c r="C1030" s="28">
        <v>169.91489936668796</v>
      </c>
      <c r="E1030" s="14" t="s">
        <v>2018</v>
      </c>
      <c r="F1030" s="11">
        <v>175</v>
      </c>
    </row>
    <row r="1031" spans="2:6" x14ac:dyDescent="0.3">
      <c r="B1031" s="12">
        <v>1028</v>
      </c>
      <c r="C1031" s="28">
        <v>167.37906499457185</v>
      </c>
      <c r="E1031" s="14" t="s">
        <v>3489</v>
      </c>
      <c r="F1031" s="11">
        <v>166</v>
      </c>
    </row>
    <row r="1032" spans="2:6" x14ac:dyDescent="0.3">
      <c r="B1032" s="12">
        <v>1029</v>
      </c>
      <c r="C1032" s="28">
        <v>161.92310343292448</v>
      </c>
      <c r="E1032" s="14" t="s">
        <v>3229</v>
      </c>
      <c r="F1032" s="11">
        <v>188</v>
      </c>
    </row>
    <row r="1033" spans="2:6" x14ac:dyDescent="0.3">
      <c r="B1033" s="12">
        <v>1030</v>
      </c>
      <c r="C1033" s="28">
        <v>158.73902940219449</v>
      </c>
      <c r="E1033" s="14" t="s">
        <v>4668</v>
      </c>
      <c r="F1033" s="11">
        <v>165</v>
      </c>
    </row>
    <row r="1034" spans="2:6" x14ac:dyDescent="0.3">
      <c r="B1034" s="12">
        <v>1031</v>
      </c>
      <c r="C1034" s="28">
        <v>167.7913082924895</v>
      </c>
      <c r="E1034" s="14" t="s">
        <v>2296</v>
      </c>
      <c r="F1034" s="11">
        <v>165</v>
      </c>
    </row>
    <row r="1035" spans="2:6" x14ac:dyDescent="0.3">
      <c r="B1035" s="12">
        <v>1032</v>
      </c>
      <c r="C1035" s="28">
        <v>158.42637087231489</v>
      </c>
      <c r="E1035" s="14" t="s">
        <v>4590</v>
      </c>
      <c r="F1035" s="11">
        <v>178</v>
      </c>
    </row>
    <row r="1036" spans="2:6" x14ac:dyDescent="0.3">
      <c r="B1036" s="12">
        <v>1033</v>
      </c>
      <c r="C1036" s="28">
        <v>161.14321791855889</v>
      </c>
      <c r="E1036" s="14" t="s">
        <v>325</v>
      </c>
      <c r="F1036" s="11">
        <v>170</v>
      </c>
    </row>
    <row r="1037" spans="2:6" x14ac:dyDescent="0.3">
      <c r="B1037" s="12">
        <v>1034</v>
      </c>
      <c r="C1037" s="28">
        <v>163.90365476321952</v>
      </c>
      <c r="E1037" s="14" t="s">
        <v>2184</v>
      </c>
      <c r="F1037" s="11">
        <v>169</v>
      </c>
    </row>
    <row r="1038" spans="2:6" x14ac:dyDescent="0.3">
      <c r="B1038" s="12">
        <v>1035</v>
      </c>
      <c r="C1038" s="28">
        <v>163.19079117202423</v>
      </c>
      <c r="E1038" s="14" t="s">
        <v>4318</v>
      </c>
      <c r="F1038" s="11">
        <v>165</v>
      </c>
    </row>
    <row r="1039" spans="2:6" x14ac:dyDescent="0.3">
      <c r="B1039" s="12">
        <v>1036</v>
      </c>
      <c r="C1039" s="28">
        <v>161.17854172044736</v>
      </c>
      <c r="E1039" s="14" t="s">
        <v>2187</v>
      </c>
      <c r="F1039" s="11">
        <v>168</v>
      </c>
    </row>
    <row r="1040" spans="2:6" x14ac:dyDescent="0.3">
      <c r="B1040" s="12">
        <v>1037</v>
      </c>
      <c r="C1040" s="28">
        <v>164.45430911657891</v>
      </c>
      <c r="E1040" s="14" t="s">
        <v>4462</v>
      </c>
      <c r="F1040" s="11">
        <v>167</v>
      </c>
    </row>
    <row r="1041" spans="2:6" x14ac:dyDescent="0.3">
      <c r="B1041" s="12">
        <v>1038</v>
      </c>
      <c r="C1041" s="28">
        <v>162.31149023679598</v>
      </c>
      <c r="E1041" s="14" t="s">
        <v>3896</v>
      </c>
      <c r="F1041" s="11">
        <v>170</v>
      </c>
    </row>
    <row r="1042" spans="2:6" x14ac:dyDescent="0.3">
      <c r="B1042" s="12">
        <v>1039</v>
      </c>
      <c r="C1042" s="28">
        <v>155.12400650512495</v>
      </c>
      <c r="E1042" s="14" t="s">
        <v>1615</v>
      </c>
      <c r="F1042" s="11">
        <v>169</v>
      </c>
    </row>
    <row r="1043" spans="2:6" x14ac:dyDescent="0.3">
      <c r="B1043" s="12">
        <v>1040</v>
      </c>
      <c r="C1043" s="28">
        <v>160.47939418587504</v>
      </c>
      <c r="E1043" s="14" t="s">
        <v>2616</v>
      </c>
      <c r="F1043" s="11">
        <v>162</v>
      </c>
    </row>
    <row r="1044" spans="2:6" x14ac:dyDescent="0.3">
      <c r="B1044" s="12">
        <v>1041</v>
      </c>
      <c r="C1044" s="28">
        <v>163.11435062719571</v>
      </c>
      <c r="E1044" s="14" t="s">
        <v>1383</v>
      </c>
      <c r="F1044" s="11">
        <v>166</v>
      </c>
    </row>
    <row r="1045" spans="2:6" x14ac:dyDescent="0.3">
      <c r="B1045" s="12">
        <v>1042</v>
      </c>
      <c r="C1045" s="28">
        <v>156.2071718986966</v>
      </c>
      <c r="E1045" s="14" t="s">
        <v>3393</v>
      </c>
      <c r="F1045" s="11">
        <v>165</v>
      </c>
    </row>
    <row r="1046" spans="2:6" x14ac:dyDescent="0.3">
      <c r="B1046" s="12">
        <v>1043</v>
      </c>
      <c r="C1046" s="28">
        <v>162.5011567336629</v>
      </c>
      <c r="E1046" s="14" t="s">
        <v>3428</v>
      </c>
      <c r="F1046" s="11">
        <v>172</v>
      </c>
    </row>
    <row r="1047" spans="2:6" x14ac:dyDescent="0.3">
      <c r="B1047" s="12">
        <v>1044</v>
      </c>
      <c r="C1047" s="28">
        <v>155.59423454085976</v>
      </c>
      <c r="E1047" s="14" t="s">
        <v>3922</v>
      </c>
      <c r="F1047" s="11">
        <v>172</v>
      </c>
    </row>
    <row r="1048" spans="2:6" x14ac:dyDescent="0.3">
      <c r="B1048" s="12">
        <v>1045</v>
      </c>
      <c r="C1048" s="28">
        <v>166.76656016502386</v>
      </c>
      <c r="E1048" s="14" t="s">
        <v>993</v>
      </c>
      <c r="F1048" s="11">
        <v>170</v>
      </c>
    </row>
    <row r="1049" spans="2:6" x14ac:dyDescent="0.3">
      <c r="B1049" s="12">
        <v>1046</v>
      </c>
      <c r="C1049" s="28">
        <v>162.87538005195364</v>
      </c>
      <c r="E1049" s="14" t="s">
        <v>928</v>
      </c>
      <c r="F1049" s="11">
        <v>178</v>
      </c>
    </row>
    <row r="1050" spans="2:6" x14ac:dyDescent="0.3">
      <c r="B1050" s="12">
        <v>1047</v>
      </c>
      <c r="C1050" s="28">
        <v>172.03186808084698</v>
      </c>
      <c r="E1050" s="14" t="s">
        <v>2110</v>
      </c>
      <c r="F1050" s="11">
        <v>180</v>
      </c>
    </row>
    <row r="1051" spans="2:6" x14ac:dyDescent="0.3">
      <c r="B1051" s="12">
        <v>1048</v>
      </c>
      <c r="C1051" s="28">
        <v>143.84124642015303</v>
      </c>
      <c r="E1051" s="14" t="s">
        <v>4469</v>
      </c>
      <c r="F1051" s="11">
        <v>183</v>
      </c>
    </row>
    <row r="1052" spans="2:6" x14ac:dyDescent="0.3">
      <c r="B1052" s="12">
        <v>1049</v>
      </c>
      <c r="C1052" s="28">
        <v>147.86257980828449</v>
      </c>
      <c r="E1052" s="14" t="s">
        <v>2667</v>
      </c>
      <c r="F1052" s="11">
        <v>165</v>
      </c>
    </row>
    <row r="1053" spans="2:6" x14ac:dyDescent="0.3">
      <c r="B1053" s="12">
        <v>1050</v>
      </c>
      <c r="C1053" s="28">
        <v>152.50357953967389</v>
      </c>
      <c r="E1053" s="14" t="s">
        <v>3961</v>
      </c>
      <c r="F1053" s="11">
        <v>164</v>
      </c>
    </row>
    <row r="1054" spans="2:6" x14ac:dyDescent="0.3">
      <c r="B1054" s="12">
        <v>1051</v>
      </c>
      <c r="C1054" s="28">
        <v>151.12341128857926</v>
      </c>
      <c r="E1054" s="14" t="s">
        <v>2596</v>
      </c>
      <c r="F1054" s="11">
        <v>202</v>
      </c>
    </row>
    <row r="1055" spans="2:6" x14ac:dyDescent="0.3">
      <c r="B1055" s="12">
        <v>1052</v>
      </c>
      <c r="C1055" s="28">
        <v>166.51289333289273</v>
      </c>
      <c r="E1055" s="14" t="s">
        <v>4544</v>
      </c>
      <c r="F1055" s="11">
        <v>156</v>
      </c>
    </row>
    <row r="1056" spans="2:6" x14ac:dyDescent="0.3">
      <c r="B1056" s="12">
        <v>1053</v>
      </c>
      <c r="C1056" s="28">
        <v>160.19378262131721</v>
      </c>
      <c r="E1056" s="14" t="s">
        <v>1975</v>
      </c>
      <c r="F1056" s="11">
        <v>170</v>
      </c>
    </row>
    <row r="1057" spans="2:6" x14ac:dyDescent="0.3">
      <c r="B1057" s="12">
        <v>1054</v>
      </c>
      <c r="C1057" s="28">
        <v>159.67616851054927</v>
      </c>
      <c r="E1057" s="14" t="s">
        <v>2996</v>
      </c>
      <c r="F1057" s="11">
        <v>165</v>
      </c>
    </row>
    <row r="1058" spans="2:6" x14ac:dyDescent="0.3">
      <c r="B1058" s="12">
        <v>1055</v>
      </c>
      <c r="C1058" s="28">
        <v>166.31133257373079</v>
      </c>
      <c r="E1058" s="14" t="s">
        <v>4016</v>
      </c>
      <c r="F1058" s="11">
        <v>162</v>
      </c>
    </row>
    <row r="1059" spans="2:6" x14ac:dyDescent="0.3">
      <c r="B1059" s="12">
        <v>1056</v>
      </c>
      <c r="C1059" s="28">
        <v>170.99383288417656</v>
      </c>
      <c r="E1059" s="14" t="s">
        <v>4077</v>
      </c>
      <c r="F1059" s="11">
        <v>156</v>
      </c>
    </row>
    <row r="1060" spans="2:6" x14ac:dyDescent="0.3">
      <c r="B1060" s="12">
        <v>1057</v>
      </c>
      <c r="C1060" s="28">
        <v>153.4335083842509</v>
      </c>
      <c r="E1060" s="14" t="s">
        <v>4234</v>
      </c>
      <c r="F1060" s="11">
        <v>168</v>
      </c>
    </row>
    <row r="1061" spans="2:6" x14ac:dyDescent="0.3">
      <c r="B1061" s="12">
        <v>1058</v>
      </c>
      <c r="C1061" s="28">
        <v>159.48785830156368</v>
      </c>
      <c r="E1061" s="14" t="s">
        <v>2929</v>
      </c>
      <c r="F1061" s="11">
        <v>172</v>
      </c>
    </row>
    <row r="1062" spans="2:6" x14ac:dyDescent="0.3">
      <c r="B1062" s="12">
        <v>1059</v>
      </c>
      <c r="C1062" s="28">
        <v>163.78553645891301</v>
      </c>
      <c r="E1062" s="14" t="s">
        <v>3423</v>
      </c>
      <c r="F1062" s="11">
        <v>163</v>
      </c>
    </row>
    <row r="1063" spans="2:6" x14ac:dyDescent="0.3">
      <c r="B1063" s="12">
        <v>1060</v>
      </c>
      <c r="C1063" s="28">
        <v>162.03889401075</v>
      </c>
      <c r="E1063" s="14" t="s">
        <v>766</v>
      </c>
      <c r="F1063" s="11">
        <v>177</v>
      </c>
    </row>
    <row r="1064" spans="2:6" x14ac:dyDescent="0.3">
      <c r="B1064" s="12">
        <v>1061</v>
      </c>
      <c r="C1064" s="28">
        <v>160.97032223936975</v>
      </c>
      <c r="E1064" s="14" t="s">
        <v>1041</v>
      </c>
      <c r="F1064" s="11">
        <v>178</v>
      </c>
    </row>
    <row r="1065" spans="2:6" x14ac:dyDescent="0.3">
      <c r="B1065" s="12">
        <v>1062</v>
      </c>
      <c r="C1065" s="28">
        <v>159.4987447801808</v>
      </c>
      <c r="E1065" s="14" t="s">
        <v>3016</v>
      </c>
      <c r="F1065" s="11">
        <v>172</v>
      </c>
    </row>
    <row r="1066" spans="2:6" x14ac:dyDescent="0.3">
      <c r="B1066" s="12">
        <v>1063</v>
      </c>
      <c r="C1066" s="28">
        <v>159.75289280484384</v>
      </c>
      <c r="E1066" s="14" t="s">
        <v>4867</v>
      </c>
      <c r="F1066" s="11">
        <v>174</v>
      </c>
    </row>
    <row r="1067" spans="2:6" x14ac:dyDescent="0.3">
      <c r="B1067" s="12">
        <v>1064</v>
      </c>
      <c r="C1067" s="28">
        <v>160.33784654253247</v>
      </c>
      <c r="E1067" s="14" t="s">
        <v>4569</v>
      </c>
      <c r="F1067" s="11">
        <v>180</v>
      </c>
    </row>
    <row r="1068" spans="2:6" x14ac:dyDescent="0.3">
      <c r="B1068" s="12">
        <v>1065</v>
      </c>
      <c r="C1068" s="28">
        <v>155.92658782006984</v>
      </c>
      <c r="E1068" s="14" t="s">
        <v>4119</v>
      </c>
      <c r="F1068" s="11">
        <v>174</v>
      </c>
    </row>
    <row r="1069" spans="2:6" x14ac:dyDescent="0.3">
      <c r="B1069" s="12">
        <v>1066</v>
      </c>
      <c r="C1069" s="28">
        <v>165.24769230618347</v>
      </c>
      <c r="E1069" s="14" t="s">
        <v>4898</v>
      </c>
      <c r="F1069" s="11">
        <v>178</v>
      </c>
    </row>
    <row r="1070" spans="2:6" x14ac:dyDescent="0.3">
      <c r="B1070" s="12">
        <v>1067</v>
      </c>
      <c r="C1070" s="28">
        <v>154.04364749066008</v>
      </c>
      <c r="E1070" s="14" t="s">
        <v>3915</v>
      </c>
      <c r="F1070" s="11">
        <v>161</v>
      </c>
    </row>
    <row r="1071" spans="2:6" x14ac:dyDescent="0.3">
      <c r="B1071" s="12">
        <v>1068</v>
      </c>
      <c r="C1071" s="28">
        <v>162.26758383166055</v>
      </c>
      <c r="E1071" s="14" t="s">
        <v>2778</v>
      </c>
      <c r="F1071" s="11">
        <v>150</v>
      </c>
    </row>
    <row r="1072" spans="2:6" x14ac:dyDescent="0.3">
      <c r="B1072" s="12">
        <v>1069</v>
      </c>
      <c r="C1072" s="28">
        <v>165.62669300516154</v>
      </c>
      <c r="E1072" s="14" t="s">
        <v>957</v>
      </c>
      <c r="F1072" s="11">
        <v>163</v>
      </c>
    </row>
    <row r="1073" spans="2:6" x14ac:dyDescent="0.3">
      <c r="B1073" s="12">
        <v>1070</v>
      </c>
      <c r="C1073" s="28">
        <v>172.62606107578958</v>
      </c>
      <c r="E1073" s="14" t="s">
        <v>966</v>
      </c>
      <c r="F1073" s="11">
        <v>157</v>
      </c>
    </row>
    <row r="1074" spans="2:6" x14ac:dyDescent="0.3">
      <c r="B1074" s="12">
        <v>1071</v>
      </c>
      <c r="C1074" s="28">
        <v>158.24834130350303</v>
      </c>
      <c r="E1074" s="14" t="s">
        <v>3669</v>
      </c>
      <c r="F1074" s="11">
        <v>175</v>
      </c>
    </row>
    <row r="1075" spans="2:6" x14ac:dyDescent="0.3">
      <c r="B1075" s="12">
        <v>1072</v>
      </c>
      <c r="C1075" s="28">
        <v>169.60015857250406</v>
      </c>
      <c r="E1075" s="14" t="s">
        <v>943</v>
      </c>
      <c r="F1075" s="11">
        <v>167</v>
      </c>
    </row>
    <row r="1076" spans="2:6" x14ac:dyDescent="0.3">
      <c r="B1076" s="12">
        <v>1073</v>
      </c>
      <c r="C1076" s="28">
        <v>165.66676598864763</v>
      </c>
      <c r="E1076" s="14" t="s">
        <v>4126</v>
      </c>
      <c r="F1076" s="11">
        <v>175</v>
      </c>
    </row>
    <row r="1077" spans="2:6" x14ac:dyDescent="0.3">
      <c r="B1077" s="12">
        <v>1074</v>
      </c>
      <c r="C1077" s="28">
        <v>164.62830167244172</v>
      </c>
      <c r="E1077" s="14" t="s">
        <v>3487</v>
      </c>
      <c r="F1077" s="11">
        <v>173</v>
      </c>
    </row>
    <row r="1078" spans="2:6" x14ac:dyDescent="0.3">
      <c r="B1078" s="12">
        <v>1075</v>
      </c>
      <c r="C1078" s="28">
        <v>155.71507216425516</v>
      </c>
      <c r="E1078" s="14" t="s">
        <v>3704</v>
      </c>
      <c r="F1078" s="11">
        <v>160</v>
      </c>
    </row>
    <row r="1079" spans="2:6" x14ac:dyDescent="0.3">
      <c r="B1079" s="12">
        <v>1076</v>
      </c>
      <c r="C1079" s="28">
        <v>163.91347146042528</v>
      </c>
      <c r="E1079" s="14" t="s">
        <v>4096</v>
      </c>
      <c r="F1079" s="11">
        <v>184</v>
      </c>
    </row>
    <row r="1080" spans="2:6" x14ac:dyDescent="0.3">
      <c r="B1080" s="12">
        <v>1077</v>
      </c>
      <c r="C1080" s="28">
        <v>157.5425420487889</v>
      </c>
      <c r="E1080" s="14" t="s">
        <v>4179</v>
      </c>
      <c r="F1080" s="11">
        <v>161</v>
      </c>
    </row>
    <row r="1081" spans="2:6" x14ac:dyDescent="0.3">
      <c r="B1081" s="12">
        <v>1078</v>
      </c>
      <c r="C1081" s="28">
        <v>156.92488876183123</v>
      </c>
      <c r="E1081" s="14" t="s">
        <v>3889</v>
      </c>
      <c r="F1081" s="11">
        <v>166</v>
      </c>
    </row>
    <row r="1082" spans="2:6" x14ac:dyDescent="0.3">
      <c r="B1082" s="12">
        <v>1079</v>
      </c>
      <c r="C1082" s="28">
        <v>163.15832654743673</v>
      </c>
      <c r="E1082" s="14" t="s">
        <v>4415</v>
      </c>
      <c r="F1082" s="11">
        <v>162</v>
      </c>
    </row>
    <row r="1083" spans="2:6" x14ac:dyDescent="0.3">
      <c r="B1083" s="12">
        <v>1080</v>
      </c>
      <c r="C1083" s="28">
        <v>158.34816228866916</v>
      </c>
      <c r="E1083" s="14" t="s">
        <v>922</v>
      </c>
      <c r="F1083" s="11">
        <v>153</v>
      </c>
    </row>
    <row r="1084" spans="2:6" x14ac:dyDescent="0.3">
      <c r="B1084" s="12">
        <v>1081</v>
      </c>
      <c r="C1084" s="28">
        <v>149.9369677863331</v>
      </c>
      <c r="E1084" s="14" t="s">
        <v>1133</v>
      </c>
      <c r="F1084" s="11">
        <v>158</v>
      </c>
    </row>
    <row r="1085" spans="2:6" x14ac:dyDescent="0.3">
      <c r="B1085" s="12">
        <v>1082</v>
      </c>
      <c r="C1085" s="28">
        <v>165.75898259228137</v>
      </c>
      <c r="E1085" s="14" t="s">
        <v>2234</v>
      </c>
      <c r="F1085" s="11">
        <v>163</v>
      </c>
    </row>
    <row r="1086" spans="2:6" x14ac:dyDescent="0.3">
      <c r="B1086" s="12">
        <v>1083</v>
      </c>
      <c r="C1086" s="28">
        <v>161.75527971116031</v>
      </c>
      <c r="E1086" s="14" t="s">
        <v>4308</v>
      </c>
      <c r="F1086" s="11">
        <v>159</v>
      </c>
    </row>
    <row r="1087" spans="2:6" x14ac:dyDescent="0.3">
      <c r="B1087" s="12">
        <v>1084</v>
      </c>
      <c r="C1087" s="28">
        <v>169.91104251272199</v>
      </c>
      <c r="E1087" s="14" t="s">
        <v>2771</v>
      </c>
      <c r="F1087" s="11">
        <v>169</v>
      </c>
    </row>
    <row r="1088" spans="2:6" x14ac:dyDescent="0.3">
      <c r="B1088" s="12">
        <v>1085</v>
      </c>
      <c r="C1088" s="28">
        <v>150.29079409895414</v>
      </c>
      <c r="E1088" s="14" t="s">
        <v>2293</v>
      </c>
      <c r="F1088" s="11">
        <v>169</v>
      </c>
    </row>
    <row r="1089" spans="2:6" x14ac:dyDescent="0.3">
      <c r="B1089" s="12">
        <v>1086</v>
      </c>
      <c r="C1089" s="28">
        <v>150.21328177217089</v>
      </c>
      <c r="E1089" s="14" t="s">
        <v>4546</v>
      </c>
      <c r="F1089" s="11">
        <v>172</v>
      </c>
    </row>
    <row r="1090" spans="2:6" x14ac:dyDescent="0.3">
      <c r="B1090" s="12">
        <v>1087</v>
      </c>
      <c r="C1090" s="28">
        <v>154.85431076851521</v>
      </c>
      <c r="E1090" s="14" t="s">
        <v>985</v>
      </c>
      <c r="F1090" s="11">
        <v>159</v>
      </c>
    </row>
    <row r="1091" spans="2:6" x14ac:dyDescent="0.3">
      <c r="B1091" s="12">
        <v>1088</v>
      </c>
      <c r="C1091" s="28">
        <v>167.12568982775497</v>
      </c>
      <c r="E1091" s="14" t="s">
        <v>608</v>
      </c>
      <c r="F1091" s="11">
        <v>175</v>
      </c>
    </row>
    <row r="1092" spans="2:6" x14ac:dyDescent="0.3">
      <c r="B1092" s="12">
        <v>1089</v>
      </c>
      <c r="C1092" s="28">
        <v>168.71217659601689</v>
      </c>
      <c r="E1092" s="14" t="s">
        <v>1983</v>
      </c>
      <c r="F1092" s="11">
        <v>157</v>
      </c>
    </row>
    <row r="1093" spans="2:6" x14ac:dyDescent="0.3">
      <c r="B1093" s="12">
        <v>1090</v>
      </c>
      <c r="C1093" s="28">
        <v>146.15228232607933</v>
      </c>
      <c r="E1093" s="14" t="s">
        <v>3837</v>
      </c>
      <c r="F1093" s="11">
        <v>175</v>
      </c>
    </row>
    <row r="1094" spans="2:6" x14ac:dyDescent="0.3">
      <c r="B1094" s="12">
        <v>1091</v>
      </c>
      <c r="C1094" s="28">
        <v>157.24103298888571</v>
      </c>
      <c r="E1094" s="14" t="s">
        <v>2414</v>
      </c>
      <c r="F1094" s="11">
        <v>155</v>
      </c>
    </row>
    <row r="1095" spans="2:6" x14ac:dyDescent="0.3">
      <c r="B1095" s="12">
        <v>1092</v>
      </c>
      <c r="C1095" s="28">
        <v>165.61938178706365</v>
      </c>
      <c r="E1095" s="14" t="s">
        <v>988</v>
      </c>
      <c r="F1095" s="11">
        <v>180</v>
      </c>
    </row>
    <row r="1096" spans="2:6" x14ac:dyDescent="0.3">
      <c r="B1096" s="12">
        <v>1093</v>
      </c>
      <c r="C1096" s="28">
        <v>175.7432702129974</v>
      </c>
      <c r="E1096" s="14" t="s">
        <v>1653</v>
      </c>
      <c r="F1096" s="11">
        <v>171</v>
      </c>
    </row>
    <row r="1097" spans="2:6" x14ac:dyDescent="0.3">
      <c r="B1097" s="12">
        <v>1094</v>
      </c>
      <c r="C1097" s="28">
        <v>162.58254623330873</v>
      </c>
      <c r="E1097" s="14" t="s">
        <v>937</v>
      </c>
      <c r="F1097" s="11">
        <v>155</v>
      </c>
    </row>
    <row r="1098" spans="2:6" x14ac:dyDescent="0.3">
      <c r="B1098" s="12">
        <v>1095</v>
      </c>
      <c r="C1098" s="28">
        <v>162.45156475120444</v>
      </c>
      <c r="E1098" s="14" t="s">
        <v>3870</v>
      </c>
      <c r="F1098" s="11">
        <v>160</v>
      </c>
    </row>
    <row r="1099" spans="2:6" x14ac:dyDescent="0.3">
      <c r="B1099" s="12">
        <v>1096</v>
      </c>
      <c r="C1099" s="28">
        <v>168.32401973208101</v>
      </c>
      <c r="E1099" s="14" t="s">
        <v>3708</v>
      </c>
      <c r="F1099" s="11">
        <v>181</v>
      </c>
    </row>
    <row r="1100" spans="2:6" x14ac:dyDescent="0.3">
      <c r="B1100" s="12">
        <v>1097</v>
      </c>
      <c r="C1100" s="28">
        <v>165.53859923570784</v>
      </c>
      <c r="E1100" s="14" t="s">
        <v>1974</v>
      </c>
      <c r="F1100" s="11">
        <v>173</v>
      </c>
    </row>
    <row r="1101" spans="2:6" x14ac:dyDescent="0.3">
      <c r="B1101" s="12">
        <v>1098</v>
      </c>
      <c r="C1101" s="28">
        <v>157.30817385004974</v>
      </c>
      <c r="E1101" s="14" t="s">
        <v>3748</v>
      </c>
      <c r="F1101" s="11">
        <v>151</v>
      </c>
    </row>
    <row r="1102" spans="2:6" x14ac:dyDescent="0.3">
      <c r="B1102" s="12">
        <v>1099</v>
      </c>
      <c r="C1102" s="28">
        <v>169.70674862576752</v>
      </c>
      <c r="E1102" s="14" t="s">
        <v>4865</v>
      </c>
      <c r="F1102" s="11">
        <v>166</v>
      </c>
    </row>
    <row r="1103" spans="2:6" x14ac:dyDescent="0.3">
      <c r="B1103" s="12">
        <v>1100</v>
      </c>
      <c r="C1103" s="28">
        <v>159.76809486433962</v>
      </c>
      <c r="E1103" s="14" t="s">
        <v>3415</v>
      </c>
      <c r="F1103" s="11">
        <v>180</v>
      </c>
    </row>
    <row r="1104" spans="2:6" x14ac:dyDescent="0.3">
      <c r="B1104" s="12">
        <v>1101</v>
      </c>
      <c r="C1104" s="28">
        <v>158.43356296856061</v>
      </c>
      <c r="E1104" s="14" t="s">
        <v>256</v>
      </c>
      <c r="F1104" s="11">
        <v>158</v>
      </c>
    </row>
    <row r="1105" spans="2:6" x14ac:dyDescent="0.3">
      <c r="B1105" s="12">
        <v>1102</v>
      </c>
      <c r="C1105" s="28">
        <v>169.78096112266914</v>
      </c>
      <c r="E1105" s="14" t="s">
        <v>269</v>
      </c>
      <c r="F1105" s="11">
        <v>175</v>
      </c>
    </row>
    <row r="1106" spans="2:6" x14ac:dyDescent="0.3">
      <c r="B1106" s="12">
        <v>1103</v>
      </c>
      <c r="C1106" s="28">
        <v>162.27428846727739</v>
      </c>
      <c r="E1106" s="14" t="s">
        <v>2674</v>
      </c>
      <c r="F1106" s="11">
        <v>153</v>
      </c>
    </row>
    <row r="1107" spans="2:6" x14ac:dyDescent="0.3">
      <c r="B1107" s="12">
        <v>1104</v>
      </c>
      <c r="C1107" s="28">
        <v>169.79286544756579</v>
      </c>
      <c r="E1107" s="14" t="s">
        <v>3202</v>
      </c>
      <c r="F1107" s="11">
        <v>157</v>
      </c>
    </row>
    <row r="1108" spans="2:6" x14ac:dyDescent="0.3">
      <c r="B1108" s="12">
        <v>1105</v>
      </c>
      <c r="C1108" s="28">
        <v>168.92181920753936</v>
      </c>
      <c r="E1108" s="14" t="s">
        <v>3607</v>
      </c>
      <c r="F1108" s="11">
        <v>191</v>
      </c>
    </row>
    <row r="1109" spans="2:6" x14ac:dyDescent="0.3">
      <c r="B1109" s="12">
        <v>1106</v>
      </c>
      <c r="C1109" s="28">
        <v>149.11404117135345</v>
      </c>
      <c r="E1109" s="14" t="s">
        <v>3398</v>
      </c>
      <c r="F1109" s="11">
        <v>167</v>
      </c>
    </row>
    <row r="1110" spans="2:6" x14ac:dyDescent="0.3">
      <c r="B1110" s="12">
        <v>1107</v>
      </c>
      <c r="C1110" s="28">
        <v>160.47059296225908</v>
      </c>
      <c r="E1110" s="14" t="s">
        <v>2037</v>
      </c>
      <c r="F1110" s="11">
        <v>170</v>
      </c>
    </row>
    <row r="1111" spans="2:6" x14ac:dyDescent="0.3">
      <c r="B1111" s="12">
        <v>1108</v>
      </c>
      <c r="C1111" s="28">
        <v>165.484747576053</v>
      </c>
      <c r="E1111" s="14" t="s">
        <v>2457</v>
      </c>
      <c r="F1111" s="11">
        <v>174</v>
      </c>
    </row>
    <row r="1112" spans="2:6" x14ac:dyDescent="0.3">
      <c r="B1112" s="12">
        <v>1109</v>
      </c>
      <c r="C1112" s="28">
        <v>160.23595997867557</v>
      </c>
      <c r="E1112" s="14" t="s">
        <v>4268</v>
      </c>
      <c r="F1112" s="11">
        <v>183</v>
      </c>
    </row>
    <row r="1113" spans="2:6" x14ac:dyDescent="0.3">
      <c r="B1113" s="12">
        <v>1110</v>
      </c>
      <c r="C1113" s="28">
        <v>157.73362977464419</v>
      </c>
      <c r="E1113" s="14" t="s">
        <v>2649</v>
      </c>
      <c r="F1113" s="11">
        <v>163</v>
      </c>
    </row>
    <row r="1114" spans="2:6" x14ac:dyDescent="0.3">
      <c r="B1114" s="12">
        <v>1111</v>
      </c>
      <c r="C1114" s="28">
        <v>164.05371916246122</v>
      </c>
      <c r="E1114" s="14" t="s">
        <v>13</v>
      </c>
      <c r="F1114" s="11">
        <v>175</v>
      </c>
    </row>
    <row r="1115" spans="2:6" x14ac:dyDescent="0.3">
      <c r="B1115" s="12">
        <v>1112</v>
      </c>
      <c r="C1115" s="28">
        <v>160.76632545665015</v>
      </c>
      <c r="E1115" s="14" t="s">
        <v>4162</v>
      </c>
      <c r="F1115" s="11">
        <v>166</v>
      </c>
    </row>
    <row r="1116" spans="2:6" x14ac:dyDescent="0.3">
      <c r="B1116" s="12">
        <v>1113</v>
      </c>
      <c r="C1116" s="28">
        <v>162.79137789880662</v>
      </c>
      <c r="E1116" s="14" t="s">
        <v>3091</v>
      </c>
      <c r="F1116" s="11">
        <v>183</v>
      </c>
    </row>
    <row r="1117" spans="2:6" x14ac:dyDescent="0.3">
      <c r="B1117" s="12">
        <v>1114</v>
      </c>
      <c r="C1117" s="28">
        <v>158.0031489108535</v>
      </c>
      <c r="E1117" s="14" t="s">
        <v>3334</v>
      </c>
      <c r="F1117" s="11">
        <v>149</v>
      </c>
    </row>
    <row r="1118" spans="2:6" x14ac:dyDescent="0.3">
      <c r="B1118" s="12">
        <v>1115</v>
      </c>
      <c r="C1118" s="28">
        <v>155.42763759706602</v>
      </c>
      <c r="E1118" s="14" t="s">
        <v>1007</v>
      </c>
      <c r="F1118" s="11">
        <v>170</v>
      </c>
    </row>
    <row r="1119" spans="2:6" x14ac:dyDescent="0.3">
      <c r="B1119" s="12">
        <v>1116</v>
      </c>
      <c r="C1119" s="28">
        <v>170.8297426053156</v>
      </c>
      <c r="E1119" s="14" t="s">
        <v>2468</v>
      </c>
      <c r="F1119" s="11">
        <v>165</v>
      </c>
    </row>
    <row r="1120" spans="2:6" x14ac:dyDescent="0.3">
      <c r="B1120" s="12">
        <v>1117</v>
      </c>
      <c r="C1120" s="28">
        <v>181.45492481128738</v>
      </c>
      <c r="E1120" s="14" t="s">
        <v>4459</v>
      </c>
      <c r="F1120" s="11">
        <v>163</v>
      </c>
    </row>
    <row r="1121" spans="2:6" x14ac:dyDescent="0.3">
      <c r="B1121" s="12">
        <v>1118</v>
      </c>
      <c r="C1121" s="28">
        <v>153.79853643128934</v>
      </c>
      <c r="E1121" s="14" t="s">
        <v>648</v>
      </c>
      <c r="F1121" s="11">
        <v>170</v>
      </c>
    </row>
    <row r="1122" spans="2:6" x14ac:dyDescent="0.3">
      <c r="B1122" s="12">
        <v>1119</v>
      </c>
      <c r="C1122" s="28">
        <v>159.03361659050887</v>
      </c>
      <c r="E1122" s="14" t="s">
        <v>4178</v>
      </c>
      <c r="F1122" s="11">
        <v>174</v>
      </c>
    </row>
    <row r="1123" spans="2:6" x14ac:dyDescent="0.3">
      <c r="B1123" s="12">
        <v>1120</v>
      </c>
      <c r="C1123" s="28">
        <v>157.17383694236747</v>
      </c>
      <c r="E1123" s="14" t="s">
        <v>2777</v>
      </c>
      <c r="F1123" s="11">
        <v>166</v>
      </c>
    </row>
    <row r="1124" spans="2:6" x14ac:dyDescent="0.3">
      <c r="B1124" s="12">
        <v>1121</v>
      </c>
      <c r="C1124" s="28">
        <v>158.28201024919753</v>
      </c>
      <c r="E1124" s="14" t="s">
        <v>3373</v>
      </c>
      <c r="F1124" s="11">
        <v>165</v>
      </c>
    </row>
    <row r="1125" spans="2:6" x14ac:dyDescent="0.3">
      <c r="B1125" s="12">
        <v>1122</v>
      </c>
      <c r="C1125" s="28">
        <v>162.72082573391381</v>
      </c>
      <c r="E1125" s="14" t="s">
        <v>1027</v>
      </c>
      <c r="F1125" s="11">
        <v>171</v>
      </c>
    </row>
    <row r="1126" spans="2:6" x14ac:dyDescent="0.3">
      <c r="B1126" s="12">
        <v>1123</v>
      </c>
      <c r="C1126" s="28">
        <v>152.89503824658982</v>
      </c>
      <c r="E1126" s="14" t="s">
        <v>1028</v>
      </c>
      <c r="F1126" s="11">
        <v>180</v>
      </c>
    </row>
    <row r="1127" spans="2:6" x14ac:dyDescent="0.3">
      <c r="B1127" s="12">
        <v>1124</v>
      </c>
      <c r="C1127" s="28">
        <v>173.30560806119732</v>
      </c>
      <c r="E1127" s="14" t="s">
        <v>1970</v>
      </c>
      <c r="F1127" s="11">
        <v>151</v>
      </c>
    </row>
    <row r="1128" spans="2:6" x14ac:dyDescent="0.3">
      <c r="B1128" s="12">
        <v>1125</v>
      </c>
      <c r="C1128" s="28">
        <v>166.16726529732821</v>
      </c>
      <c r="E1128" s="14" t="s">
        <v>2830</v>
      </c>
      <c r="F1128" s="11">
        <v>165</v>
      </c>
    </row>
    <row r="1129" spans="2:6" x14ac:dyDescent="0.3">
      <c r="B1129" s="12">
        <v>1126</v>
      </c>
      <c r="C1129" s="28">
        <v>166.72682786825672</v>
      </c>
      <c r="E1129" s="14" t="s">
        <v>925</v>
      </c>
      <c r="F1129" s="11">
        <v>176</v>
      </c>
    </row>
    <row r="1130" spans="2:6" x14ac:dyDescent="0.3">
      <c r="B1130" s="12">
        <v>1127</v>
      </c>
      <c r="C1130" s="28">
        <v>151.1629735131514</v>
      </c>
      <c r="E1130" s="14" t="s">
        <v>1137</v>
      </c>
      <c r="F1130" s="11">
        <v>180</v>
      </c>
    </row>
    <row r="1131" spans="2:6" x14ac:dyDescent="0.3">
      <c r="B1131" s="12">
        <v>1128</v>
      </c>
      <c r="C1131" s="28">
        <v>165.05223777683577</v>
      </c>
      <c r="E1131" s="14" t="s">
        <v>1666</v>
      </c>
      <c r="F1131" s="11">
        <v>162</v>
      </c>
    </row>
    <row r="1132" spans="2:6" x14ac:dyDescent="0.3">
      <c r="B1132" s="12">
        <v>1129</v>
      </c>
      <c r="C1132" s="28">
        <v>167.32980244322135</v>
      </c>
      <c r="E1132" s="14" t="s">
        <v>2891</v>
      </c>
      <c r="F1132" s="11">
        <v>168</v>
      </c>
    </row>
    <row r="1133" spans="2:6" x14ac:dyDescent="0.3">
      <c r="B1133" s="12">
        <v>1130</v>
      </c>
      <c r="C1133" s="28">
        <v>150.64177935930633</v>
      </c>
      <c r="E1133" s="14" t="s">
        <v>503</v>
      </c>
      <c r="F1133" s="11">
        <v>175</v>
      </c>
    </row>
    <row r="1134" spans="2:6" x14ac:dyDescent="0.3">
      <c r="B1134" s="12">
        <v>1131</v>
      </c>
      <c r="C1134" s="28">
        <v>167.82336966703818</v>
      </c>
      <c r="E1134" s="14" t="s">
        <v>3871</v>
      </c>
      <c r="F1134" s="11">
        <v>165</v>
      </c>
    </row>
    <row r="1135" spans="2:6" x14ac:dyDescent="0.3">
      <c r="B1135" s="12">
        <v>1132</v>
      </c>
      <c r="C1135" s="28">
        <v>165.58478338609856</v>
      </c>
      <c r="E1135" s="14" t="s">
        <v>3629</v>
      </c>
      <c r="F1135" s="11">
        <v>176</v>
      </c>
    </row>
    <row r="1136" spans="2:6" x14ac:dyDescent="0.3">
      <c r="B1136" s="12">
        <v>1133</v>
      </c>
      <c r="C1136" s="28">
        <v>166.86171572631358</v>
      </c>
      <c r="E1136" s="14" t="s">
        <v>4597</v>
      </c>
      <c r="F1136" s="11">
        <v>170</v>
      </c>
    </row>
    <row r="1137" spans="2:6" x14ac:dyDescent="0.3">
      <c r="B1137" s="12">
        <v>1134</v>
      </c>
      <c r="C1137" s="28">
        <v>158.96953194154128</v>
      </c>
      <c r="E1137" s="14" t="s">
        <v>1056</v>
      </c>
      <c r="F1137" s="11">
        <v>170</v>
      </c>
    </row>
    <row r="1138" spans="2:6" x14ac:dyDescent="0.3">
      <c r="B1138" s="12">
        <v>1135</v>
      </c>
      <c r="C1138" s="28">
        <v>168.68370577671485</v>
      </c>
      <c r="E1138" s="14" t="s">
        <v>4479</v>
      </c>
      <c r="F1138" s="11">
        <v>164</v>
      </c>
    </row>
    <row r="1139" spans="2:6" x14ac:dyDescent="0.3">
      <c r="B1139" s="12">
        <v>1136</v>
      </c>
      <c r="C1139" s="28">
        <v>165.42900170456679</v>
      </c>
      <c r="E1139" s="14" t="s">
        <v>3592</v>
      </c>
      <c r="F1139" s="11">
        <v>157</v>
      </c>
    </row>
    <row r="1140" spans="2:6" x14ac:dyDescent="0.3">
      <c r="B1140" s="12">
        <v>1137</v>
      </c>
      <c r="C1140" s="28">
        <v>166.07361127695009</v>
      </c>
      <c r="E1140" s="14" t="s">
        <v>2733</v>
      </c>
      <c r="F1140" s="11">
        <v>185</v>
      </c>
    </row>
    <row r="1141" spans="2:6" x14ac:dyDescent="0.3">
      <c r="B1141" s="12">
        <v>1138</v>
      </c>
      <c r="C1141" s="28">
        <v>170.6365926248688</v>
      </c>
      <c r="E1141" s="14" t="s">
        <v>3282</v>
      </c>
      <c r="F1141" s="11">
        <v>165</v>
      </c>
    </row>
    <row r="1142" spans="2:6" x14ac:dyDescent="0.3">
      <c r="B1142" s="12">
        <v>1139</v>
      </c>
      <c r="C1142" s="28">
        <v>163.22547891119927</v>
      </c>
      <c r="E1142" s="14" t="s">
        <v>1059</v>
      </c>
      <c r="F1142" s="11">
        <v>160</v>
      </c>
    </row>
    <row r="1143" spans="2:6" x14ac:dyDescent="0.3">
      <c r="B1143" s="12">
        <v>1140</v>
      </c>
      <c r="C1143" s="28">
        <v>162.99821457471108</v>
      </c>
      <c r="E1143" s="14" t="s">
        <v>524</v>
      </c>
      <c r="F1143" s="11">
        <v>178</v>
      </c>
    </row>
    <row r="1144" spans="2:6" x14ac:dyDescent="0.3">
      <c r="B1144" s="12">
        <v>1141</v>
      </c>
      <c r="C1144" s="28">
        <v>155.20216936842527</v>
      </c>
      <c r="E1144" s="14" t="s">
        <v>3858</v>
      </c>
      <c r="F1144" s="11">
        <v>169</v>
      </c>
    </row>
    <row r="1145" spans="2:6" x14ac:dyDescent="0.3">
      <c r="B1145" s="12">
        <v>1142</v>
      </c>
      <c r="C1145" s="28">
        <v>173.34156311919034</v>
      </c>
      <c r="E1145" s="14" t="s">
        <v>4816</v>
      </c>
      <c r="F1145" s="11">
        <v>160</v>
      </c>
    </row>
    <row r="1146" spans="2:6" x14ac:dyDescent="0.3">
      <c r="B1146" s="12">
        <v>1143</v>
      </c>
      <c r="C1146" s="28">
        <v>161.08668477977935</v>
      </c>
      <c r="E1146" s="14" t="s">
        <v>177</v>
      </c>
      <c r="F1146" s="11">
        <v>169</v>
      </c>
    </row>
    <row r="1147" spans="2:6" x14ac:dyDescent="0.3">
      <c r="B1147" s="12">
        <v>1144</v>
      </c>
      <c r="C1147" s="28">
        <v>167.33713564680917</v>
      </c>
      <c r="E1147" s="14" t="s">
        <v>881</v>
      </c>
      <c r="F1147" s="11">
        <v>175</v>
      </c>
    </row>
    <row r="1148" spans="2:6" x14ac:dyDescent="0.3">
      <c r="B1148" s="12">
        <v>1145</v>
      </c>
      <c r="C1148" s="28">
        <v>165.10638047373584</v>
      </c>
      <c r="E1148" s="14" t="s">
        <v>895</v>
      </c>
      <c r="F1148" s="11">
        <v>173</v>
      </c>
    </row>
    <row r="1149" spans="2:6" x14ac:dyDescent="0.3">
      <c r="B1149" s="12">
        <v>1146</v>
      </c>
      <c r="C1149" s="28">
        <v>156.74231040996762</v>
      </c>
      <c r="E1149" s="14" t="s">
        <v>4099</v>
      </c>
      <c r="F1149" s="11">
        <v>195</v>
      </c>
    </row>
    <row r="1150" spans="2:6" x14ac:dyDescent="0.3">
      <c r="B1150" s="12">
        <v>1147</v>
      </c>
      <c r="C1150" s="28">
        <v>176.36969978770188</v>
      </c>
      <c r="E1150" s="14" t="s">
        <v>4367</v>
      </c>
      <c r="F1150" s="11">
        <v>175</v>
      </c>
    </row>
    <row r="1151" spans="2:6" x14ac:dyDescent="0.3">
      <c r="B1151" s="12">
        <v>1148</v>
      </c>
      <c r="C1151" s="28">
        <v>166.19651377535311</v>
      </c>
      <c r="E1151" s="14" t="s">
        <v>1823</v>
      </c>
      <c r="F1151" s="11">
        <v>166</v>
      </c>
    </row>
    <row r="1152" spans="2:6" x14ac:dyDescent="0.3">
      <c r="B1152" s="12">
        <v>1149</v>
      </c>
      <c r="C1152" s="28">
        <v>164.70019102472523</v>
      </c>
      <c r="E1152" s="14" t="s">
        <v>1082</v>
      </c>
      <c r="F1152" s="11">
        <v>170</v>
      </c>
    </row>
    <row r="1153" spans="2:6" x14ac:dyDescent="0.3">
      <c r="B1153" s="12">
        <v>1150</v>
      </c>
      <c r="C1153" s="28">
        <v>164.81980552317495</v>
      </c>
      <c r="E1153" s="14" t="s">
        <v>1083</v>
      </c>
      <c r="F1153" s="11">
        <v>180</v>
      </c>
    </row>
    <row r="1154" spans="2:6" x14ac:dyDescent="0.3">
      <c r="B1154" s="12">
        <v>1151</v>
      </c>
      <c r="C1154" s="28">
        <v>157.03593065762129</v>
      </c>
      <c r="E1154" s="14" t="s">
        <v>899</v>
      </c>
      <c r="F1154" s="11">
        <v>180</v>
      </c>
    </row>
    <row r="1155" spans="2:6" x14ac:dyDescent="0.3">
      <c r="B1155" s="12">
        <v>1152</v>
      </c>
      <c r="C1155" s="28">
        <v>162.41426407229162</v>
      </c>
      <c r="E1155" s="14" t="s">
        <v>713</v>
      </c>
      <c r="F1155" s="11">
        <v>160</v>
      </c>
    </row>
    <row r="1156" spans="2:6" x14ac:dyDescent="0.3">
      <c r="B1156" s="12">
        <v>1153</v>
      </c>
      <c r="C1156" s="28">
        <v>162.35978703743052</v>
      </c>
      <c r="E1156" s="14" t="s">
        <v>259</v>
      </c>
      <c r="F1156" s="11">
        <v>170</v>
      </c>
    </row>
    <row r="1157" spans="2:6" x14ac:dyDescent="0.3">
      <c r="B1157" s="12">
        <v>1154</v>
      </c>
      <c r="C1157" s="28">
        <v>154.22420328667323</v>
      </c>
      <c r="E1157" s="14" t="s">
        <v>2642</v>
      </c>
      <c r="F1157" s="11">
        <v>171</v>
      </c>
    </row>
    <row r="1158" spans="2:6" x14ac:dyDescent="0.3">
      <c r="B1158" s="12">
        <v>1155</v>
      </c>
      <c r="C1158" s="28">
        <v>162.50875053620933</v>
      </c>
      <c r="E1158" s="14" t="s">
        <v>2084</v>
      </c>
      <c r="F1158" s="11">
        <v>182</v>
      </c>
    </row>
    <row r="1159" spans="2:6" x14ac:dyDescent="0.3">
      <c r="B1159" s="12">
        <v>1156</v>
      </c>
      <c r="C1159" s="28">
        <v>174.3356343329072</v>
      </c>
      <c r="E1159" s="14" t="s">
        <v>2856</v>
      </c>
      <c r="F1159" s="11">
        <v>163</v>
      </c>
    </row>
    <row r="1160" spans="2:6" x14ac:dyDescent="0.3">
      <c r="B1160" s="12">
        <v>1157</v>
      </c>
      <c r="C1160" s="28">
        <v>155.69815093982794</v>
      </c>
      <c r="E1160" s="14" t="s">
        <v>1527</v>
      </c>
      <c r="F1160" s="11">
        <v>165</v>
      </c>
    </row>
    <row r="1161" spans="2:6" x14ac:dyDescent="0.3">
      <c r="B1161" s="12">
        <v>1158</v>
      </c>
      <c r="C1161" s="28">
        <v>154.65933212636733</v>
      </c>
      <c r="E1161" s="14" t="s">
        <v>3119</v>
      </c>
      <c r="F1161" s="11">
        <v>167</v>
      </c>
    </row>
    <row r="1162" spans="2:6" x14ac:dyDescent="0.3">
      <c r="B1162" s="12">
        <v>1159</v>
      </c>
      <c r="C1162" s="28">
        <v>162.8715594349942</v>
      </c>
      <c r="E1162" s="14" t="s">
        <v>1354</v>
      </c>
      <c r="F1162" s="11">
        <v>181</v>
      </c>
    </row>
    <row r="1163" spans="2:6" x14ac:dyDescent="0.3">
      <c r="B1163" s="12">
        <v>1160</v>
      </c>
      <c r="C1163" s="28">
        <v>173.25610850683975</v>
      </c>
      <c r="E1163" s="14" t="s">
        <v>2115</v>
      </c>
      <c r="F1163" s="11">
        <v>166</v>
      </c>
    </row>
    <row r="1164" spans="2:6" x14ac:dyDescent="0.3">
      <c r="B1164" s="12">
        <v>1161</v>
      </c>
      <c r="C1164" s="28">
        <v>170.23682160237564</v>
      </c>
      <c r="E1164" s="14" t="s">
        <v>661</v>
      </c>
      <c r="F1164" s="11">
        <v>185</v>
      </c>
    </row>
    <row r="1165" spans="2:6" x14ac:dyDescent="0.3">
      <c r="B1165" s="12">
        <v>1162</v>
      </c>
      <c r="C1165" s="28">
        <v>178.47633572286381</v>
      </c>
      <c r="E1165" s="14" t="s">
        <v>3802</v>
      </c>
      <c r="F1165" s="11">
        <v>153</v>
      </c>
    </row>
    <row r="1166" spans="2:6" x14ac:dyDescent="0.3">
      <c r="B1166" s="12">
        <v>1163</v>
      </c>
      <c r="C1166" s="28">
        <v>154.54056050702027</v>
      </c>
      <c r="E1166" s="14" t="s">
        <v>143</v>
      </c>
      <c r="F1166" s="11">
        <v>186</v>
      </c>
    </row>
    <row r="1167" spans="2:6" x14ac:dyDescent="0.3">
      <c r="B1167" s="12">
        <v>1164</v>
      </c>
      <c r="C1167" s="28">
        <v>159.55607906051151</v>
      </c>
      <c r="E1167" s="14" t="s">
        <v>1548</v>
      </c>
      <c r="F1167" s="11">
        <v>163</v>
      </c>
    </row>
    <row r="1168" spans="2:6" x14ac:dyDescent="0.3">
      <c r="B1168" s="12">
        <v>1165</v>
      </c>
      <c r="C1168" s="28">
        <v>171.93402767868898</v>
      </c>
      <c r="E1168" s="14" t="s">
        <v>482</v>
      </c>
      <c r="F1168" s="11">
        <v>170</v>
      </c>
    </row>
    <row r="1169" spans="2:6" x14ac:dyDescent="0.3">
      <c r="B1169" s="12">
        <v>1166</v>
      </c>
      <c r="C1169" s="28">
        <v>155.58118547932497</v>
      </c>
      <c r="E1169" s="14" t="s">
        <v>4378</v>
      </c>
      <c r="F1169" s="11">
        <v>164</v>
      </c>
    </row>
    <row r="1170" spans="2:6" x14ac:dyDescent="0.3">
      <c r="B1170" s="12">
        <v>1167</v>
      </c>
      <c r="C1170" s="28">
        <v>167.83477195233419</v>
      </c>
      <c r="E1170" s="14" t="s">
        <v>1110</v>
      </c>
      <c r="F1170" s="11">
        <v>170</v>
      </c>
    </row>
    <row r="1171" spans="2:6" x14ac:dyDescent="0.3">
      <c r="B1171" s="12">
        <v>1168</v>
      </c>
      <c r="C1171" s="28">
        <v>176.11530858364864</v>
      </c>
      <c r="E1171" s="14" t="s">
        <v>1868</v>
      </c>
      <c r="F1171" s="11">
        <v>177</v>
      </c>
    </row>
    <row r="1172" spans="2:6" x14ac:dyDescent="0.3">
      <c r="B1172" s="12">
        <v>1169</v>
      </c>
      <c r="C1172" s="28">
        <v>153.87118848070403</v>
      </c>
      <c r="E1172" s="14" t="s">
        <v>2949</v>
      </c>
      <c r="F1172" s="11">
        <v>164</v>
      </c>
    </row>
    <row r="1173" spans="2:6" x14ac:dyDescent="0.3">
      <c r="B1173" s="12">
        <v>1170</v>
      </c>
      <c r="C1173" s="28">
        <v>156.60160362921027</v>
      </c>
      <c r="E1173" s="14" t="s">
        <v>286</v>
      </c>
      <c r="F1173" s="11">
        <v>176</v>
      </c>
    </row>
    <row r="1174" spans="2:6" x14ac:dyDescent="0.3">
      <c r="B1174" s="12">
        <v>1171</v>
      </c>
      <c r="C1174" s="28">
        <v>161.89371280502485</v>
      </c>
      <c r="E1174" s="14" t="s">
        <v>879</v>
      </c>
      <c r="F1174" s="11">
        <v>159</v>
      </c>
    </row>
    <row r="1175" spans="2:6" x14ac:dyDescent="0.3">
      <c r="B1175" s="12">
        <v>1172</v>
      </c>
      <c r="C1175" s="28">
        <v>158.06601258256788</v>
      </c>
      <c r="E1175" s="14" t="s">
        <v>1493</v>
      </c>
      <c r="F1175" s="11">
        <v>152</v>
      </c>
    </row>
    <row r="1176" spans="2:6" x14ac:dyDescent="0.3">
      <c r="B1176" s="12">
        <v>1173</v>
      </c>
      <c r="C1176" s="28">
        <v>165.56454883082631</v>
      </c>
      <c r="E1176" s="14" t="s">
        <v>767</v>
      </c>
      <c r="F1176" s="11">
        <v>170</v>
      </c>
    </row>
    <row r="1177" spans="2:6" x14ac:dyDescent="0.3">
      <c r="B1177" s="12">
        <v>1174</v>
      </c>
      <c r="C1177" s="28">
        <v>166.36388091845029</v>
      </c>
      <c r="E1177" s="14" t="s">
        <v>2717</v>
      </c>
      <c r="F1177" s="11">
        <v>176</v>
      </c>
    </row>
    <row r="1178" spans="2:6" x14ac:dyDescent="0.3">
      <c r="B1178" s="12">
        <v>1175</v>
      </c>
      <c r="C1178" s="28">
        <v>165.71580536478558</v>
      </c>
      <c r="E1178" s="14" t="s">
        <v>4540</v>
      </c>
      <c r="F1178" s="11">
        <v>169</v>
      </c>
    </row>
    <row r="1179" spans="2:6" x14ac:dyDescent="0.3">
      <c r="B1179" s="12">
        <v>1176</v>
      </c>
      <c r="C1179" s="28">
        <v>167.43435396461342</v>
      </c>
      <c r="E1179" s="14" t="s">
        <v>103</v>
      </c>
      <c r="F1179" s="11">
        <v>171</v>
      </c>
    </row>
    <row r="1180" spans="2:6" x14ac:dyDescent="0.3">
      <c r="B1180" s="12">
        <v>1177</v>
      </c>
      <c r="C1180" s="28">
        <v>141.86208310763388</v>
      </c>
      <c r="E1180" s="14" t="s">
        <v>4606</v>
      </c>
      <c r="F1180" s="11">
        <v>168</v>
      </c>
    </row>
    <row r="1181" spans="2:6" x14ac:dyDescent="0.3">
      <c r="B1181" s="12">
        <v>1178</v>
      </c>
      <c r="C1181" s="28">
        <v>149.3765202294301</v>
      </c>
      <c r="E1181" s="14" t="s">
        <v>251</v>
      </c>
      <c r="F1181" s="11">
        <v>180</v>
      </c>
    </row>
    <row r="1182" spans="2:6" x14ac:dyDescent="0.3">
      <c r="B1182" s="12">
        <v>1179</v>
      </c>
      <c r="C1182" s="28">
        <v>161.7981702225041</v>
      </c>
      <c r="E1182" s="14" t="s">
        <v>2369</v>
      </c>
      <c r="F1182" s="11">
        <v>168</v>
      </c>
    </row>
    <row r="1183" spans="2:6" x14ac:dyDescent="0.3">
      <c r="B1183" s="12">
        <v>1180</v>
      </c>
      <c r="C1183" s="28">
        <v>159.64492266366594</v>
      </c>
      <c r="E1183" s="14" t="s">
        <v>59</v>
      </c>
      <c r="F1183" s="11">
        <v>160</v>
      </c>
    </row>
    <row r="1184" spans="2:6" x14ac:dyDescent="0.3">
      <c r="B1184" s="12">
        <v>1181</v>
      </c>
      <c r="C1184" s="28">
        <v>164.83802861412059</v>
      </c>
      <c r="E1184" s="14" t="s">
        <v>4329</v>
      </c>
      <c r="F1184" s="11">
        <v>167</v>
      </c>
    </row>
    <row r="1185" spans="2:6" x14ac:dyDescent="0.3">
      <c r="B1185" s="12">
        <v>1182</v>
      </c>
      <c r="C1185" s="28">
        <v>161.01220959875792</v>
      </c>
      <c r="E1185" s="14" t="s">
        <v>2462</v>
      </c>
      <c r="F1185" s="11">
        <v>188</v>
      </c>
    </row>
    <row r="1186" spans="2:6" x14ac:dyDescent="0.3">
      <c r="B1186" s="12">
        <v>1183</v>
      </c>
      <c r="C1186" s="28">
        <v>163.15744878697888</v>
      </c>
      <c r="E1186" s="14" t="s">
        <v>424</v>
      </c>
      <c r="F1186" s="11">
        <v>154</v>
      </c>
    </row>
    <row r="1187" spans="2:6" x14ac:dyDescent="0.3">
      <c r="B1187" s="12">
        <v>1184</v>
      </c>
      <c r="C1187" s="28">
        <v>161.38009217806319</v>
      </c>
      <c r="E1187" s="14" t="s">
        <v>1611</v>
      </c>
      <c r="F1187" s="11">
        <v>172</v>
      </c>
    </row>
    <row r="1188" spans="2:6" x14ac:dyDescent="0.3">
      <c r="B1188" s="12">
        <v>1185</v>
      </c>
      <c r="C1188" s="28">
        <v>168.15825956319458</v>
      </c>
      <c r="E1188" s="14" t="s">
        <v>1219</v>
      </c>
      <c r="F1188" s="11">
        <v>165</v>
      </c>
    </row>
    <row r="1189" spans="2:6" x14ac:dyDescent="0.3">
      <c r="B1189" s="12">
        <v>1186</v>
      </c>
      <c r="C1189" s="28">
        <v>153.40237448387691</v>
      </c>
      <c r="E1189" s="14" t="s">
        <v>3286</v>
      </c>
      <c r="F1189" s="11">
        <v>182</v>
      </c>
    </row>
    <row r="1190" spans="2:6" x14ac:dyDescent="0.3">
      <c r="B1190" s="12">
        <v>1187</v>
      </c>
      <c r="C1190" s="28">
        <v>176.85070598083951</v>
      </c>
      <c r="E1190" s="14" t="s">
        <v>3247</v>
      </c>
      <c r="F1190" s="11">
        <v>170</v>
      </c>
    </row>
    <row r="1191" spans="2:6" x14ac:dyDescent="0.3">
      <c r="B1191" s="12">
        <v>1188</v>
      </c>
      <c r="C1191" s="28">
        <v>170.93502477675665</v>
      </c>
      <c r="E1191" s="14" t="s">
        <v>409</v>
      </c>
      <c r="F1191" s="11">
        <v>171</v>
      </c>
    </row>
    <row r="1192" spans="2:6" x14ac:dyDescent="0.3">
      <c r="B1192" s="12">
        <v>1189</v>
      </c>
      <c r="C1192" s="28">
        <v>158.97864458860346</v>
      </c>
      <c r="E1192" s="14" t="s">
        <v>693</v>
      </c>
      <c r="F1192" s="11">
        <v>168</v>
      </c>
    </row>
    <row r="1193" spans="2:6" x14ac:dyDescent="0.3">
      <c r="B1193" s="12">
        <v>1190</v>
      </c>
      <c r="C1193" s="28">
        <v>164.67519064937528</v>
      </c>
      <c r="E1193" s="14" t="s">
        <v>802</v>
      </c>
      <c r="F1193" s="11">
        <v>164</v>
      </c>
    </row>
    <row r="1194" spans="2:6" x14ac:dyDescent="0.3">
      <c r="B1194" s="12">
        <v>1191</v>
      </c>
      <c r="C1194" s="28">
        <v>157.28823123194346</v>
      </c>
      <c r="E1194" s="14" t="s">
        <v>981</v>
      </c>
      <c r="F1194" s="11">
        <v>195</v>
      </c>
    </row>
    <row r="1195" spans="2:6" x14ac:dyDescent="0.3">
      <c r="B1195" s="12">
        <v>1192</v>
      </c>
      <c r="C1195" s="28">
        <v>162.84066715763763</v>
      </c>
      <c r="E1195" s="14" t="s">
        <v>1338</v>
      </c>
      <c r="F1195" s="11">
        <v>177</v>
      </c>
    </row>
    <row r="1196" spans="2:6" x14ac:dyDescent="0.3">
      <c r="B1196" s="12">
        <v>1193</v>
      </c>
      <c r="C1196" s="28">
        <v>155.30765719710476</v>
      </c>
      <c r="E1196" s="14" t="s">
        <v>2437</v>
      </c>
      <c r="F1196" s="11">
        <v>169</v>
      </c>
    </row>
    <row r="1197" spans="2:6" x14ac:dyDescent="0.3">
      <c r="B1197" s="12">
        <v>1194</v>
      </c>
      <c r="C1197" s="28">
        <v>164.05299947308475</v>
      </c>
      <c r="E1197" s="14" t="s">
        <v>2478</v>
      </c>
      <c r="F1197" s="11">
        <v>169</v>
      </c>
    </row>
    <row r="1198" spans="2:6" x14ac:dyDescent="0.3">
      <c r="B1198" s="12">
        <v>1195</v>
      </c>
      <c r="C1198" s="28">
        <v>163.47757266218451</v>
      </c>
      <c r="E1198" s="14" t="s">
        <v>4454</v>
      </c>
      <c r="F1198" s="11">
        <v>164</v>
      </c>
    </row>
    <row r="1199" spans="2:6" x14ac:dyDescent="0.3">
      <c r="B1199" s="12">
        <v>1196</v>
      </c>
      <c r="C1199" s="28">
        <v>167.80888255293272</v>
      </c>
      <c r="E1199" s="14" t="s">
        <v>3733</v>
      </c>
      <c r="F1199" s="11">
        <v>170</v>
      </c>
    </row>
    <row r="1200" spans="2:6" x14ac:dyDescent="0.3">
      <c r="B1200" s="12">
        <v>1197</v>
      </c>
      <c r="C1200" s="28">
        <v>151.96886948377787</v>
      </c>
      <c r="E1200" s="14" t="s">
        <v>3408</v>
      </c>
      <c r="F1200" s="11">
        <v>168</v>
      </c>
    </row>
    <row r="1201" spans="2:6" x14ac:dyDescent="0.3">
      <c r="B1201" s="12">
        <v>1198</v>
      </c>
      <c r="C1201" s="28">
        <v>162.57990884603234</v>
      </c>
      <c r="E1201" s="14" t="s">
        <v>4664</v>
      </c>
      <c r="F1201" s="11">
        <v>174</v>
      </c>
    </row>
    <row r="1202" spans="2:6" x14ac:dyDescent="0.3">
      <c r="B1202" s="12">
        <v>1199</v>
      </c>
      <c r="C1202" s="28">
        <v>162.84172502009594</v>
      </c>
      <c r="E1202" s="14" t="s">
        <v>220</v>
      </c>
      <c r="F1202" s="11">
        <v>177</v>
      </c>
    </row>
    <row r="1203" spans="2:6" x14ac:dyDescent="0.3">
      <c r="B1203" s="12">
        <v>1200</v>
      </c>
      <c r="C1203" s="28">
        <v>156.90688971456399</v>
      </c>
      <c r="E1203" s="14" t="s">
        <v>1047</v>
      </c>
      <c r="F1203" s="11">
        <v>168</v>
      </c>
    </row>
    <row r="1204" spans="2:6" x14ac:dyDescent="0.3">
      <c r="B1204" s="12">
        <v>1201</v>
      </c>
      <c r="C1204" s="28">
        <v>162.70471787806835</v>
      </c>
      <c r="E1204" s="14" t="s">
        <v>1418</v>
      </c>
      <c r="F1204" s="11">
        <v>162</v>
      </c>
    </row>
    <row r="1205" spans="2:6" x14ac:dyDescent="0.3">
      <c r="B1205" s="12">
        <v>1202</v>
      </c>
      <c r="C1205" s="28">
        <v>167.47631001310276</v>
      </c>
      <c r="E1205" s="14" t="s">
        <v>2455</v>
      </c>
      <c r="F1205" s="11">
        <v>171</v>
      </c>
    </row>
    <row r="1206" spans="2:6" x14ac:dyDescent="0.3">
      <c r="B1206" s="12">
        <v>1203</v>
      </c>
      <c r="C1206" s="28">
        <v>160.32121415962101</v>
      </c>
      <c r="E1206" s="14" t="s">
        <v>4508</v>
      </c>
      <c r="F1206" s="11">
        <v>182</v>
      </c>
    </row>
    <row r="1207" spans="2:6" x14ac:dyDescent="0.3">
      <c r="B1207" s="12">
        <v>1204</v>
      </c>
      <c r="C1207" s="28">
        <v>174.7638487579824</v>
      </c>
      <c r="E1207" s="14" t="s">
        <v>2654</v>
      </c>
      <c r="F1207" s="11">
        <v>160</v>
      </c>
    </row>
    <row r="1208" spans="2:6" x14ac:dyDescent="0.3">
      <c r="B1208" s="12">
        <v>1205</v>
      </c>
      <c r="C1208" s="28">
        <v>178.49601914095564</v>
      </c>
      <c r="E1208" s="14" t="s">
        <v>3234</v>
      </c>
      <c r="F1208" s="11">
        <v>170</v>
      </c>
    </row>
    <row r="1209" spans="2:6" x14ac:dyDescent="0.3">
      <c r="B1209" s="12">
        <v>1206</v>
      </c>
      <c r="C1209" s="28">
        <v>158.30690981231069</v>
      </c>
      <c r="E1209" s="14" t="s">
        <v>4824</v>
      </c>
      <c r="F1209" s="11">
        <v>164</v>
      </c>
    </row>
    <row r="1210" spans="2:6" x14ac:dyDescent="0.3">
      <c r="B1210" s="12">
        <v>1207</v>
      </c>
      <c r="C1210" s="28">
        <v>151.9302232323771</v>
      </c>
      <c r="E1210" s="14" t="s">
        <v>2112</v>
      </c>
      <c r="F1210" s="11">
        <v>178</v>
      </c>
    </row>
    <row r="1211" spans="2:6" x14ac:dyDescent="0.3">
      <c r="B1211" s="12">
        <v>1208</v>
      </c>
      <c r="C1211" s="28">
        <v>160.01106833828018</v>
      </c>
      <c r="E1211" s="14" t="s">
        <v>2691</v>
      </c>
      <c r="F1211" s="11">
        <v>170</v>
      </c>
    </row>
    <row r="1212" spans="2:6" x14ac:dyDescent="0.3">
      <c r="B1212" s="12">
        <v>1209</v>
      </c>
      <c r="C1212" s="28">
        <v>157.4379495946331</v>
      </c>
      <c r="E1212" s="14" t="s">
        <v>3717</v>
      </c>
      <c r="F1212" s="11">
        <v>166</v>
      </c>
    </row>
    <row r="1213" spans="2:6" x14ac:dyDescent="0.3">
      <c r="B1213" s="12">
        <v>1210</v>
      </c>
      <c r="C1213" s="28">
        <v>162.96485250514988</v>
      </c>
      <c r="E1213" s="14" t="s">
        <v>1897</v>
      </c>
      <c r="F1213" s="11">
        <v>176</v>
      </c>
    </row>
    <row r="1214" spans="2:6" x14ac:dyDescent="0.3">
      <c r="B1214" s="12">
        <v>1211</v>
      </c>
      <c r="C1214" s="28">
        <v>153.7281966655371</v>
      </c>
      <c r="E1214" s="14" t="s">
        <v>2802</v>
      </c>
      <c r="F1214" s="11">
        <v>170</v>
      </c>
    </row>
    <row r="1215" spans="2:6" x14ac:dyDescent="0.3">
      <c r="B1215" s="12">
        <v>1212</v>
      </c>
      <c r="C1215" s="28">
        <v>162.905074916117</v>
      </c>
      <c r="E1215" s="14" t="s">
        <v>3082</v>
      </c>
      <c r="F1215" s="11">
        <v>176</v>
      </c>
    </row>
    <row r="1216" spans="2:6" x14ac:dyDescent="0.3">
      <c r="B1216" s="12">
        <v>1213</v>
      </c>
      <c r="C1216" s="28">
        <v>161.86777190782828</v>
      </c>
      <c r="E1216" s="14" t="s">
        <v>4188</v>
      </c>
      <c r="F1216" s="11">
        <v>174</v>
      </c>
    </row>
    <row r="1217" spans="2:6" x14ac:dyDescent="0.3">
      <c r="B1217" s="12">
        <v>1214</v>
      </c>
      <c r="C1217" s="28">
        <v>168.06554305413698</v>
      </c>
      <c r="E1217" s="14" t="s">
        <v>3378</v>
      </c>
      <c r="F1217" s="11">
        <v>164</v>
      </c>
    </row>
    <row r="1218" spans="2:6" x14ac:dyDescent="0.3">
      <c r="B1218" s="12">
        <v>1215</v>
      </c>
      <c r="C1218" s="28">
        <v>172.05117758799702</v>
      </c>
      <c r="E1218" s="14" t="s">
        <v>315</v>
      </c>
      <c r="F1218" s="11">
        <v>168</v>
      </c>
    </row>
    <row r="1219" spans="2:6" x14ac:dyDescent="0.3">
      <c r="B1219" s="12">
        <v>1216</v>
      </c>
      <c r="C1219" s="28">
        <v>172.29515267619112</v>
      </c>
      <c r="E1219" s="14" t="s">
        <v>2412</v>
      </c>
      <c r="F1219" s="11">
        <v>185</v>
      </c>
    </row>
    <row r="1220" spans="2:6" x14ac:dyDescent="0.3">
      <c r="B1220" s="12">
        <v>1217</v>
      </c>
      <c r="C1220" s="28">
        <v>147.59854445851855</v>
      </c>
      <c r="E1220" s="14" t="s">
        <v>520</v>
      </c>
      <c r="F1220" s="11">
        <v>170</v>
      </c>
    </row>
    <row r="1221" spans="2:6" x14ac:dyDescent="0.3">
      <c r="B1221" s="12">
        <v>1218</v>
      </c>
      <c r="C1221" s="28">
        <v>156.29381786754809</v>
      </c>
      <c r="E1221" s="14" t="s">
        <v>1001</v>
      </c>
      <c r="F1221" s="11">
        <v>177</v>
      </c>
    </row>
    <row r="1222" spans="2:6" x14ac:dyDescent="0.3">
      <c r="B1222" s="12">
        <v>1219</v>
      </c>
      <c r="C1222" s="28">
        <v>159.7520056328473</v>
      </c>
      <c r="E1222" s="14" t="s">
        <v>2473</v>
      </c>
      <c r="F1222" s="11">
        <v>170</v>
      </c>
    </row>
    <row r="1223" spans="2:6" x14ac:dyDescent="0.3">
      <c r="B1223" s="12">
        <v>1220</v>
      </c>
      <c r="C1223" s="28">
        <v>160.28530025885078</v>
      </c>
      <c r="E1223" s="14" t="s">
        <v>2761</v>
      </c>
      <c r="F1223" s="11">
        <v>150</v>
      </c>
    </row>
    <row r="1224" spans="2:6" x14ac:dyDescent="0.3">
      <c r="B1224" s="12">
        <v>1221</v>
      </c>
      <c r="C1224" s="28">
        <v>162.74521756789079</v>
      </c>
      <c r="E1224" s="14" t="s">
        <v>3524</v>
      </c>
      <c r="F1224" s="11">
        <v>168</v>
      </c>
    </row>
    <row r="1225" spans="2:6" x14ac:dyDescent="0.3">
      <c r="B1225" s="12">
        <v>1222</v>
      </c>
      <c r="C1225" s="28">
        <v>158.5230111278768</v>
      </c>
      <c r="E1225" s="14" t="s">
        <v>3626</v>
      </c>
      <c r="F1225" s="11">
        <v>168</v>
      </c>
    </row>
    <row r="1226" spans="2:6" x14ac:dyDescent="0.3">
      <c r="B1226" s="12">
        <v>1223</v>
      </c>
      <c r="C1226" s="28">
        <v>163.3648404899912</v>
      </c>
      <c r="E1226" s="14" t="s">
        <v>3576</v>
      </c>
      <c r="F1226" s="11">
        <v>165</v>
      </c>
    </row>
    <row r="1227" spans="2:6" x14ac:dyDescent="0.3">
      <c r="B1227" s="12">
        <v>1224</v>
      </c>
      <c r="C1227" s="28">
        <v>167.33790985090033</v>
      </c>
      <c r="E1227" s="14" t="s">
        <v>2652</v>
      </c>
      <c r="F1227" s="11">
        <v>167</v>
      </c>
    </row>
    <row r="1228" spans="2:6" x14ac:dyDescent="0.3">
      <c r="B1228" s="12">
        <v>1225</v>
      </c>
      <c r="C1228" s="28">
        <v>169.22720486709139</v>
      </c>
      <c r="E1228" s="14" t="s">
        <v>3401</v>
      </c>
      <c r="F1228" s="11">
        <v>175</v>
      </c>
    </row>
    <row r="1229" spans="2:6" x14ac:dyDescent="0.3">
      <c r="B1229" s="12">
        <v>1226</v>
      </c>
      <c r="C1229" s="28">
        <v>157.54725838854034</v>
      </c>
      <c r="E1229" s="14" t="s">
        <v>288</v>
      </c>
      <c r="F1229" s="11">
        <v>175</v>
      </c>
    </row>
    <row r="1230" spans="2:6" x14ac:dyDescent="0.3">
      <c r="B1230" s="12">
        <v>1227</v>
      </c>
      <c r="C1230" s="28">
        <v>156.12702500162138</v>
      </c>
      <c r="E1230" s="14" t="s">
        <v>726</v>
      </c>
      <c r="F1230" s="11">
        <v>192</v>
      </c>
    </row>
    <row r="1231" spans="2:6" x14ac:dyDescent="0.3">
      <c r="B1231" s="12">
        <v>1228</v>
      </c>
      <c r="C1231" s="28">
        <v>154.49744628502054</v>
      </c>
      <c r="E1231" s="14" t="s">
        <v>3890</v>
      </c>
      <c r="F1231" s="11">
        <v>162</v>
      </c>
    </row>
    <row r="1232" spans="2:6" x14ac:dyDescent="0.3">
      <c r="B1232" s="12">
        <v>1229</v>
      </c>
      <c r="C1232" s="28">
        <v>153.89554988538777</v>
      </c>
      <c r="E1232" s="14" t="s">
        <v>2605</v>
      </c>
      <c r="F1232" s="11">
        <v>163</v>
      </c>
    </row>
    <row r="1233" spans="2:6" x14ac:dyDescent="0.3">
      <c r="B1233" s="12">
        <v>1230</v>
      </c>
      <c r="C1233" s="28">
        <v>152.71538424833744</v>
      </c>
      <c r="E1233" s="14" t="s">
        <v>1702</v>
      </c>
      <c r="F1233" s="11">
        <v>183</v>
      </c>
    </row>
    <row r="1234" spans="2:6" x14ac:dyDescent="0.3">
      <c r="B1234" s="12">
        <v>1231</v>
      </c>
      <c r="C1234" s="28">
        <v>144.41444860861682</v>
      </c>
      <c r="E1234" s="14" t="s">
        <v>3355</v>
      </c>
      <c r="F1234" s="11">
        <v>175</v>
      </c>
    </row>
    <row r="1235" spans="2:6" x14ac:dyDescent="0.3">
      <c r="B1235" s="12">
        <v>1232</v>
      </c>
      <c r="C1235" s="28">
        <v>155.71196729773285</v>
      </c>
      <c r="E1235" s="14" t="s">
        <v>1350</v>
      </c>
      <c r="F1235" s="11">
        <v>163</v>
      </c>
    </row>
    <row r="1236" spans="2:6" x14ac:dyDescent="0.3">
      <c r="B1236" s="12">
        <v>1233</v>
      </c>
      <c r="C1236" s="28">
        <v>151.6570110284691</v>
      </c>
      <c r="E1236" s="14" t="s">
        <v>2005</v>
      </c>
      <c r="F1236" s="11">
        <v>165</v>
      </c>
    </row>
    <row r="1237" spans="2:6" x14ac:dyDescent="0.3">
      <c r="B1237" s="12">
        <v>1234</v>
      </c>
      <c r="C1237" s="28">
        <v>176.7791913304205</v>
      </c>
      <c r="E1237" s="14" t="s">
        <v>1070</v>
      </c>
      <c r="F1237" s="11">
        <v>162</v>
      </c>
    </row>
    <row r="1238" spans="2:6" x14ac:dyDescent="0.3">
      <c r="B1238" s="12">
        <v>1235</v>
      </c>
      <c r="C1238" s="28">
        <v>170.03426181254781</v>
      </c>
      <c r="E1238" s="14" t="s">
        <v>4807</v>
      </c>
      <c r="F1238" s="11">
        <v>151</v>
      </c>
    </row>
    <row r="1239" spans="2:6" x14ac:dyDescent="0.3">
      <c r="B1239" s="12">
        <v>1236</v>
      </c>
      <c r="C1239" s="28">
        <v>148.96167783654479</v>
      </c>
      <c r="E1239" s="14" t="s">
        <v>2716</v>
      </c>
      <c r="F1239" s="11">
        <v>179</v>
      </c>
    </row>
    <row r="1240" spans="2:6" x14ac:dyDescent="0.3">
      <c r="B1240" s="12">
        <v>1237</v>
      </c>
      <c r="C1240" s="28">
        <v>154.20287518574889</v>
      </c>
      <c r="E1240" s="14" t="s">
        <v>3771</v>
      </c>
      <c r="F1240" s="11">
        <v>171</v>
      </c>
    </row>
    <row r="1241" spans="2:6" x14ac:dyDescent="0.3">
      <c r="B1241" s="12">
        <v>1238</v>
      </c>
      <c r="C1241" s="28">
        <v>157.07287044579007</v>
      </c>
      <c r="E1241" s="14" t="s">
        <v>2551</v>
      </c>
      <c r="F1241" s="11">
        <v>168</v>
      </c>
    </row>
    <row r="1242" spans="2:6" x14ac:dyDescent="0.3">
      <c r="B1242" s="12">
        <v>1239</v>
      </c>
      <c r="C1242" s="28">
        <v>169.89380155095353</v>
      </c>
      <c r="E1242" s="14" t="s">
        <v>1428</v>
      </c>
      <c r="F1242" s="11">
        <v>185</v>
      </c>
    </row>
    <row r="1243" spans="2:6" x14ac:dyDescent="0.3">
      <c r="B1243" s="12">
        <v>1240</v>
      </c>
      <c r="C1243" s="28">
        <v>155.04643894052862</v>
      </c>
      <c r="E1243" s="14" t="s">
        <v>4331</v>
      </c>
      <c r="F1243" s="11">
        <v>175</v>
      </c>
    </row>
    <row r="1244" spans="2:6" x14ac:dyDescent="0.3">
      <c r="B1244" s="12">
        <v>1241</v>
      </c>
      <c r="C1244" s="28">
        <v>159.89889673488699</v>
      </c>
      <c r="E1244" s="14" t="s">
        <v>2342</v>
      </c>
      <c r="F1244" s="11">
        <v>165</v>
      </c>
    </row>
    <row r="1245" spans="2:6" x14ac:dyDescent="0.3">
      <c r="B1245" s="12">
        <v>1242</v>
      </c>
      <c r="C1245" s="28">
        <v>168.5744079628542</v>
      </c>
      <c r="E1245" s="14" t="s">
        <v>887</v>
      </c>
      <c r="F1245" s="11">
        <v>159</v>
      </c>
    </row>
    <row r="1246" spans="2:6" x14ac:dyDescent="0.3">
      <c r="B1246" s="12">
        <v>1243</v>
      </c>
      <c r="C1246" s="28">
        <v>166.8124129966231</v>
      </c>
      <c r="E1246" s="14" t="s">
        <v>624</v>
      </c>
      <c r="F1246" s="11">
        <v>203</v>
      </c>
    </row>
    <row r="1247" spans="2:6" x14ac:dyDescent="0.3">
      <c r="B1247" s="12">
        <v>1244</v>
      </c>
      <c r="C1247" s="28">
        <v>154.10379255144414</v>
      </c>
      <c r="E1247" s="14" t="s">
        <v>366</v>
      </c>
      <c r="F1247" s="11">
        <v>168</v>
      </c>
    </row>
    <row r="1248" spans="2:6" x14ac:dyDescent="0.3">
      <c r="B1248" s="12">
        <v>1245</v>
      </c>
      <c r="C1248" s="28">
        <v>160.44411888110702</v>
      </c>
      <c r="E1248" s="14" t="s">
        <v>528</v>
      </c>
      <c r="F1248" s="11">
        <v>160</v>
      </c>
    </row>
    <row r="1249" spans="2:6" x14ac:dyDescent="0.3">
      <c r="B1249" s="12">
        <v>1246</v>
      </c>
      <c r="C1249" s="28">
        <v>166.74265402837014</v>
      </c>
      <c r="E1249" s="14" t="s">
        <v>208</v>
      </c>
      <c r="F1249" s="11">
        <v>168</v>
      </c>
    </row>
    <row r="1250" spans="2:6" x14ac:dyDescent="0.3">
      <c r="B1250" s="12">
        <v>1247</v>
      </c>
      <c r="C1250" s="28">
        <v>149.76873523904882</v>
      </c>
      <c r="E1250" s="14" t="s">
        <v>1998</v>
      </c>
      <c r="F1250" s="11">
        <v>169</v>
      </c>
    </row>
    <row r="1251" spans="2:6" x14ac:dyDescent="0.3">
      <c r="B1251" s="12">
        <v>1248</v>
      </c>
      <c r="C1251" s="28">
        <v>161.42238459797525</v>
      </c>
      <c r="E1251" s="14" t="s">
        <v>566</v>
      </c>
      <c r="F1251" s="11">
        <v>178</v>
      </c>
    </row>
    <row r="1252" spans="2:6" x14ac:dyDescent="0.3">
      <c r="B1252" s="12">
        <v>1249</v>
      </c>
      <c r="C1252" s="28">
        <v>169.2826712893727</v>
      </c>
      <c r="E1252" s="14" t="s">
        <v>3738</v>
      </c>
      <c r="F1252" s="11">
        <v>179</v>
      </c>
    </row>
    <row r="1253" spans="2:6" x14ac:dyDescent="0.3">
      <c r="B1253" s="12">
        <v>1250</v>
      </c>
      <c r="C1253" s="28">
        <v>165.29156407851471</v>
      </c>
      <c r="E1253" s="14" t="s">
        <v>1973</v>
      </c>
      <c r="F1253" s="11">
        <v>175</v>
      </c>
    </row>
    <row r="1254" spans="2:6" x14ac:dyDescent="0.3">
      <c r="B1254" s="12">
        <v>1251</v>
      </c>
      <c r="C1254" s="28">
        <v>152.14669731754262</v>
      </c>
      <c r="E1254" s="14" t="s">
        <v>4537</v>
      </c>
      <c r="F1254" s="11">
        <v>163</v>
      </c>
    </row>
    <row r="1255" spans="2:6" x14ac:dyDescent="0.3">
      <c r="B1255" s="12">
        <v>1252</v>
      </c>
      <c r="C1255" s="28">
        <v>157.55941228023278</v>
      </c>
      <c r="E1255" s="14" t="s">
        <v>3018</v>
      </c>
      <c r="F1255" s="11">
        <v>169</v>
      </c>
    </row>
    <row r="1256" spans="2:6" x14ac:dyDescent="0.3">
      <c r="B1256" s="12">
        <v>1253</v>
      </c>
      <c r="C1256" s="28">
        <v>174.46556976853469</v>
      </c>
      <c r="E1256" s="14" t="s">
        <v>3050</v>
      </c>
      <c r="F1256" s="11">
        <v>160</v>
      </c>
    </row>
    <row r="1257" spans="2:6" x14ac:dyDescent="0.3">
      <c r="B1257" s="12">
        <v>1254</v>
      </c>
      <c r="C1257" s="28">
        <v>170.81048795919781</v>
      </c>
      <c r="E1257" s="14" t="s">
        <v>1714</v>
      </c>
      <c r="F1257" s="11">
        <v>164</v>
      </c>
    </row>
    <row r="1258" spans="2:6" x14ac:dyDescent="0.3">
      <c r="B1258" s="12">
        <v>1255</v>
      </c>
      <c r="C1258" s="28">
        <v>158.80997416764401</v>
      </c>
      <c r="E1258" s="14" t="s">
        <v>4084</v>
      </c>
      <c r="F1258" s="11">
        <v>172</v>
      </c>
    </row>
    <row r="1259" spans="2:6" x14ac:dyDescent="0.3">
      <c r="B1259" s="12">
        <v>1256</v>
      </c>
      <c r="C1259" s="28">
        <v>154.42646343292228</v>
      </c>
      <c r="E1259" s="14" t="s">
        <v>4368</v>
      </c>
      <c r="F1259" s="11">
        <v>178</v>
      </c>
    </row>
    <row r="1260" spans="2:6" x14ac:dyDescent="0.3">
      <c r="B1260" s="12">
        <v>1257</v>
      </c>
      <c r="C1260" s="28">
        <v>149.06851469470223</v>
      </c>
      <c r="E1260" s="14" t="s">
        <v>1490</v>
      </c>
      <c r="F1260" s="11">
        <v>172</v>
      </c>
    </row>
    <row r="1261" spans="2:6" x14ac:dyDescent="0.3">
      <c r="B1261" s="12">
        <v>1258</v>
      </c>
      <c r="C1261" s="28">
        <v>164.74774806203945</v>
      </c>
      <c r="E1261" s="14" t="s">
        <v>655</v>
      </c>
      <c r="F1261" s="11">
        <v>165</v>
      </c>
    </row>
    <row r="1262" spans="2:6" x14ac:dyDescent="0.3">
      <c r="B1262" s="12">
        <v>1259</v>
      </c>
      <c r="C1262" s="28">
        <v>179.18253720527133</v>
      </c>
      <c r="E1262" s="14" t="s">
        <v>3183</v>
      </c>
      <c r="F1262" s="11">
        <v>164</v>
      </c>
    </row>
    <row r="1263" spans="2:6" x14ac:dyDescent="0.3">
      <c r="B1263" s="12">
        <v>1260</v>
      </c>
      <c r="C1263" s="28">
        <v>168.2769071150816</v>
      </c>
      <c r="E1263" s="14" t="s">
        <v>4200</v>
      </c>
      <c r="F1263" s="11">
        <v>172</v>
      </c>
    </row>
    <row r="1264" spans="2:6" x14ac:dyDescent="0.3">
      <c r="B1264" s="12">
        <v>1261</v>
      </c>
      <c r="C1264" s="28">
        <v>159.40830905142727</v>
      </c>
      <c r="E1264" s="14" t="s">
        <v>4690</v>
      </c>
      <c r="F1264" s="11">
        <v>172</v>
      </c>
    </row>
    <row r="1265" spans="2:6" x14ac:dyDescent="0.3">
      <c r="B1265" s="12">
        <v>1262</v>
      </c>
      <c r="C1265" s="28">
        <v>153.50249874023206</v>
      </c>
      <c r="E1265" s="14" t="s">
        <v>3600</v>
      </c>
      <c r="F1265" s="11">
        <v>160</v>
      </c>
    </row>
    <row r="1266" spans="2:6" x14ac:dyDescent="0.3">
      <c r="B1266" s="12">
        <v>1263</v>
      </c>
      <c r="C1266" s="28">
        <v>164.67165314493087</v>
      </c>
      <c r="E1266" s="14" t="s">
        <v>302</v>
      </c>
      <c r="F1266" s="11">
        <v>181</v>
      </c>
    </row>
    <row r="1267" spans="2:6" x14ac:dyDescent="0.3">
      <c r="B1267" s="12">
        <v>1264</v>
      </c>
      <c r="C1267" s="28">
        <v>156.54181504320402</v>
      </c>
      <c r="E1267" s="14" t="s">
        <v>447</v>
      </c>
      <c r="F1267" s="11">
        <v>155</v>
      </c>
    </row>
    <row r="1268" spans="2:6" x14ac:dyDescent="0.3">
      <c r="B1268" s="12">
        <v>1265</v>
      </c>
      <c r="C1268" s="28">
        <v>164.83807103667431</v>
      </c>
      <c r="E1268" s="14" t="s">
        <v>4473</v>
      </c>
      <c r="F1268" s="11">
        <v>165</v>
      </c>
    </row>
    <row r="1269" spans="2:6" x14ac:dyDescent="0.3">
      <c r="B1269" s="12">
        <v>1266</v>
      </c>
      <c r="C1269" s="28">
        <v>160.69457273111777</v>
      </c>
      <c r="E1269" s="14" t="s">
        <v>1968</v>
      </c>
      <c r="F1269" s="11">
        <v>166</v>
      </c>
    </row>
    <row r="1270" spans="2:6" x14ac:dyDescent="0.3">
      <c r="B1270" s="12">
        <v>1267</v>
      </c>
      <c r="C1270" s="28">
        <v>163.66549218996064</v>
      </c>
      <c r="E1270" s="14" t="s">
        <v>3670</v>
      </c>
      <c r="F1270" s="11">
        <v>178</v>
      </c>
    </row>
    <row r="1271" spans="2:6" x14ac:dyDescent="0.3">
      <c r="B1271" s="12">
        <v>1268</v>
      </c>
      <c r="C1271" s="28">
        <v>156.88200526032134</v>
      </c>
      <c r="E1271" s="14" t="s">
        <v>463</v>
      </c>
      <c r="F1271" s="11">
        <v>170</v>
      </c>
    </row>
    <row r="1272" spans="2:6" x14ac:dyDescent="0.3">
      <c r="B1272" s="12">
        <v>1269</v>
      </c>
      <c r="C1272" s="28">
        <v>152.72986331315343</v>
      </c>
      <c r="E1272" s="14" t="s">
        <v>3561</v>
      </c>
      <c r="F1272" s="11">
        <v>183</v>
      </c>
    </row>
    <row r="1273" spans="2:6" x14ac:dyDescent="0.3">
      <c r="B1273" s="12">
        <v>1270</v>
      </c>
      <c r="C1273" s="28">
        <v>150.65383646351796</v>
      </c>
      <c r="E1273" s="14" t="s">
        <v>2415</v>
      </c>
      <c r="F1273" s="11">
        <v>167</v>
      </c>
    </row>
    <row r="1274" spans="2:6" x14ac:dyDescent="0.3">
      <c r="B1274" s="12">
        <v>1271</v>
      </c>
      <c r="C1274" s="28">
        <v>170.03027872116428</v>
      </c>
      <c r="E1274" s="14" t="s">
        <v>989</v>
      </c>
      <c r="F1274" s="11">
        <v>181</v>
      </c>
    </row>
    <row r="1275" spans="2:6" x14ac:dyDescent="0.3">
      <c r="B1275" s="12">
        <v>1272</v>
      </c>
      <c r="C1275" s="28">
        <v>160.11828371498692</v>
      </c>
      <c r="E1275" s="14" t="s">
        <v>4204</v>
      </c>
      <c r="F1275" s="11">
        <v>176</v>
      </c>
    </row>
    <row r="1276" spans="2:6" x14ac:dyDescent="0.3">
      <c r="B1276" s="12">
        <v>1273</v>
      </c>
      <c r="C1276" s="28">
        <v>166.46515633093512</v>
      </c>
      <c r="E1276" s="14" t="s">
        <v>3068</v>
      </c>
      <c r="F1276" s="11">
        <v>160</v>
      </c>
    </row>
    <row r="1277" spans="2:6" x14ac:dyDescent="0.3">
      <c r="B1277" s="12">
        <v>1274</v>
      </c>
      <c r="C1277" s="28">
        <v>160.10702084800167</v>
      </c>
      <c r="E1277" s="14" t="s">
        <v>4061</v>
      </c>
      <c r="F1277" s="11">
        <v>177</v>
      </c>
    </row>
    <row r="1278" spans="2:6" x14ac:dyDescent="0.3">
      <c r="B1278" s="12">
        <v>1275</v>
      </c>
      <c r="C1278" s="28">
        <v>160.9459225181383</v>
      </c>
      <c r="E1278" s="14" t="s">
        <v>758</v>
      </c>
      <c r="F1278" s="11">
        <v>168</v>
      </c>
    </row>
    <row r="1279" spans="2:6" x14ac:dyDescent="0.3">
      <c r="B1279" s="12">
        <v>1276</v>
      </c>
      <c r="C1279" s="28">
        <v>165.6648694305614</v>
      </c>
      <c r="E1279" s="14" t="s">
        <v>4628</v>
      </c>
      <c r="F1279" s="11">
        <v>154</v>
      </c>
    </row>
    <row r="1280" spans="2:6" x14ac:dyDescent="0.3">
      <c r="B1280" s="12">
        <v>1277</v>
      </c>
      <c r="C1280" s="28">
        <v>153.31484412346609</v>
      </c>
      <c r="E1280" s="14" t="s">
        <v>173</v>
      </c>
      <c r="F1280" s="11">
        <v>178</v>
      </c>
    </row>
    <row r="1281" spans="2:6" x14ac:dyDescent="0.3">
      <c r="B1281" s="12">
        <v>1278</v>
      </c>
      <c r="C1281" s="28">
        <v>173.14994043615044</v>
      </c>
      <c r="E1281" s="14" t="s">
        <v>184</v>
      </c>
      <c r="F1281" s="11">
        <v>168</v>
      </c>
    </row>
    <row r="1282" spans="2:6" x14ac:dyDescent="0.3">
      <c r="B1282" s="12">
        <v>1279</v>
      </c>
      <c r="C1282" s="28">
        <v>164.44885355071133</v>
      </c>
      <c r="E1282" s="14" t="s">
        <v>3392</v>
      </c>
      <c r="F1282" s="11">
        <v>173</v>
      </c>
    </row>
    <row r="1283" spans="2:6" x14ac:dyDescent="0.3">
      <c r="B1283" s="12">
        <v>1280</v>
      </c>
      <c r="C1283" s="28">
        <v>166.10871646711067</v>
      </c>
      <c r="E1283" s="14" t="s">
        <v>212</v>
      </c>
      <c r="F1283" s="11">
        <v>183</v>
      </c>
    </row>
    <row r="1284" spans="2:6" x14ac:dyDescent="0.3">
      <c r="B1284" s="12">
        <v>1281</v>
      </c>
      <c r="C1284" s="28">
        <v>159.88489208246529</v>
      </c>
      <c r="E1284" s="14" t="s">
        <v>336</v>
      </c>
      <c r="F1284" s="11">
        <v>161</v>
      </c>
    </row>
    <row r="1285" spans="2:6" x14ac:dyDescent="0.3">
      <c r="B1285" s="12">
        <v>1282</v>
      </c>
      <c r="C1285" s="28">
        <v>170.45899480772428</v>
      </c>
      <c r="E1285" s="14" t="s">
        <v>3835</v>
      </c>
      <c r="F1285" s="11">
        <v>181</v>
      </c>
    </row>
    <row r="1286" spans="2:6" x14ac:dyDescent="0.3">
      <c r="B1286" s="12">
        <v>1283</v>
      </c>
      <c r="C1286" s="28">
        <v>155.61690460987413</v>
      </c>
      <c r="E1286" s="14" t="s">
        <v>1805</v>
      </c>
      <c r="F1286" s="11">
        <v>163</v>
      </c>
    </row>
    <row r="1287" spans="2:6" x14ac:dyDescent="0.3">
      <c r="B1287" s="12">
        <v>1284</v>
      </c>
      <c r="C1287" s="28">
        <v>165.32731005989888</v>
      </c>
      <c r="E1287" s="14" t="s">
        <v>1005</v>
      </c>
      <c r="F1287" s="11">
        <v>173</v>
      </c>
    </row>
    <row r="1288" spans="2:6" x14ac:dyDescent="0.3">
      <c r="B1288" s="12">
        <v>1285</v>
      </c>
      <c r="C1288" s="28">
        <v>165.82376293650705</v>
      </c>
      <c r="E1288" s="14" t="s">
        <v>3883</v>
      </c>
      <c r="F1288" s="11">
        <v>180</v>
      </c>
    </row>
    <row r="1289" spans="2:6" x14ac:dyDescent="0.3">
      <c r="B1289" s="12">
        <v>1286</v>
      </c>
      <c r="C1289" s="28">
        <v>165.07895246885386</v>
      </c>
      <c r="E1289" s="14" t="s">
        <v>4510</v>
      </c>
      <c r="F1289" s="11">
        <v>179</v>
      </c>
    </row>
    <row r="1290" spans="2:6" x14ac:dyDescent="0.3">
      <c r="B1290" s="12">
        <v>1287</v>
      </c>
      <c r="C1290" s="28">
        <v>164.69668710691798</v>
      </c>
      <c r="E1290" s="14" t="s">
        <v>3677</v>
      </c>
      <c r="F1290" s="11">
        <v>163</v>
      </c>
    </row>
    <row r="1291" spans="2:6" x14ac:dyDescent="0.3">
      <c r="B1291" s="12">
        <v>1288</v>
      </c>
      <c r="C1291" s="28">
        <v>152.88478003740573</v>
      </c>
      <c r="E1291" s="14" t="s">
        <v>2896</v>
      </c>
      <c r="F1291" s="11">
        <v>183</v>
      </c>
    </row>
    <row r="1292" spans="2:6" x14ac:dyDescent="0.3">
      <c r="B1292" s="12">
        <v>1289</v>
      </c>
      <c r="C1292" s="28">
        <v>176.88656915696492</v>
      </c>
      <c r="E1292" s="14" t="s">
        <v>3216</v>
      </c>
      <c r="F1292" s="11">
        <v>170</v>
      </c>
    </row>
    <row r="1293" spans="2:6" x14ac:dyDescent="0.3">
      <c r="B1293" s="12">
        <v>1290</v>
      </c>
      <c r="C1293" s="28">
        <v>146.49495996893882</v>
      </c>
      <c r="E1293" s="14" t="s">
        <v>3584</v>
      </c>
      <c r="F1293" s="11">
        <v>188</v>
      </c>
    </row>
    <row r="1294" spans="2:6" x14ac:dyDescent="0.3">
      <c r="B1294" s="12">
        <v>1291</v>
      </c>
      <c r="C1294" s="28">
        <v>156.38646467798915</v>
      </c>
      <c r="E1294" s="14" t="s">
        <v>3872</v>
      </c>
      <c r="F1294" s="11">
        <v>165</v>
      </c>
    </row>
    <row r="1295" spans="2:6" x14ac:dyDescent="0.3">
      <c r="B1295" s="12">
        <v>1292</v>
      </c>
      <c r="C1295" s="28">
        <v>146.19912423309333</v>
      </c>
      <c r="E1295" s="14" t="s">
        <v>4026</v>
      </c>
      <c r="F1295" s="11">
        <v>159</v>
      </c>
    </row>
    <row r="1296" spans="2:6" x14ac:dyDescent="0.3">
      <c r="B1296" s="12">
        <v>1293</v>
      </c>
      <c r="C1296" s="28">
        <v>167.12830243419955</v>
      </c>
      <c r="E1296" s="14" t="s">
        <v>1926</v>
      </c>
      <c r="F1296" s="11">
        <v>169</v>
      </c>
    </row>
    <row r="1297" spans="2:6" x14ac:dyDescent="0.3">
      <c r="B1297" s="12">
        <v>1294</v>
      </c>
      <c r="C1297" s="28">
        <v>159.8994541002574</v>
      </c>
      <c r="E1297" s="14" t="s">
        <v>1109</v>
      </c>
      <c r="F1297" s="11">
        <v>181</v>
      </c>
    </row>
    <row r="1298" spans="2:6" x14ac:dyDescent="0.3">
      <c r="B1298" s="12">
        <v>1295</v>
      </c>
      <c r="C1298" s="28">
        <v>175.38999873138991</v>
      </c>
      <c r="E1298" s="14" t="s">
        <v>817</v>
      </c>
      <c r="F1298" s="11">
        <v>173</v>
      </c>
    </row>
    <row r="1299" spans="2:6" x14ac:dyDescent="0.3">
      <c r="B1299" s="12">
        <v>1296</v>
      </c>
      <c r="C1299" s="28">
        <v>162.62966282324024</v>
      </c>
      <c r="E1299" s="14" t="s">
        <v>3447</v>
      </c>
      <c r="F1299" s="11">
        <v>157</v>
      </c>
    </row>
    <row r="1300" spans="2:6" x14ac:dyDescent="0.3">
      <c r="B1300" s="12">
        <v>1297</v>
      </c>
      <c r="C1300" s="28">
        <v>151.12765657186696</v>
      </c>
      <c r="E1300" s="14" t="s">
        <v>1898</v>
      </c>
      <c r="F1300" s="11">
        <v>168</v>
      </c>
    </row>
    <row r="1301" spans="2:6" x14ac:dyDescent="0.3">
      <c r="B1301" s="12">
        <v>1298</v>
      </c>
      <c r="C1301" s="28">
        <v>163.15422164126934</v>
      </c>
      <c r="E1301" s="14" t="s">
        <v>4372</v>
      </c>
      <c r="F1301" s="11">
        <v>165</v>
      </c>
    </row>
    <row r="1302" spans="2:6" x14ac:dyDescent="0.3">
      <c r="B1302" s="12">
        <v>1299</v>
      </c>
      <c r="C1302" s="28">
        <v>167.09827647624476</v>
      </c>
      <c r="E1302" s="14" t="s">
        <v>2302</v>
      </c>
      <c r="F1302" s="11">
        <v>147</v>
      </c>
    </row>
    <row r="1303" spans="2:6" x14ac:dyDescent="0.3">
      <c r="B1303" s="12">
        <v>1300</v>
      </c>
      <c r="C1303" s="28">
        <v>157.98471664206991</v>
      </c>
      <c r="E1303" s="14" t="s">
        <v>2725</v>
      </c>
      <c r="F1303" s="11">
        <v>180</v>
      </c>
    </row>
    <row r="1304" spans="2:6" x14ac:dyDescent="0.3">
      <c r="B1304" s="12">
        <v>1301</v>
      </c>
      <c r="C1304" s="28">
        <v>159.58374994154758</v>
      </c>
      <c r="E1304" s="14" t="s">
        <v>2852</v>
      </c>
      <c r="F1304" s="11">
        <v>171</v>
      </c>
    </row>
    <row r="1305" spans="2:6" x14ac:dyDescent="0.3">
      <c r="B1305" s="12">
        <v>1302</v>
      </c>
      <c r="C1305" s="28">
        <v>154.11051425965044</v>
      </c>
      <c r="E1305" s="14" t="s">
        <v>3653</v>
      </c>
      <c r="F1305" s="11">
        <v>180</v>
      </c>
    </row>
    <row r="1306" spans="2:6" x14ac:dyDescent="0.3">
      <c r="B1306" s="12">
        <v>1303</v>
      </c>
      <c r="C1306" s="28">
        <v>154.39343273578544</v>
      </c>
      <c r="E1306" s="14" t="s">
        <v>402</v>
      </c>
      <c r="F1306" s="11">
        <v>171</v>
      </c>
    </row>
    <row r="1307" spans="2:6" x14ac:dyDescent="0.3">
      <c r="B1307" s="12">
        <v>1304</v>
      </c>
      <c r="C1307" s="28">
        <v>152.80515293734757</v>
      </c>
      <c r="E1307" s="14" t="s">
        <v>448</v>
      </c>
      <c r="F1307" s="11">
        <v>173</v>
      </c>
    </row>
    <row r="1308" spans="2:6" x14ac:dyDescent="0.3">
      <c r="B1308" s="12">
        <v>1305</v>
      </c>
      <c r="C1308" s="28">
        <v>148.95731401379061</v>
      </c>
      <c r="E1308" s="14" t="s">
        <v>4439</v>
      </c>
      <c r="F1308" s="11">
        <v>182</v>
      </c>
    </row>
    <row r="1309" spans="2:6" x14ac:dyDescent="0.3">
      <c r="B1309" s="12">
        <v>1306</v>
      </c>
      <c r="C1309" s="28">
        <v>163.3085340587549</v>
      </c>
      <c r="E1309" s="14" t="s">
        <v>2907</v>
      </c>
      <c r="F1309" s="11">
        <v>165</v>
      </c>
    </row>
    <row r="1310" spans="2:6" x14ac:dyDescent="0.3">
      <c r="B1310" s="12">
        <v>1307</v>
      </c>
      <c r="C1310" s="28">
        <v>154.30732473759895</v>
      </c>
      <c r="E1310" s="14" t="s">
        <v>1372</v>
      </c>
      <c r="F1310" s="11">
        <v>168</v>
      </c>
    </row>
    <row r="1311" spans="2:6" x14ac:dyDescent="0.3">
      <c r="B1311" s="12">
        <v>1308</v>
      </c>
      <c r="C1311" s="28">
        <v>168.12386306407558</v>
      </c>
      <c r="E1311" s="14" t="s">
        <v>3942</v>
      </c>
      <c r="F1311" s="11">
        <v>163</v>
      </c>
    </row>
    <row r="1312" spans="2:6" x14ac:dyDescent="0.3">
      <c r="B1312" s="12">
        <v>1309</v>
      </c>
      <c r="C1312" s="28">
        <v>166.83468019952394</v>
      </c>
      <c r="E1312" s="14" t="s">
        <v>2555</v>
      </c>
      <c r="F1312" s="11">
        <v>169</v>
      </c>
    </row>
    <row r="1313" spans="2:6" x14ac:dyDescent="0.3">
      <c r="B1313" s="12">
        <v>1310</v>
      </c>
      <c r="C1313" s="28">
        <v>156.33728593609769</v>
      </c>
      <c r="E1313" s="14" t="s">
        <v>1167</v>
      </c>
      <c r="F1313" s="11">
        <v>159</v>
      </c>
    </row>
    <row r="1314" spans="2:6" x14ac:dyDescent="0.3">
      <c r="B1314" s="12">
        <v>1311</v>
      </c>
      <c r="C1314" s="28">
        <v>161.02712226113221</v>
      </c>
      <c r="E1314" s="14" t="s">
        <v>1741</v>
      </c>
      <c r="F1314" s="11">
        <v>168</v>
      </c>
    </row>
    <row r="1315" spans="2:6" x14ac:dyDescent="0.3">
      <c r="B1315" s="12">
        <v>1312</v>
      </c>
      <c r="C1315" s="28">
        <v>157.34151103563889</v>
      </c>
      <c r="E1315" s="14" t="s">
        <v>4385</v>
      </c>
      <c r="F1315" s="11">
        <v>152</v>
      </c>
    </row>
    <row r="1316" spans="2:6" x14ac:dyDescent="0.3">
      <c r="B1316" s="12">
        <v>1313</v>
      </c>
      <c r="C1316" s="28">
        <v>162.69014045711913</v>
      </c>
      <c r="E1316" s="14" t="s">
        <v>4838</v>
      </c>
      <c r="F1316" s="11">
        <v>160</v>
      </c>
    </row>
    <row r="1317" spans="2:6" x14ac:dyDescent="0.3">
      <c r="B1317" s="12">
        <v>1314</v>
      </c>
      <c r="C1317" s="28">
        <v>164.01610032778439</v>
      </c>
      <c r="E1317" s="14" t="s">
        <v>4709</v>
      </c>
      <c r="F1317" s="11">
        <v>175</v>
      </c>
    </row>
    <row r="1318" spans="2:6" x14ac:dyDescent="0.3">
      <c r="B1318" s="12">
        <v>1315</v>
      </c>
      <c r="C1318" s="28">
        <v>161.28254718128005</v>
      </c>
      <c r="E1318" s="14" t="s">
        <v>2088</v>
      </c>
      <c r="F1318" s="11">
        <v>185</v>
      </c>
    </row>
    <row r="1319" spans="2:6" x14ac:dyDescent="0.3">
      <c r="B1319" s="12">
        <v>1316</v>
      </c>
      <c r="C1319" s="28">
        <v>159.18219833386752</v>
      </c>
      <c r="E1319" s="14" t="s">
        <v>187</v>
      </c>
      <c r="F1319" s="11">
        <v>186</v>
      </c>
    </row>
    <row r="1320" spans="2:6" x14ac:dyDescent="0.3">
      <c r="B1320" s="12">
        <v>1317</v>
      </c>
      <c r="C1320" s="28">
        <v>159.5383844386115</v>
      </c>
      <c r="E1320" s="14" t="s">
        <v>1217</v>
      </c>
      <c r="F1320" s="11">
        <v>155</v>
      </c>
    </row>
    <row r="1321" spans="2:6" x14ac:dyDescent="0.3">
      <c r="B1321" s="12">
        <v>1318</v>
      </c>
      <c r="C1321" s="28">
        <v>159.14781162005005</v>
      </c>
      <c r="E1321" s="14" t="s">
        <v>1238</v>
      </c>
      <c r="F1321" s="11">
        <v>180</v>
      </c>
    </row>
    <row r="1322" spans="2:6" x14ac:dyDescent="0.3">
      <c r="B1322" s="12">
        <v>1319</v>
      </c>
      <c r="C1322" s="28">
        <v>150.96782425187692</v>
      </c>
      <c r="E1322" s="14" t="s">
        <v>2093</v>
      </c>
      <c r="F1322" s="11">
        <v>174</v>
      </c>
    </row>
    <row r="1323" spans="2:6" x14ac:dyDescent="0.3">
      <c r="B1323" s="12">
        <v>1320</v>
      </c>
      <c r="C1323" s="28">
        <v>163.81461462276471</v>
      </c>
      <c r="E1323" s="14" t="s">
        <v>3893</v>
      </c>
      <c r="F1323" s="11">
        <v>170</v>
      </c>
    </row>
    <row r="1324" spans="2:6" x14ac:dyDescent="0.3">
      <c r="B1324" s="12">
        <v>1321</v>
      </c>
      <c r="C1324" s="28">
        <v>154.16126363981365</v>
      </c>
      <c r="E1324" s="14" t="s">
        <v>4589</v>
      </c>
      <c r="F1324" s="11">
        <v>177</v>
      </c>
    </row>
    <row r="1325" spans="2:6" x14ac:dyDescent="0.3">
      <c r="B1325" s="12">
        <v>1322</v>
      </c>
      <c r="C1325" s="28">
        <v>161.82329707007048</v>
      </c>
      <c r="E1325" s="14" t="s">
        <v>987</v>
      </c>
      <c r="F1325" s="11">
        <v>165</v>
      </c>
    </row>
    <row r="1326" spans="2:6" x14ac:dyDescent="0.3">
      <c r="B1326" s="12">
        <v>1323</v>
      </c>
      <c r="C1326" s="28">
        <v>151.88841165444265</v>
      </c>
      <c r="E1326" s="14" t="s">
        <v>3000</v>
      </c>
      <c r="F1326" s="11">
        <v>177</v>
      </c>
    </row>
    <row r="1327" spans="2:6" x14ac:dyDescent="0.3">
      <c r="B1327" s="12">
        <v>1324</v>
      </c>
      <c r="C1327" s="28">
        <v>161.35144225835575</v>
      </c>
      <c r="E1327" s="14" t="s">
        <v>3543</v>
      </c>
      <c r="F1327" s="11">
        <v>173</v>
      </c>
    </row>
    <row r="1328" spans="2:6" x14ac:dyDescent="0.3">
      <c r="B1328" s="12">
        <v>1325</v>
      </c>
      <c r="C1328" s="28">
        <v>173.88987915649582</v>
      </c>
      <c r="E1328" s="14" t="s">
        <v>4301</v>
      </c>
      <c r="F1328" s="11">
        <v>163</v>
      </c>
    </row>
    <row r="1329" spans="2:6" x14ac:dyDescent="0.3">
      <c r="B1329" s="12">
        <v>1326</v>
      </c>
      <c r="C1329" s="28">
        <v>169.28682377562677</v>
      </c>
      <c r="E1329" s="14" t="s">
        <v>3379</v>
      </c>
      <c r="F1329" s="11">
        <v>173</v>
      </c>
    </row>
    <row r="1330" spans="2:6" x14ac:dyDescent="0.3">
      <c r="B1330" s="12">
        <v>1327</v>
      </c>
      <c r="C1330" s="28">
        <v>169.4672174884706</v>
      </c>
      <c r="E1330" s="14" t="s">
        <v>1874</v>
      </c>
      <c r="F1330" s="11">
        <v>163</v>
      </c>
    </row>
    <row r="1331" spans="2:6" x14ac:dyDescent="0.3">
      <c r="B1331" s="12">
        <v>1328</v>
      </c>
      <c r="C1331" s="28">
        <v>165.49993207738726</v>
      </c>
      <c r="E1331" s="14" t="s">
        <v>558</v>
      </c>
      <c r="F1331" s="11">
        <v>167</v>
      </c>
    </row>
    <row r="1332" spans="2:6" x14ac:dyDescent="0.3">
      <c r="B1332" s="12">
        <v>1329</v>
      </c>
      <c r="C1332" s="28">
        <v>176.53101720485861</v>
      </c>
      <c r="E1332" s="14" t="s">
        <v>255</v>
      </c>
      <c r="F1332" s="11">
        <v>160</v>
      </c>
    </row>
    <row r="1333" spans="2:6" x14ac:dyDescent="0.3">
      <c r="B1333" s="12">
        <v>1330</v>
      </c>
      <c r="C1333" s="28">
        <v>160.11512200864792</v>
      </c>
      <c r="E1333" s="14" t="s">
        <v>4570</v>
      </c>
      <c r="F1333" s="11">
        <v>180</v>
      </c>
    </row>
    <row r="1334" spans="2:6" x14ac:dyDescent="0.3">
      <c r="B1334" s="12">
        <v>1331</v>
      </c>
      <c r="C1334" s="28">
        <v>154.12649752760052</v>
      </c>
      <c r="E1334" s="14" t="s">
        <v>60</v>
      </c>
      <c r="F1334" s="11">
        <v>150</v>
      </c>
    </row>
    <row r="1335" spans="2:6" x14ac:dyDescent="0.3">
      <c r="B1335" s="12">
        <v>1332</v>
      </c>
      <c r="C1335" s="28">
        <v>150.12465689021653</v>
      </c>
      <c r="E1335" s="14" t="s">
        <v>3439</v>
      </c>
      <c r="F1335" s="11">
        <v>173</v>
      </c>
    </row>
    <row r="1336" spans="2:6" x14ac:dyDescent="0.3">
      <c r="B1336" s="12">
        <v>1333</v>
      </c>
      <c r="C1336" s="28">
        <v>152.40625723693839</v>
      </c>
      <c r="E1336" s="14" t="s">
        <v>129</v>
      </c>
      <c r="F1336" s="11">
        <v>162</v>
      </c>
    </row>
    <row r="1337" spans="2:6" x14ac:dyDescent="0.3">
      <c r="B1337" s="12">
        <v>1334</v>
      </c>
      <c r="C1337" s="28">
        <v>159.49311708119288</v>
      </c>
      <c r="E1337" s="14" t="s">
        <v>3557</v>
      </c>
      <c r="F1337" s="11">
        <v>168</v>
      </c>
    </row>
    <row r="1338" spans="2:6" x14ac:dyDescent="0.3">
      <c r="B1338" s="12">
        <v>1335</v>
      </c>
      <c r="C1338" s="28">
        <v>156.33918644343279</v>
      </c>
      <c r="E1338" s="14" t="s">
        <v>1365</v>
      </c>
      <c r="F1338" s="11">
        <v>165</v>
      </c>
    </row>
    <row r="1339" spans="2:6" x14ac:dyDescent="0.3">
      <c r="B1339" s="12">
        <v>1336</v>
      </c>
      <c r="C1339" s="28">
        <v>171.40107125560903</v>
      </c>
      <c r="E1339" s="14" t="s">
        <v>1366</v>
      </c>
      <c r="F1339" s="11">
        <v>170</v>
      </c>
    </row>
    <row r="1340" spans="2:6" x14ac:dyDescent="0.3">
      <c r="B1340" s="12">
        <v>1337</v>
      </c>
      <c r="C1340" s="28">
        <v>164.56918632284561</v>
      </c>
      <c r="E1340" s="14" t="s">
        <v>2998</v>
      </c>
      <c r="F1340" s="11">
        <v>163</v>
      </c>
    </row>
    <row r="1341" spans="2:6" x14ac:dyDescent="0.3">
      <c r="B1341" s="12">
        <v>1338</v>
      </c>
      <c r="C1341" s="28">
        <v>158.5999632046246</v>
      </c>
      <c r="E1341" s="14" t="s">
        <v>2906</v>
      </c>
      <c r="F1341" s="11">
        <v>168</v>
      </c>
    </row>
    <row r="1342" spans="2:6" x14ac:dyDescent="0.3">
      <c r="B1342" s="12">
        <v>1339</v>
      </c>
      <c r="C1342" s="28">
        <v>169.04690095977739</v>
      </c>
      <c r="E1342" s="14" t="s">
        <v>3101</v>
      </c>
      <c r="F1342" s="11">
        <v>178</v>
      </c>
    </row>
    <row r="1343" spans="2:6" x14ac:dyDescent="0.3">
      <c r="B1343" s="12">
        <v>1340</v>
      </c>
      <c r="C1343" s="28">
        <v>157.9504620886259</v>
      </c>
      <c r="E1343" s="14" t="s">
        <v>322</v>
      </c>
      <c r="F1343" s="11">
        <v>164</v>
      </c>
    </row>
    <row r="1344" spans="2:6" x14ac:dyDescent="0.3">
      <c r="B1344" s="12">
        <v>1341</v>
      </c>
      <c r="C1344" s="28">
        <v>165.88850779185756</v>
      </c>
      <c r="E1344" s="14" t="s">
        <v>1525</v>
      </c>
      <c r="F1344" s="11">
        <v>168</v>
      </c>
    </row>
    <row r="1345" spans="2:6" x14ac:dyDescent="0.3">
      <c r="B1345" s="12">
        <v>1342</v>
      </c>
      <c r="C1345" s="28">
        <v>172.30444858658177</v>
      </c>
      <c r="E1345" s="14" t="s">
        <v>4095</v>
      </c>
      <c r="F1345" s="11">
        <v>174</v>
      </c>
    </row>
    <row r="1346" spans="2:6" x14ac:dyDescent="0.3">
      <c r="B1346" s="12">
        <v>1343</v>
      </c>
      <c r="C1346" s="28">
        <v>162.0042863657165</v>
      </c>
      <c r="E1346" s="14" t="s">
        <v>3785</v>
      </c>
      <c r="F1346" s="11">
        <v>172</v>
      </c>
    </row>
    <row r="1347" spans="2:6" x14ac:dyDescent="0.3">
      <c r="B1347" s="12">
        <v>1344</v>
      </c>
      <c r="C1347" s="28">
        <v>155.78844257228494</v>
      </c>
      <c r="E1347" s="14" t="s">
        <v>1035</v>
      </c>
      <c r="F1347" s="11">
        <v>168</v>
      </c>
    </row>
    <row r="1348" spans="2:6" x14ac:dyDescent="0.3">
      <c r="B1348" s="12">
        <v>1345</v>
      </c>
      <c r="C1348" s="28">
        <v>168.44833148380189</v>
      </c>
      <c r="E1348" s="14" t="s">
        <v>2740</v>
      </c>
      <c r="F1348" s="11">
        <v>169</v>
      </c>
    </row>
    <row r="1349" spans="2:6" x14ac:dyDescent="0.3">
      <c r="B1349" s="12">
        <v>1346</v>
      </c>
      <c r="C1349" s="28">
        <v>162.85469819908985</v>
      </c>
      <c r="E1349" s="14" t="s">
        <v>504</v>
      </c>
      <c r="F1349" s="11">
        <v>178</v>
      </c>
    </row>
    <row r="1350" spans="2:6" x14ac:dyDescent="0.3">
      <c r="B1350" s="12">
        <v>1347</v>
      </c>
      <c r="C1350" s="28">
        <v>160.28504255437025</v>
      </c>
      <c r="E1350" s="14" t="s">
        <v>2322</v>
      </c>
      <c r="F1350" s="11">
        <v>161</v>
      </c>
    </row>
    <row r="1351" spans="2:6" x14ac:dyDescent="0.3">
      <c r="B1351" s="12">
        <v>1348</v>
      </c>
      <c r="C1351" s="28">
        <v>147.85889856211105</v>
      </c>
      <c r="E1351" s="14" t="s">
        <v>761</v>
      </c>
      <c r="F1351" s="11">
        <v>163</v>
      </c>
    </row>
    <row r="1352" spans="2:6" x14ac:dyDescent="0.3">
      <c r="B1352" s="12">
        <v>1349</v>
      </c>
      <c r="C1352" s="28">
        <v>160.02363649216312</v>
      </c>
      <c r="E1352" s="14" t="s">
        <v>2094</v>
      </c>
      <c r="F1352" s="11">
        <v>155</v>
      </c>
    </row>
    <row r="1353" spans="2:6" x14ac:dyDescent="0.3">
      <c r="B1353" s="12">
        <v>1350</v>
      </c>
      <c r="C1353" s="28">
        <v>150.72361843882064</v>
      </c>
      <c r="E1353" s="14" t="s">
        <v>4165</v>
      </c>
      <c r="F1353" s="11">
        <v>170</v>
      </c>
    </row>
    <row r="1354" spans="2:6" x14ac:dyDescent="0.3">
      <c r="B1354" s="12">
        <v>1351</v>
      </c>
      <c r="C1354" s="28">
        <v>160.0978130028042</v>
      </c>
      <c r="E1354" s="14" t="s">
        <v>1540</v>
      </c>
      <c r="F1354" s="11">
        <v>155</v>
      </c>
    </row>
    <row r="1355" spans="2:6" x14ac:dyDescent="0.3">
      <c r="B1355" s="12">
        <v>1352</v>
      </c>
      <c r="C1355" s="28">
        <v>161.34225938997275</v>
      </c>
      <c r="E1355" s="14" t="s">
        <v>622</v>
      </c>
      <c r="F1355" s="11">
        <v>176</v>
      </c>
    </row>
    <row r="1356" spans="2:6" x14ac:dyDescent="0.3">
      <c r="B1356" s="12">
        <v>1353</v>
      </c>
      <c r="C1356" s="28">
        <v>157.73084315484584</v>
      </c>
      <c r="E1356" s="14" t="s">
        <v>3120</v>
      </c>
      <c r="F1356" s="11">
        <v>175</v>
      </c>
    </row>
    <row r="1357" spans="2:6" x14ac:dyDescent="0.3">
      <c r="B1357" s="12">
        <v>1354</v>
      </c>
      <c r="C1357" s="28">
        <v>160.48384912533749</v>
      </c>
      <c r="E1357" s="14" t="s">
        <v>2324</v>
      </c>
      <c r="F1357" s="11">
        <v>165</v>
      </c>
    </row>
    <row r="1358" spans="2:6" x14ac:dyDescent="0.3">
      <c r="B1358" s="12">
        <v>1355</v>
      </c>
      <c r="C1358" s="28">
        <v>165.26755328456306</v>
      </c>
      <c r="E1358" s="14" t="s">
        <v>2333</v>
      </c>
      <c r="F1358" s="11">
        <v>168</v>
      </c>
    </row>
    <row r="1359" spans="2:6" x14ac:dyDescent="0.3">
      <c r="B1359" s="12">
        <v>1356</v>
      </c>
      <c r="C1359" s="28">
        <v>174.46158385323398</v>
      </c>
      <c r="E1359" s="14" t="s">
        <v>947</v>
      </c>
      <c r="F1359" s="11">
        <v>170</v>
      </c>
    </row>
    <row r="1360" spans="2:6" x14ac:dyDescent="0.3">
      <c r="B1360" s="12">
        <v>1357</v>
      </c>
      <c r="C1360" s="28">
        <v>160.112187238583</v>
      </c>
      <c r="E1360" s="14" t="s">
        <v>3705</v>
      </c>
      <c r="F1360" s="11">
        <v>165</v>
      </c>
    </row>
    <row r="1361" spans="2:6" x14ac:dyDescent="0.3">
      <c r="B1361" s="12">
        <v>1358</v>
      </c>
      <c r="C1361" s="28">
        <v>160.67621145174948</v>
      </c>
      <c r="E1361" s="14" t="s">
        <v>1849</v>
      </c>
      <c r="F1361" s="11">
        <v>174</v>
      </c>
    </row>
    <row r="1362" spans="2:6" x14ac:dyDescent="0.3">
      <c r="B1362" s="12">
        <v>1359</v>
      </c>
      <c r="C1362" s="28">
        <v>162.33968095703241</v>
      </c>
      <c r="E1362" s="14" t="s">
        <v>4625</v>
      </c>
      <c r="F1362" s="11">
        <v>162</v>
      </c>
    </row>
    <row r="1363" spans="2:6" x14ac:dyDescent="0.3">
      <c r="B1363" s="12">
        <v>1360</v>
      </c>
      <c r="C1363" s="28">
        <v>147.8028258457764</v>
      </c>
      <c r="E1363" s="14" t="s">
        <v>4555</v>
      </c>
      <c r="F1363" s="11">
        <v>160</v>
      </c>
    </row>
    <row r="1364" spans="2:6" x14ac:dyDescent="0.3">
      <c r="B1364" s="12">
        <v>1361</v>
      </c>
      <c r="C1364" s="28">
        <v>146.81395259480016</v>
      </c>
      <c r="E1364" s="14" t="s">
        <v>3252</v>
      </c>
      <c r="F1364" s="11">
        <v>172</v>
      </c>
    </row>
    <row r="1365" spans="2:6" x14ac:dyDescent="0.3">
      <c r="B1365" s="12">
        <v>1362</v>
      </c>
      <c r="C1365" s="28">
        <v>166.03336911407669</v>
      </c>
      <c r="E1365" s="14" t="s">
        <v>3416</v>
      </c>
      <c r="F1365" s="11">
        <v>170</v>
      </c>
    </row>
    <row r="1366" spans="2:6" x14ac:dyDescent="0.3">
      <c r="B1366" s="12">
        <v>1363</v>
      </c>
      <c r="C1366" s="28">
        <v>157.63158604671074</v>
      </c>
      <c r="E1366" s="14" t="s">
        <v>3504</v>
      </c>
      <c r="F1366" s="11">
        <v>172</v>
      </c>
    </row>
    <row r="1367" spans="2:6" x14ac:dyDescent="0.3">
      <c r="B1367" s="12">
        <v>1364</v>
      </c>
      <c r="C1367" s="28">
        <v>159.00056637663866</v>
      </c>
      <c r="E1367" s="14" t="s">
        <v>3313</v>
      </c>
      <c r="F1367" s="11">
        <v>169</v>
      </c>
    </row>
    <row r="1368" spans="2:6" x14ac:dyDescent="0.3">
      <c r="B1368" s="12">
        <v>1365</v>
      </c>
      <c r="C1368" s="28">
        <v>161.82632755410984</v>
      </c>
      <c r="E1368" s="14" t="s">
        <v>2540</v>
      </c>
      <c r="F1368" s="11">
        <v>186</v>
      </c>
    </row>
    <row r="1369" spans="2:6" x14ac:dyDescent="0.3">
      <c r="B1369" s="12">
        <v>1366</v>
      </c>
      <c r="C1369" s="28">
        <v>152.68935610172122</v>
      </c>
      <c r="E1369" s="14" t="s">
        <v>3640</v>
      </c>
      <c r="F1369" s="11">
        <v>157</v>
      </c>
    </row>
    <row r="1370" spans="2:6" x14ac:dyDescent="0.3">
      <c r="B1370" s="12">
        <v>1367</v>
      </c>
      <c r="C1370" s="28">
        <v>171.73578546470253</v>
      </c>
      <c r="E1370" s="14" t="s">
        <v>44</v>
      </c>
      <c r="F1370" s="11">
        <v>162</v>
      </c>
    </row>
    <row r="1371" spans="2:6" x14ac:dyDescent="0.3">
      <c r="B1371" s="12">
        <v>1368</v>
      </c>
      <c r="C1371" s="28">
        <v>148.30367163208257</v>
      </c>
      <c r="E1371" s="14" t="s">
        <v>51</v>
      </c>
      <c r="F1371" s="11">
        <v>173</v>
      </c>
    </row>
    <row r="1372" spans="2:6" x14ac:dyDescent="0.3">
      <c r="B1372" s="12">
        <v>1369</v>
      </c>
      <c r="C1372" s="28">
        <v>154.71146164809514</v>
      </c>
      <c r="E1372" s="14" t="s">
        <v>4127</v>
      </c>
      <c r="F1372" s="11">
        <v>166</v>
      </c>
    </row>
    <row r="1373" spans="2:6" x14ac:dyDescent="0.3">
      <c r="B1373" s="12">
        <v>1370</v>
      </c>
      <c r="C1373" s="28">
        <v>170.14424537296736</v>
      </c>
      <c r="E1373" s="14" t="s">
        <v>4571</v>
      </c>
      <c r="F1373" s="11">
        <v>173</v>
      </c>
    </row>
    <row r="1374" spans="2:6" x14ac:dyDescent="0.3">
      <c r="B1374" s="12">
        <v>1371</v>
      </c>
      <c r="C1374" s="28">
        <v>153.84406489795029</v>
      </c>
      <c r="E1374" s="14" t="s">
        <v>4416</v>
      </c>
      <c r="F1374" s="11">
        <v>162</v>
      </c>
    </row>
    <row r="1375" spans="2:6" x14ac:dyDescent="0.3">
      <c r="B1375" s="12">
        <v>1372</v>
      </c>
      <c r="C1375" s="28">
        <v>156.51985995165171</v>
      </c>
      <c r="E1375" s="14" t="s">
        <v>4498</v>
      </c>
      <c r="F1375" s="11">
        <v>172</v>
      </c>
    </row>
    <row r="1376" spans="2:6" x14ac:dyDescent="0.3">
      <c r="B1376" s="12">
        <v>1373</v>
      </c>
      <c r="C1376" s="28">
        <v>158.65046403945331</v>
      </c>
      <c r="E1376" s="14" t="s">
        <v>4195</v>
      </c>
      <c r="F1376" s="11">
        <v>167</v>
      </c>
    </row>
    <row r="1377" spans="2:6" x14ac:dyDescent="0.3">
      <c r="B1377" s="12">
        <v>1374</v>
      </c>
      <c r="C1377" s="28">
        <v>157.05256382440137</v>
      </c>
      <c r="E1377" s="14" t="s">
        <v>4751</v>
      </c>
      <c r="F1377" s="11">
        <v>171</v>
      </c>
    </row>
    <row r="1378" spans="2:6" x14ac:dyDescent="0.3">
      <c r="B1378" s="12">
        <v>1375</v>
      </c>
      <c r="C1378" s="28">
        <v>154.61128771557068</v>
      </c>
      <c r="E1378" s="14" t="s">
        <v>135</v>
      </c>
      <c r="F1378" s="11">
        <v>191</v>
      </c>
    </row>
    <row r="1379" spans="2:6" x14ac:dyDescent="0.3">
      <c r="B1379" s="12">
        <v>1376</v>
      </c>
      <c r="C1379" s="28">
        <v>168.03923681720397</v>
      </c>
      <c r="E1379" s="14" t="s">
        <v>1541</v>
      </c>
      <c r="F1379" s="11">
        <v>187</v>
      </c>
    </row>
    <row r="1380" spans="2:6" x14ac:dyDescent="0.3">
      <c r="B1380" s="12">
        <v>1377</v>
      </c>
      <c r="C1380" s="28">
        <v>154.79469867358978</v>
      </c>
      <c r="E1380" s="14" t="s">
        <v>4339</v>
      </c>
      <c r="F1380" s="11">
        <v>160</v>
      </c>
    </row>
    <row r="1381" spans="2:6" x14ac:dyDescent="0.3">
      <c r="B1381" s="12">
        <v>1378</v>
      </c>
      <c r="C1381" s="28">
        <v>153.66033080450885</v>
      </c>
      <c r="E1381" s="14" t="s">
        <v>3141</v>
      </c>
      <c r="F1381" s="11">
        <v>164</v>
      </c>
    </row>
    <row r="1382" spans="2:6" x14ac:dyDescent="0.3">
      <c r="B1382" s="12">
        <v>1379</v>
      </c>
      <c r="C1382" s="28">
        <v>168.06604238969101</v>
      </c>
      <c r="E1382" s="14" t="s">
        <v>926</v>
      </c>
      <c r="F1382" s="11">
        <v>183</v>
      </c>
    </row>
    <row r="1383" spans="2:6" x14ac:dyDescent="0.3">
      <c r="B1383" s="12">
        <v>1380</v>
      </c>
      <c r="C1383" s="28">
        <v>163.87372660793625</v>
      </c>
      <c r="E1383" s="14" t="s">
        <v>1201</v>
      </c>
      <c r="F1383" s="11">
        <v>161</v>
      </c>
    </row>
    <row r="1384" spans="2:6" x14ac:dyDescent="0.3">
      <c r="B1384" s="12">
        <v>1381</v>
      </c>
      <c r="C1384" s="28">
        <v>161.12955165401314</v>
      </c>
      <c r="E1384" s="14" t="s">
        <v>2940</v>
      </c>
      <c r="F1384" s="11">
        <v>172</v>
      </c>
    </row>
    <row r="1385" spans="2:6" x14ac:dyDescent="0.3">
      <c r="B1385" s="12">
        <v>1382</v>
      </c>
      <c r="C1385" s="28">
        <v>158.26909749271576</v>
      </c>
      <c r="E1385" s="14" t="s">
        <v>2886</v>
      </c>
      <c r="F1385" s="11">
        <v>170</v>
      </c>
    </row>
    <row r="1386" spans="2:6" x14ac:dyDescent="0.3">
      <c r="B1386" s="12">
        <v>1383</v>
      </c>
      <c r="C1386" s="28">
        <v>159.76197174882563</v>
      </c>
      <c r="E1386" s="14" t="s">
        <v>1202</v>
      </c>
      <c r="F1386" s="11">
        <v>193</v>
      </c>
    </row>
    <row r="1387" spans="2:6" x14ac:dyDescent="0.3">
      <c r="B1387" s="12">
        <v>1384</v>
      </c>
      <c r="C1387" s="28">
        <v>163.86064275486575</v>
      </c>
      <c r="E1387" s="14" t="s">
        <v>4088</v>
      </c>
      <c r="F1387" s="11">
        <v>171</v>
      </c>
    </row>
    <row r="1388" spans="2:6" x14ac:dyDescent="0.3">
      <c r="B1388" s="12">
        <v>1385</v>
      </c>
      <c r="C1388" s="28">
        <v>164.46160769814836</v>
      </c>
      <c r="E1388" s="14" t="s">
        <v>1801</v>
      </c>
      <c r="F1388" s="11">
        <v>164</v>
      </c>
    </row>
    <row r="1389" spans="2:6" x14ac:dyDescent="0.3">
      <c r="B1389" s="12">
        <v>1386</v>
      </c>
      <c r="C1389" s="28">
        <v>160.87898943503751</v>
      </c>
      <c r="E1389" s="14" t="s">
        <v>2137</v>
      </c>
      <c r="F1389" s="11">
        <v>170</v>
      </c>
    </row>
    <row r="1390" spans="2:6" x14ac:dyDescent="0.3">
      <c r="B1390" s="12">
        <v>1387</v>
      </c>
      <c r="C1390" s="28">
        <v>159.54180407018191</v>
      </c>
      <c r="E1390" s="14" t="s">
        <v>3849</v>
      </c>
      <c r="F1390" s="11">
        <v>183</v>
      </c>
    </row>
    <row r="1391" spans="2:6" x14ac:dyDescent="0.3">
      <c r="B1391" s="12">
        <v>1388</v>
      </c>
      <c r="C1391" s="28">
        <v>161.28315144745557</v>
      </c>
      <c r="E1391" s="14" t="s">
        <v>3972</v>
      </c>
      <c r="F1391" s="11">
        <v>175</v>
      </c>
    </row>
    <row r="1392" spans="2:6" x14ac:dyDescent="0.3">
      <c r="B1392" s="12">
        <v>1389</v>
      </c>
      <c r="C1392" s="28">
        <v>162.69921904406809</v>
      </c>
      <c r="E1392" s="14" t="s">
        <v>2042</v>
      </c>
      <c r="F1392" s="11">
        <v>157</v>
      </c>
    </row>
    <row r="1393" spans="2:6" x14ac:dyDescent="0.3">
      <c r="B1393" s="12">
        <v>1390</v>
      </c>
      <c r="C1393" s="28">
        <v>163.44298425667259</v>
      </c>
      <c r="E1393" s="14" t="s">
        <v>3522</v>
      </c>
      <c r="F1393" s="11">
        <v>168</v>
      </c>
    </row>
    <row r="1394" spans="2:6" x14ac:dyDescent="0.3">
      <c r="B1394" s="12">
        <v>1391</v>
      </c>
      <c r="C1394" s="28">
        <v>160.22951391096271</v>
      </c>
      <c r="E1394" s="14" t="s">
        <v>1211</v>
      </c>
      <c r="F1394" s="11">
        <v>148</v>
      </c>
    </row>
    <row r="1395" spans="2:6" x14ac:dyDescent="0.3">
      <c r="B1395" s="12">
        <v>1392</v>
      </c>
      <c r="C1395" s="28">
        <v>163.58091383700312</v>
      </c>
      <c r="E1395" s="14" t="s">
        <v>965</v>
      </c>
      <c r="F1395" s="11">
        <v>170</v>
      </c>
    </row>
    <row r="1396" spans="2:6" x14ac:dyDescent="0.3">
      <c r="B1396" s="12">
        <v>1393</v>
      </c>
      <c r="C1396" s="28">
        <v>164.29349687566682</v>
      </c>
      <c r="E1396" s="14" t="s">
        <v>1723</v>
      </c>
      <c r="F1396" s="11">
        <v>166</v>
      </c>
    </row>
    <row r="1397" spans="2:6" x14ac:dyDescent="0.3">
      <c r="B1397" s="12">
        <v>1394</v>
      </c>
      <c r="C1397" s="28">
        <v>170.66786592901678</v>
      </c>
      <c r="E1397" s="14" t="s">
        <v>2327</v>
      </c>
      <c r="F1397" s="11">
        <v>177</v>
      </c>
    </row>
    <row r="1398" spans="2:6" x14ac:dyDescent="0.3">
      <c r="B1398" s="12">
        <v>1395</v>
      </c>
      <c r="C1398" s="28">
        <v>162.22487225923169</v>
      </c>
      <c r="E1398" s="14" t="s">
        <v>2362</v>
      </c>
      <c r="F1398" s="11">
        <v>180</v>
      </c>
    </row>
    <row r="1399" spans="2:6" x14ac:dyDescent="0.3">
      <c r="B1399" s="12">
        <v>1396</v>
      </c>
      <c r="C1399" s="28">
        <v>160.81608093369323</v>
      </c>
      <c r="E1399" s="14" t="s">
        <v>508</v>
      </c>
      <c r="F1399" s="11">
        <v>155</v>
      </c>
    </row>
    <row r="1400" spans="2:6" x14ac:dyDescent="0.3">
      <c r="B1400" s="12">
        <v>1397</v>
      </c>
      <c r="C1400" s="28">
        <v>150.70028044132502</v>
      </c>
      <c r="E1400" s="14" t="s">
        <v>1841</v>
      </c>
      <c r="F1400" s="11">
        <v>174</v>
      </c>
    </row>
    <row r="1401" spans="2:6" x14ac:dyDescent="0.3">
      <c r="B1401" s="12">
        <v>1398</v>
      </c>
      <c r="C1401" s="28">
        <v>159.09504380925111</v>
      </c>
      <c r="E1401" s="14" t="s">
        <v>3201</v>
      </c>
      <c r="F1401" s="11">
        <v>173</v>
      </c>
    </row>
    <row r="1402" spans="2:6" x14ac:dyDescent="0.3">
      <c r="B1402" s="12">
        <v>1399</v>
      </c>
      <c r="C1402" s="28">
        <v>153.47031774693883</v>
      </c>
      <c r="E1402" s="14" t="s">
        <v>2953</v>
      </c>
      <c r="F1402" s="11">
        <v>163</v>
      </c>
    </row>
    <row r="1403" spans="2:6" x14ac:dyDescent="0.3">
      <c r="B1403" s="12">
        <v>1400</v>
      </c>
      <c r="C1403" s="28">
        <v>156.61245334341277</v>
      </c>
      <c r="E1403" s="14" t="s">
        <v>87</v>
      </c>
      <c r="F1403" s="11">
        <v>167</v>
      </c>
    </row>
    <row r="1404" spans="2:6" x14ac:dyDescent="0.3">
      <c r="B1404" s="12">
        <v>1401</v>
      </c>
      <c r="C1404" s="28">
        <v>154.51896550291269</v>
      </c>
      <c r="E1404" s="14" t="s">
        <v>114</v>
      </c>
      <c r="F1404" s="11">
        <v>175</v>
      </c>
    </row>
    <row r="1405" spans="2:6" x14ac:dyDescent="0.3">
      <c r="B1405" s="12">
        <v>1402</v>
      </c>
      <c r="C1405" s="28">
        <v>164.13249011642498</v>
      </c>
      <c r="E1405" s="14" t="s">
        <v>1022</v>
      </c>
      <c r="F1405" s="11">
        <v>167</v>
      </c>
    </row>
    <row r="1406" spans="2:6" x14ac:dyDescent="0.3">
      <c r="B1406" s="12">
        <v>1403</v>
      </c>
      <c r="C1406" s="28">
        <v>153.98440414849679</v>
      </c>
      <c r="E1406" s="14" t="s">
        <v>3774</v>
      </c>
      <c r="F1406" s="11">
        <v>168</v>
      </c>
    </row>
    <row r="1407" spans="2:6" x14ac:dyDescent="0.3">
      <c r="B1407" s="12">
        <v>1404</v>
      </c>
      <c r="C1407" s="28">
        <v>163.01045011026764</v>
      </c>
      <c r="E1407" s="14" t="s">
        <v>8</v>
      </c>
      <c r="F1407" s="11">
        <v>180</v>
      </c>
    </row>
    <row r="1408" spans="2:6" x14ac:dyDescent="0.3">
      <c r="B1408" s="12">
        <v>1405</v>
      </c>
      <c r="C1408" s="28">
        <v>164.35505976614252</v>
      </c>
      <c r="E1408" s="14" t="s">
        <v>4164</v>
      </c>
      <c r="F1408" s="11">
        <v>182</v>
      </c>
    </row>
    <row r="1409" spans="2:6" x14ac:dyDescent="0.3">
      <c r="B1409" s="12">
        <v>1406</v>
      </c>
      <c r="C1409" s="28">
        <v>152.3192394395692</v>
      </c>
      <c r="E1409" s="14" t="s">
        <v>3314</v>
      </c>
      <c r="F1409" s="11">
        <v>177</v>
      </c>
    </row>
    <row r="1410" spans="2:6" x14ac:dyDescent="0.3">
      <c r="B1410" s="12">
        <v>1407</v>
      </c>
      <c r="C1410" s="28">
        <v>165.84717913833572</v>
      </c>
      <c r="E1410" s="14" t="s">
        <v>3537</v>
      </c>
      <c r="F1410" s="11">
        <v>170</v>
      </c>
    </row>
    <row r="1411" spans="2:6" x14ac:dyDescent="0.3">
      <c r="B1411" s="12">
        <v>1408</v>
      </c>
      <c r="C1411" s="28">
        <v>162.15945293229029</v>
      </c>
      <c r="E1411" s="14" t="s">
        <v>2957</v>
      </c>
      <c r="F1411" s="11">
        <v>167</v>
      </c>
    </row>
    <row r="1412" spans="2:6" x14ac:dyDescent="0.3">
      <c r="B1412" s="12">
        <v>1409</v>
      </c>
      <c r="C1412" s="28">
        <v>160.44836686646519</v>
      </c>
      <c r="E1412" s="14" t="s">
        <v>786</v>
      </c>
      <c r="F1412" s="11">
        <v>175</v>
      </c>
    </row>
    <row r="1413" spans="2:6" x14ac:dyDescent="0.3">
      <c r="B1413" s="12">
        <v>1410</v>
      </c>
      <c r="C1413" s="28">
        <v>167.53761556558842</v>
      </c>
      <c r="E1413" s="14" t="s">
        <v>2919</v>
      </c>
      <c r="F1413" s="11">
        <v>185</v>
      </c>
    </row>
    <row r="1414" spans="2:6" x14ac:dyDescent="0.3">
      <c r="B1414" s="12">
        <v>1411</v>
      </c>
      <c r="C1414" s="28">
        <v>168.01708548060148</v>
      </c>
      <c r="E1414" s="14" t="s">
        <v>1903</v>
      </c>
      <c r="F1414" s="11">
        <v>185</v>
      </c>
    </row>
    <row r="1415" spans="2:6" x14ac:dyDescent="0.3">
      <c r="B1415" s="12">
        <v>1412</v>
      </c>
      <c r="C1415" s="28">
        <v>159.49017962649324</v>
      </c>
      <c r="E1415" s="14" t="s">
        <v>3421</v>
      </c>
      <c r="F1415" s="11">
        <v>180</v>
      </c>
    </row>
    <row r="1416" spans="2:6" x14ac:dyDescent="0.3">
      <c r="B1416" s="12">
        <v>1413</v>
      </c>
      <c r="C1416" s="28">
        <v>167.00144702351417</v>
      </c>
      <c r="E1416" s="14" t="s">
        <v>4137</v>
      </c>
      <c r="F1416" s="11">
        <v>189</v>
      </c>
    </row>
    <row r="1417" spans="2:6" x14ac:dyDescent="0.3">
      <c r="B1417" s="12">
        <v>1414</v>
      </c>
      <c r="C1417" s="28">
        <v>154.86893328278853</v>
      </c>
      <c r="E1417" s="14" t="s">
        <v>2380</v>
      </c>
      <c r="F1417" s="11">
        <v>164</v>
      </c>
    </row>
    <row r="1418" spans="2:6" x14ac:dyDescent="0.3">
      <c r="B1418" s="12">
        <v>1415</v>
      </c>
      <c r="C1418" s="28">
        <v>162.80261668085103</v>
      </c>
      <c r="E1418" s="14" t="s">
        <v>1229</v>
      </c>
      <c r="F1418" s="11">
        <v>184</v>
      </c>
    </row>
    <row r="1419" spans="2:6" x14ac:dyDescent="0.3">
      <c r="B1419" s="12">
        <v>1416</v>
      </c>
      <c r="C1419" s="28">
        <v>169.70863023354661</v>
      </c>
      <c r="E1419" s="14" t="s">
        <v>1230</v>
      </c>
      <c r="F1419" s="11">
        <v>170</v>
      </c>
    </row>
    <row r="1420" spans="2:6" x14ac:dyDescent="0.3">
      <c r="B1420" s="12">
        <v>1417</v>
      </c>
      <c r="C1420" s="28">
        <v>168.71681688128191</v>
      </c>
      <c r="E1420" s="14" t="s">
        <v>1231</v>
      </c>
      <c r="F1420" s="11">
        <v>163</v>
      </c>
    </row>
    <row r="1421" spans="2:6" x14ac:dyDescent="0.3">
      <c r="B1421" s="12">
        <v>1418</v>
      </c>
      <c r="C1421" s="28">
        <v>167.29587896443698</v>
      </c>
      <c r="E1421" s="14" t="s">
        <v>967</v>
      </c>
      <c r="F1421" s="11">
        <v>172</v>
      </c>
    </row>
    <row r="1422" spans="2:6" x14ac:dyDescent="0.3">
      <c r="B1422" s="12">
        <v>1419</v>
      </c>
      <c r="C1422" s="28">
        <v>151.79387887461652</v>
      </c>
      <c r="E1422" s="14" t="s">
        <v>901</v>
      </c>
      <c r="F1422" s="11">
        <v>176</v>
      </c>
    </row>
    <row r="1423" spans="2:6" x14ac:dyDescent="0.3">
      <c r="B1423" s="12">
        <v>1420</v>
      </c>
      <c r="C1423" s="28">
        <v>162.8296995265346</v>
      </c>
      <c r="E1423" s="14" t="s">
        <v>1360</v>
      </c>
      <c r="F1423" s="11">
        <v>181</v>
      </c>
    </row>
    <row r="1424" spans="2:6" x14ac:dyDescent="0.3">
      <c r="B1424" s="12">
        <v>1421</v>
      </c>
      <c r="C1424" s="28">
        <v>151.62026153141579</v>
      </c>
      <c r="E1424" s="14" t="s">
        <v>3728</v>
      </c>
      <c r="F1424" s="11">
        <v>166</v>
      </c>
    </row>
    <row r="1425" spans="2:6" x14ac:dyDescent="0.3">
      <c r="B1425" s="12">
        <v>1422</v>
      </c>
      <c r="C1425" s="28">
        <v>159.48539117160612</v>
      </c>
      <c r="E1425" s="14" t="s">
        <v>1242</v>
      </c>
      <c r="F1425" s="11">
        <v>163</v>
      </c>
    </row>
    <row r="1426" spans="2:6" x14ac:dyDescent="0.3">
      <c r="B1426" s="12">
        <v>1423</v>
      </c>
      <c r="C1426" s="28">
        <v>167.45932659366861</v>
      </c>
      <c r="E1426" s="14" t="s">
        <v>2655</v>
      </c>
      <c r="F1426" s="11">
        <v>175</v>
      </c>
    </row>
    <row r="1427" spans="2:6" x14ac:dyDescent="0.3">
      <c r="B1427" s="12">
        <v>1424</v>
      </c>
      <c r="C1427" s="28">
        <v>160.51363044226497</v>
      </c>
      <c r="E1427" s="14" t="s">
        <v>3156</v>
      </c>
      <c r="F1427" s="11">
        <v>161</v>
      </c>
    </row>
    <row r="1428" spans="2:6" x14ac:dyDescent="0.3">
      <c r="B1428" s="12">
        <v>1425</v>
      </c>
      <c r="C1428" s="28">
        <v>169.23294653750466</v>
      </c>
      <c r="E1428" s="14" t="s">
        <v>1170</v>
      </c>
      <c r="F1428" s="11">
        <v>184</v>
      </c>
    </row>
    <row r="1429" spans="2:6" x14ac:dyDescent="0.3">
      <c r="B1429" s="12">
        <v>1426</v>
      </c>
      <c r="C1429" s="28">
        <v>163.90995416908422</v>
      </c>
      <c r="E1429" s="14" t="s">
        <v>1789</v>
      </c>
      <c r="F1429" s="11">
        <v>183</v>
      </c>
    </row>
    <row r="1430" spans="2:6" x14ac:dyDescent="0.3">
      <c r="B1430" s="12">
        <v>1427</v>
      </c>
      <c r="C1430" s="28">
        <v>156.86872698727262</v>
      </c>
      <c r="E1430" s="14" t="s">
        <v>92</v>
      </c>
      <c r="F1430" s="11">
        <v>174</v>
      </c>
    </row>
    <row r="1431" spans="2:6" x14ac:dyDescent="0.3">
      <c r="B1431" s="12">
        <v>1428</v>
      </c>
      <c r="C1431" s="28">
        <v>171.15806474812493</v>
      </c>
      <c r="E1431" s="14" t="s">
        <v>434</v>
      </c>
      <c r="F1431" s="11">
        <v>173</v>
      </c>
    </row>
    <row r="1432" spans="2:6" x14ac:dyDescent="0.3">
      <c r="B1432" s="12">
        <v>1429</v>
      </c>
      <c r="C1432" s="28">
        <v>160.7234774243573</v>
      </c>
      <c r="E1432" s="14" t="s">
        <v>1071</v>
      </c>
      <c r="F1432" s="11">
        <v>175</v>
      </c>
    </row>
    <row r="1433" spans="2:6" x14ac:dyDescent="0.3">
      <c r="B1433" s="12">
        <v>1430</v>
      </c>
      <c r="C1433" s="28">
        <v>155.24999545924865</v>
      </c>
      <c r="E1433" s="14" t="s">
        <v>3322</v>
      </c>
      <c r="F1433" s="11">
        <v>169</v>
      </c>
    </row>
    <row r="1434" spans="2:6" x14ac:dyDescent="0.3">
      <c r="B1434" s="12">
        <v>1431</v>
      </c>
      <c r="C1434" s="28">
        <v>163.22993936190295</v>
      </c>
      <c r="E1434" s="14" t="s">
        <v>541</v>
      </c>
      <c r="F1434" s="11">
        <v>159</v>
      </c>
    </row>
    <row r="1435" spans="2:6" x14ac:dyDescent="0.3">
      <c r="B1435" s="12">
        <v>1432</v>
      </c>
      <c r="C1435" s="28">
        <v>177.78781315341769</v>
      </c>
      <c r="E1435" s="14" t="s">
        <v>886</v>
      </c>
      <c r="F1435" s="11">
        <v>150</v>
      </c>
    </row>
    <row r="1436" spans="2:6" x14ac:dyDescent="0.3">
      <c r="B1436" s="12">
        <v>1433</v>
      </c>
      <c r="C1436" s="28">
        <v>173.64821370220361</v>
      </c>
      <c r="E1436" s="14" t="s">
        <v>4260</v>
      </c>
      <c r="F1436" s="11">
        <v>171</v>
      </c>
    </row>
    <row r="1437" spans="2:6" x14ac:dyDescent="0.3">
      <c r="B1437" s="12">
        <v>1434</v>
      </c>
      <c r="C1437" s="28">
        <v>171.46992380523207</v>
      </c>
      <c r="E1437" s="14" t="s">
        <v>3220</v>
      </c>
      <c r="F1437" s="11">
        <v>165</v>
      </c>
    </row>
    <row r="1438" spans="2:6" x14ac:dyDescent="0.3">
      <c r="B1438" s="12">
        <v>1435</v>
      </c>
      <c r="C1438" s="28">
        <v>162.67071227457146</v>
      </c>
      <c r="E1438" s="14" t="s">
        <v>3722</v>
      </c>
      <c r="F1438" s="11">
        <v>172</v>
      </c>
    </row>
    <row r="1439" spans="2:6" x14ac:dyDescent="0.3">
      <c r="B1439" s="12">
        <v>1436</v>
      </c>
      <c r="C1439" s="28">
        <v>158.76863168854908</v>
      </c>
      <c r="E1439" s="14" t="s">
        <v>1091</v>
      </c>
      <c r="F1439" s="11">
        <v>163</v>
      </c>
    </row>
    <row r="1440" spans="2:6" x14ac:dyDescent="0.3">
      <c r="B1440" s="12">
        <v>1437</v>
      </c>
      <c r="C1440" s="28">
        <v>161.39054295858705</v>
      </c>
      <c r="E1440" s="14" t="s">
        <v>116</v>
      </c>
      <c r="F1440" s="11">
        <v>168</v>
      </c>
    </row>
    <row r="1441" spans="2:6" x14ac:dyDescent="0.3">
      <c r="B1441" s="12">
        <v>1438</v>
      </c>
      <c r="C1441" s="28">
        <v>160.12230991143969</v>
      </c>
      <c r="E1441" s="14" t="s">
        <v>1554</v>
      </c>
      <c r="F1441" s="11">
        <v>161</v>
      </c>
    </row>
    <row r="1442" spans="2:6" x14ac:dyDescent="0.3">
      <c r="B1442" s="12">
        <v>1439</v>
      </c>
      <c r="C1442" s="28">
        <v>166.96958525469731</v>
      </c>
      <c r="E1442" s="14" t="s">
        <v>599</v>
      </c>
      <c r="F1442" s="11">
        <v>192</v>
      </c>
    </row>
    <row r="1443" spans="2:6" x14ac:dyDescent="0.3">
      <c r="B1443" s="12">
        <v>1440</v>
      </c>
      <c r="C1443" s="28">
        <v>167.96419771373206</v>
      </c>
      <c r="E1443" s="14" t="s">
        <v>1522</v>
      </c>
      <c r="F1443" s="11">
        <v>166</v>
      </c>
    </row>
    <row r="1444" spans="2:6" x14ac:dyDescent="0.3">
      <c r="B1444" s="12">
        <v>1441</v>
      </c>
      <c r="C1444" s="28">
        <v>168.13364894603109</v>
      </c>
      <c r="E1444" s="14" t="s">
        <v>1435</v>
      </c>
      <c r="F1444" s="11">
        <v>158</v>
      </c>
    </row>
    <row r="1445" spans="2:6" x14ac:dyDescent="0.3">
      <c r="B1445" s="12">
        <v>1442</v>
      </c>
      <c r="C1445" s="28">
        <v>166.70730796324813</v>
      </c>
      <c r="E1445" s="14" t="s">
        <v>323</v>
      </c>
      <c r="F1445" s="11">
        <v>178</v>
      </c>
    </row>
    <row r="1446" spans="2:6" x14ac:dyDescent="0.3">
      <c r="B1446" s="12">
        <v>1443</v>
      </c>
      <c r="C1446" s="28">
        <v>159.21467745270624</v>
      </c>
      <c r="E1446" s="14" t="s">
        <v>3390</v>
      </c>
      <c r="F1446" s="11">
        <v>172</v>
      </c>
    </row>
    <row r="1447" spans="2:6" x14ac:dyDescent="0.3">
      <c r="B1447" s="12">
        <v>1444</v>
      </c>
      <c r="C1447" s="28">
        <v>161.89368678571037</v>
      </c>
      <c r="E1447" s="14" t="s">
        <v>1771</v>
      </c>
      <c r="F1447" s="11">
        <v>158</v>
      </c>
    </row>
    <row r="1448" spans="2:6" x14ac:dyDescent="0.3">
      <c r="B1448" s="12">
        <v>1445</v>
      </c>
      <c r="C1448" s="28">
        <v>154.42760790156805</v>
      </c>
      <c r="E1448" s="14" t="s">
        <v>2873</v>
      </c>
      <c r="F1448" s="11">
        <v>175</v>
      </c>
    </row>
    <row r="1449" spans="2:6" x14ac:dyDescent="0.3">
      <c r="B1449" s="12">
        <v>1446</v>
      </c>
      <c r="C1449" s="28">
        <v>161.31578357818307</v>
      </c>
      <c r="E1449" s="14" t="s">
        <v>3810</v>
      </c>
      <c r="F1449" s="11">
        <v>133</v>
      </c>
    </row>
    <row r="1450" spans="2:6" x14ac:dyDescent="0.3">
      <c r="B1450" s="12">
        <v>1447</v>
      </c>
      <c r="C1450" s="28">
        <v>161.12136312405218</v>
      </c>
      <c r="E1450" s="14" t="s">
        <v>951</v>
      </c>
      <c r="F1450" s="11">
        <v>176</v>
      </c>
    </row>
    <row r="1451" spans="2:6" x14ac:dyDescent="0.3">
      <c r="B1451" s="12">
        <v>1448</v>
      </c>
      <c r="C1451" s="28">
        <v>157.63290610579475</v>
      </c>
      <c r="E1451" s="14" t="s">
        <v>3157</v>
      </c>
      <c r="F1451" s="11">
        <v>156</v>
      </c>
    </row>
    <row r="1452" spans="2:6" x14ac:dyDescent="0.3">
      <c r="B1452" s="12">
        <v>1449</v>
      </c>
      <c r="C1452" s="28">
        <v>163.55915057958208</v>
      </c>
      <c r="E1452" s="14" t="s">
        <v>3546</v>
      </c>
      <c r="F1452" s="11">
        <v>187</v>
      </c>
    </row>
    <row r="1453" spans="2:6" x14ac:dyDescent="0.3">
      <c r="B1453" s="12">
        <v>1450</v>
      </c>
      <c r="C1453" s="28">
        <v>162.10805054993654</v>
      </c>
      <c r="E1453" s="14" t="s">
        <v>76</v>
      </c>
      <c r="F1453" s="11">
        <v>191</v>
      </c>
    </row>
    <row r="1454" spans="2:6" x14ac:dyDescent="0.3">
      <c r="B1454" s="12">
        <v>1451</v>
      </c>
      <c r="C1454" s="28">
        <v>158.11300470038356</v>
      </c>
      <c r="E1454" s="14" t="s">
        <v>611</v>
      </c>
      <c r="F1454" s="11">
        <v>165</v>
      </c>
    </row>
    <row r="1455" spans="2:6" x14ac:dyDescent="0.3">
      <c r="B1455" s="12">
        <v>1452</v>
      </c>
      <c r="C1455" s="28">
        <v>161.16402045863396</v>
      </c>
      <c r="E1455" s="14" t="s">
        <v>2718</v>
      </c>
      <c r="F1455" s="11">
        <v>171</v>
      </c>
    </row>
    <row r="1456" spans="2:6" x14ac:dyDescent="0.3">
      <c r="B1456" s="12">
        <v>1453</v>
      </c>
      <c r="C1456" s="28">
        <v>162.7704778536457</v>
      </c>
      <c r="E1456" s="14" t="s">
        <v>4433</v>
      </c>
      <c r="F1456" s="11">
        <v>159</v>
      </c>
    </row>
    <row r="1457" spans="2:6" x14ac:dyDescent="0.3">
      <c r="B1457" s="12">
        <v>1454</v>
      </c>
      <c r="C1457" s="28">
        <v>162.29640946274372</v>
      </c>
      <c r="E1457" s="14" t="s">
        <v>1735</v>
      </c>
      <c r="F1457" s="11">
        <v>193</v>
      </c>
    </row>
    <row r="1458" spans="2:6" x14ac:dyDescent="0.3">
      <c r="B1458" s="12">
        <v>1455</v>
      </c>
      <c r="C1458" s="28">
        <v>159.11807741350461</v>
      </c>
      <c r="E1458" s="14" t="s">
        <v>805</v>
      </c>
      <c r="F1458" s="11">
        <v>177</v>
      </c>
    </row>
    <row r="1459" spans="2:6" x14ac:dyDescent="0.3">
      <c r="B1459" s="12">
        <v>1456</v>
      </c>
      <c r="C1459" s="28">
        <v>168.74719172062228</v>
      </c>
      <c r="E1459" s="14" t="s">
        <v>917</v>
      </c>
      <c r="F1459" s="11">
        <v>163</v>
      </c>
    </row>
    <row r="1460" spans="2:6" x14ac:dyDescent="0.3">
      <c r="B1460" s="12">
        <v>1457</v>
      </c>
      <c r="C1460" s="28">
        <v>162.2125852429391</v>
      </c>
      <c r="E1460" s="14" t="s">
        <v>970</v>
      </c>
      <c r="F1460" s="11">
        <v>164</v>
      </c>
    </row>
    <row r="1461" spans="2:6" x14ac:dyDescent="0.3">
      <c r="B1461" s="12">
        <v>1458</v>
      </c>
      <c r="C1461" s="28">
        <v>161.74622977545204</v>
      </c>
      <c r="E1461" s="14" t="s">
        <v>1572</v>
      </c>
      <c r="F1461" s="11">
        <v>172</v>
      </c>
    </row>
    <row r="1462" spans="2:6" x14ac:dyDescent="0.3">
      <c r="B1462" s="12">
        <v>1459</v>
      </c>
      <c r="C1462" s="28">
        <v>164.46991693473484</v>
      </c>
      <c r="E1462" s="14" t="s">
        <v>3285</v>
      </c>
      <c r="F1462" s="11">
        <v>170</v>
      </c>
    </row>
    <row r="1463" spans="2:6" x14ac:dyDescent="0.3">
      <c r="B1463" s="12">
        <v>1460</v>
      </c>
      <c r="C1463" s="28">
        <v>168.28283850951954</v>
      </c>
      <c r="E1463" s="14" t="s">
        <v>3441</v>
      </c>
      <c r="F1463" s="11">
        <v>174</v>
      </c>
    </row>
    <row r="1464" spans="2:6" x14ac:dyDescent="0.3">
      <c r="B1464" s="12">
        <v>1461</v>
      </c>
      <c r="C1464" s="28">
        <v>158.73085901327059</v>
      </c>
      <c r="E1464" s="14" t="s">
        <v>2199</v>
      </c>
      <c r="F1464" s="11">
        <v>168</v>
      </c>
    </row>
    <row r="1465" spans="2:6" x14ac:dyDescent="0.3">
      <c r="B1465" s="12">
        <v>1462</v>
      </c>
      <c r="C1465" s="28">
        <v>166.32306383989945</v>
      </c>
      <c r="E1465" s="14" t="s">
        <v>3658</v>
      </c>
      <c r="F1465" s="11">
        <v>166</v>
      </c>
    </row>
    <row r="1466" spans="2:6" x14ac:dyDescent="0.3">
      <c r="B1466" s="12">
        <v>1463</v>
      </c>
      <c r="C1466" s="28">
        <v>155.36513598806593</v>
      </c>
      <c r="E1466" s="14" t="s">
        <v>3326</v>
      </c>
      <c r="F1466" s="11">
        <v>166</v>
      </c>
    </row>
    <row r="1467" spans="2:6" x14ac:dyDescent="0.3">
      <c r="B1467" s="12">
        <v>1464</v>
      </c>
      <c r="C1467" s="28">
        <v>163.54652603716727</v>
      </c>
      <c r="E1467" s="14" t="s">
        <v>3072</v>
      </c>
      <c r="F1467" s="11">
        <v>166</v>
      </c>
    </row>
    <row r="1468" spans="2:6" x14ac:dyDescent="0.3">
      <c r="B1468" s="12">
        <v>1465</v>
      </c>
      <c r="C1468" s="28">
        <v>159.30680094434052</v>
      </c>
      <c r="E1468" s="14" t="s">
        <v>1534</v>
      </c>
      <c r="F1468" s="11">
        <v>165</v>
      </c>
    </row>
    <row r="1469" spans="2:6" x14ac:dyDescent="0.3">
      <c r="B1469" s="12">
        <v>1466</v>
      </c>
      <c r="C1469" s="28">
        <v>154.85823025475395</v>
      </c>
      <c r="E1469" s="14" t="s">
        <v>874</v>
      </c>
      <c r="F1469" s="11">
        <v>160</v>
      </c>
    </row>
    <row r="1470" spans="2:6" x14ac:dyDescent="0.3">
      <c r="B1470" s="12">
        <v>1467</v>
      </c>
      <c r="C1470" s="28">
        <v>159.41836273104121</v>
      </c>
      <c r="E1470" s="14" t="s">
        <v>2271</v>
      </c>
      <c r="F1470" s="11">
        <v>163</v>
      </c>
    </row>
    <row r="1471" spans="2:6" x14ac:dyDescent="0.3">
      <c r="B1471" s="12">
        <v>1468</v>
      </c>
      <c r="C1471" s="28">
        <v>158.01695322828826</v>
      </c>
      <c r="E1471" s="14" t="s">
        <v>1625</v>
      </c>
      <c r="F1471" s="11">
        <v>172</v>
      </c>
    </row>
    <row r="1472" spans="2:6" x14ac:dyDescent="0.3">
      <c r="B1472" s="12">
        <v>1469</v>
      </c>
      <c r="C1472" s="28">
        <v>168.1367496233847</v>
      </c>
      <c r="E1472" s="14" t="s">
        <v>1656</v>
      </c>
      <c r="F1472" s="11">
        <v>169</v>
      </c>
    </row>
    <row r="1473" spans="2:6" x14ac:dyDescent="0.3">
      <c r="B1473" s="12">
        <v>1470</v>
      </c>
      <c r="C1473" s="28">
        <v>161.98241359317311</v>
      </c>
      <c r="E1473" s="14" t="s">
        <v>4675</v>
      </c>
      <c r="F1473" s="11">
        <v>176</v>
      </c>
    </row>
    <row r="1474" spans="2:6" x14ac:dyDescent="0.3">
      <c r="B1474" s="12">
        <v>1471</v>
      </c>
      <c r="C1474" s="28">
        <v>167.14431209173949</v>
      </c>
      <c r="E1474" s="14" t="s">
        <v>1638</v>
      </c>
      <c r="F1474" s="11">
        <v>180</v>
      </c>
    </row>
    <row r="1475" spans="2:6" x14ac:dyDescent="0.3">
      <c r="B1475" s="12">
        <v>1472</v>
      </c>
      <c r="C1475" s="28">
        <v>161.52314850688089</v>
      </c>
      <c r="E1475" s="14" t="s">
        <v>514</v>
      </c>
      <c r="F1475" s="11">
        <v>175</v>
      </c>
    </row>
    <row r="1476" spans="2:6" x14ac:dyDescent="0.3">
      <c r="B1476" s="12">
        <v>1473</v>
      </c>
      <c r="C1476" s="28">
        <v>151.08280696966438</v>
      </c>
      <c r="E1476" s="14" t="s">
        <v>4882</v>
      </c>
      <c r="F1476" s="11">
        <v>170</v>
      </c>
    </row>
    <row r="1477" spans="2:6" x14ac:dyDescent="0.3">
      <c r="B1477" s="12">
        <v>1474</v>
      </c>
      <c r="C1477" s="28">
        <v>161.82336601603748</v>
      </c>
      <c r="E1477" s="14" t="s">
        <v>4951</v>
      </c>
      <c r="F1477" s="11">
        <v>173</v>
      </c>
    </row>
    <row r="1478" spans="2:6" x14ac:dyDescent="0.3">
      <c r="B1478" s="12">
        <v>1475</v>
      </c>
      <c r="C1478" s="28">
        <v>153.75086493827362</v>
      </c>
      <c r="E1478" s="14" t="s">
        <v>158</v>
      </c>
      <c r="F1478" s="11">
        <v>164</v>
      </c>
    </row>
    <row r="1479" spans="2:6" x14ac:dyDescent="0.3">
      <c r="B1479" s="12">
        <v>1476</v>
      </c>
      <c r="C1479" s="28">
        <v>172.33579731937868</v>
      </c>
      <c r="E1479" s="14" t="s">
        <v>4284</v>
      </c>
      <c r="F1479" s="11">
        <v>180</v>
      </c>
    </row>
    <row r="1480" spans="2:6" x14ac:dyDescent="0.3">
      <c r="B1480" s="12">
        <v>1477</v>
      </c>
      <c r="C1480" s="28">
        <v>152.43952829456808</v>
      </c>
      <c r="E1480" s="14" t="s">
        <v>3683</v>
      </c>
      <c r="F1480" s="11">
        <v>178</v>
      </c>
    </row>
    <row r="1481" spans="2:6" x14ac:dyDescent="0.3">
      <c r="B1481" s="12">
        <v>1478</v>
      </c>
      <c r="C1481" s="28">
        <v>163.46021439635626</v>
      </c>
      <c r="E1481" s="14" t="s">
        <v>2861</v>
      </c>
      <c r="F1481" s="11">
        <v>176</v>
      </c>
    </row>
    <row r="1482" spans="2:6" x14ac:dyDescent="0.3">
      <c r="B1482" s="12">
        <v>1479</v>
      </c>
      <c r="C1482" s="28">
        <v>163.31002169342401</v>
      </c>
      <c r="E1482" s="14" t="s">
        <v>1342</v>
      </c>
      <c r="F1482" s="11">
        <v>180</v>
      </c>
    </row>
    <row r="1483" spans="2:6" x14ac:dyDescent="0.3">
      <c r="B1483" s="12">
        <v>1480</v>
      </c>
      <c r="C1483" s="28">
        <v>154.07552466246011</v>
      </c>
      <c r="E1483" s="14" t="s">
        <v>1347</v>
      </c>
      <c r="F1483" s="11">
        <v>165</v>
      </c>
    </row>
    <row r="1484" spans="2:6" x14ac:dyDescent="0.3">
      <c r="B1484" s="12">
        <v>1481</v>
      </c>
      <c r="C1484" s="28">
        <v>157.96812795773553</v>
      </c>
      <c r="E1484" s="14" t="s">
        <v>4853</v>
      </c>
      <c r="F1484" s="11">
        <v>173</v>
      </c>
    </row>
    <row r="1485" spans="2:6" x14ac:dyDescent="0.3">
      <c r="B1485" s="12">
        <v>1482</v>
      </c>
      <c r="C1485" s="28">
        <v>152.84840593894478</v>
      </c>
      <c r="E1485" s="14" t="s">
        <v>1324</v>
      </c>
      <c r="F1485" s="11">
        <v>179</v>
      </c>
    </row>
    <row r="1486" spans="2:6" x14ac:dyDescent="0.3">
      <c r="B1486" s="12">
        <v>1483</v>
      </c>
      <c r="C1486" s="28">
        <v>151.48695025040743</v>
      </c>
      <c r="E1486" s="14" t="s">
        <v>1332</v>
      </c>
      <c r="F1486" s="11">
        <v>176</v>
      </c>
    </row>
    <row r="1487" spans="2:6" x14ac:dyDescent="0.3">
      <c r="B1487" s="12">
        <v>1484</v>
      </c>
      <c r="C1487" s="28">
        <v>162.26014266987639</v>
      </c>
      <c r="E1487" s="14" t="s">
        <v>909</v>
      </c>
      <c r="F1487" s="11">
        <v>175</v>
      </c>
    </row>
    <row r="1488" spans="2:6" x14ac:dyDescent="0.3">
      <c r="B1488" s="12">
        <v>1485</v>
      </c>
      <c r="C1488" s="28">
        <v>163.70132842396345</v>
      </c>
      <c r="E1488" s="14" t="s">
        <v>56</v>
      </c>
      <c r="F1488" s="11">
        <v>164</v>
      </c>
    </row>
    <row r="1489" spans="2:6" x14ac:dyDescent="0.3">
      <c r="B1489" s="12">
        <v>1486</v>
      </c>
      <c r="C1489" s="28">
        <v>162.78550810489574</v>
      </c>
      <c r="E1489" s="14" t="s">
        <v>1009</v>
      </c>
      <c r="F1489" s="11">
        <v>175</v>
      </c>
    </row>
    <row r="1490" spans="2:6" x14ac:dyDescent="0.3">
      <c r="B1490" s="12">
        <v>1487</v>
      </c>
      <c r="C1490" s="28">
        <v>158.7000690659944</v>
      </c>
      <c r="E1490" s="14" t="s">
        <v>2905</v>
      </c>
      <c r="F1490" s="11">
        <v>163</v>
      </c>
    </row>
    <row r="1491" spans="2:6" x14ac:dyDescent="0.3">
      <c r="B1491" s="12">
        <v>1488</v>
      </c>
      <c r="C1491" s="28">
        <v>158.15714316421361</v>
      </c>
      <c r="E1491" s="14" t="s">
        <v>3343</v>
      </c>
      <c r="F1491" s="11">
        <v>187</v>
      </c>
    </row>
    <row r="1492" spans="2:6" x14ac:dyDescent="0.3">
      <c r="B1492" s="12">
        <v>1489</v>
      </c>
      <c r="C1492" s="28">
        <v>151.66017562961741</v>
      </c>
      <c r="E1492" s="14" t="s">
        <v>3364</v>
      </c>
      <c r="F1492" s="11">
        <v>167</v>
      </c>
    </row>
    <row r="1493" spans="2:6" x14ac:dyDescent="0.3">
      <c r="B1493" s="12">
        <v>1490</v>
      </c>
      <c r="C1493" s="28">
        <v>166.47550857311833</v>
      </c>
      <c r="E1493" s="14" t="s">
        <v>4093</v>
      </c>
      <c r="F1493" s="11">
        <v>165</v>
      </c>
    </row>
    <row r="1494" spans="2:6" x14ac:dyDescent="0.3">
      <c r="B1494" s="12">
        <v>1491</v>
      </c>
      <c r="C1494" s="28">
        <v>168.52121513220527</v>
      </c>
      <c r="E1494" s="14" t="s">
        <v>4134</v>
      </c>
      <c r="F1494" s="11">
        <v>169</v>
      </c>
    </row>
    <row r="1495" spans="2:6" x14ac:dyDescent="0.3">
      <c r="B1495" s="12">
        <v>1492</v>
      </c>
      <c r="C1495" s="28">
        <v>160.6417278886172</v>
      </c>
      <c r="E1495" s="14" t="s">
        <v>4212</v>
      </c>
      <c r="F1495" s="11">
        <v>184</v>
      </c>
    </row>
    <row r="1496" spans="2:6" x14ac:dyDescent="0.3">
      <c r="B1496" s="12">
        <v>1493</v>
      </c>
      <c r="C1496" s="28">
        <v>159.56260484144974</v>
      </c>
      <c r="E1496" s="14" t="s">
        <v>4211</v>
      </c>
      <c r="F1496" s="11">
        <v>183</v>
      </c>
    </row>
    <row r="1497" spans="2:6" x14ac:dyDescent="0.3">
      <c r="B1497" s="12">
        <v>1494</v>
      </c>
      <c r="C1497" s="28">
        <v>173.76169774620411</v>
      </c>
      <c r="E1497" s="14" t="s">
        <v>4202</v>
      </c>
      <c r="F1497" s="11">
        <v>170</v>
      </c>
    </row>
    <row r="1498" spans="2:6" x14ac:dyDescent="0.3">
      <c r="B1498" s="12">
        <v>1495</v>
      </c>
      <c r="C1498" s="28">
        <v>159.30075308349035</v>
      </c>
      <c r="E1498" s="14" t="s">
        <v>2987</v>
      </c>
      <c r="F1498" s="11">
        <v>169</v>
      </c>
    </row>
    <row r="1499" spans="2:6" x14ac:dyDescent="0.3">
      <c r="B1499" s="12">
        <v>1496</v>
      </c>
      <c r="C1499" s="28">
        <v>163.2724806557633</v>
      </c>
      <c r="E1499" s="14" t="s">
        <v>1067</v>
      </c>
      <c r="F1499" s="11">
        <v>157</v>
      </c>
    </row>
    <row r="1500" spans="2:6" x14ac:dyDescent="0.3">
      <c r="B1500" s="12">
        <v>1497</v>
      </c>
      <c r="C1500" s="28">
        <v>157.28745990678578</v>
      </c>
      <c r="E1500" s="14" t="s">
        <v>3695</v>
      </c>
      <c r="F1500" s="11">
        <v>165</v>
      </c>
    </row>
    <row r="1501" spans="2:6" x14ac:dyDescent="0.3">
      <c r="B1501" s="12">
        <v>1498</v>
      </c>
      <c r="C1501" s="28">
        <v>159.35246010509871</v>
      </c>
      <c r="E1501" s="14" t="s">
        <v>902</v>
      </c>
      <c r="F1501" s="11">
        <v>164</v>
      </c>
    </row>
    <row r="1502" spans="2:6" x14ac:dyDescent="0.3">
      <c r="B1502" s="12">
        <v>1499</v>
      </c>
      <c r="C1502" s="28">
        <v>160.25645877461236</v>
      </c>
      <c r="E1502" s="14" t="s">
        <v>63</v>
      </c>
      <c r="F1502" s="11">
        <v>169</v>
      </c>
    </row>
    <row r="1503" spans="2:6" x14ac:dyDescent="0.3">
      <c r="B1503" s="12">
        <v>1500</v>
      </c>
      <c r="C1503" s="28">
        <v>148.41542315461058</v>
      </c>
      <c r="E1503" s="14" t="s">
        <v>4619</v>
      </c>
      <c r="F1503" s="11">
        <v>184</v>
      </c>
    </row>
    <row r="1504" spans="2:6" x14ac:dyDescent="0.3">
      <c r="B1504" s="12">
        <v>1501</v>
      </c>
      <c r="C1504" s="28">
        <v>176.17055536995167</v>
      </c>
      <c r="E1504" s="14" t="s">
        <v>2960</v>
      </c>
      <c r="F1504" s="11">
        <v>156</v>
      </c>
    </row>
    <row r="1505" spans="2:6" x14ac:dyDescent="0.3">
      <c r="B1505" s="12">
        <v>1502</v>
      </c>
      <c r="C1505" s="28">
        <v>171.35041161287188</v>
      </c>
      <c r="E1505" s="14" t="s">
        <v>4015</v>
      </c>
      <c r="F1505" s="11">
        <v>177</v>
      </c>
    </row>
    <row r="1506" spans="2:6" x14ac:dyDescent="0.3">
      <c r="B1506" s="12">
        <v>1503</v>
      </c>
      <c r="C1506" s="28">
        <v>159.60262887516939</v>
      </c>
      <c r="E1506" s="14" t="s">
        <v>3001</v>
      </c>
      <c r="F1506" s="11">
        <v>174</v>
      </c>
    </row>
    <row r="1507" spans="2:6" x14ac:dyDescent="0.3">
      <c r="B1507" s="12">
        <v>1504</v>
      </c>
      <c r="C1507" s="28">
        <v>153.11271781335859</v>
      </c>
      <c r="E1507" s="14" t="s">
        <v>1103</v>
      </c>
      <c r="F1507" s="11">
        <v>169</v>
      </c>
    </row>
    <row r="1508" spans="2:6" x14ac:dyDescent="0.3">
      <c r="B1508" s="12">
        <v>1505</v>
      </c>
      <c r="C1508" s="28">
        <v>170.89464993049</v>
      </c>
      <c r="E1508" s="14" t="s">
        <v>1356</v>
      </c>
      <c r="F1508" s="11">
        <v>155</v>
      </c>
    </row>
    <row r="1509" spans="2:6" x14ac:dyDescent="0.3">
      <c r="B1509" s="12">
        <v>1506</v>
      </c>
      <c r="C1509" s="28">
        <v>176.23090320236423</v>
      </c>
      <c r="E1509" s="14" t="s">
        <v>1357</v>
      </c>
      <c r="F1509" s="11">
        <v>170</v>
      </c>
    </row>
    <row r="1510" spans="2:6" x14ac:dyDescent="0.3">
      <c r="B1510" s="12">
        <v>1507</v>
      </c>
      <c r="C1510" s="28">
        <v>153.4129387358546</v>
      </c>
      <c r="E1510" s="14" t="s">
        <v>1358</v>
      </c>
      <c r="F1510" s="11">
        <v>190</v>
      </c>
    </row>
    <row r="1511" spans="2:6" x14ac:dyDescent="0.3">
      <c r="B1511" s="12">
        <v>1508</v>
      </c>
      <c r="C1511" s="28">
        <v>158.5783626744539</v>
      </c>
      <c r="E1511" s="14" t="s">
        <v>1359</v>
      </c>
      <c r="F1511" s="11">
        <v>178</v>
      </c>
    </row>
    <row r="1512" spans="2:6" x14ac:dyDescent="0.3">
      <c r="B1512" s="12">
        <v>1509</v>
      </c>
      <c r="C1512" s="28">
        <v>158.06774951116921</v>
      </c>
      <c r="E1512" s="14" t="s">
        <v>2920</v>
      </c>
      <c r="F1512" s="11">
        <v>182</v>
      </c>
    </row>
    <row r="1513" spans="2:6" x14ac:dyDescent="0.3">
      <c r="B1513" s="12">
        <v>1510</v>
      </c>
      <c r="C1513" s="28">
        <v>152.59365153756713</v>
      </c>
      <c r="E1513" s="14" t="s">
        <v>2212</v>
      </c>
      <c r="F1513" s="11">
        <v>170</v>
      </c>
    </row>
    <row r="1514" spans="2:6" x14ac:dyDescent="0.3">
      <c r="B1514" s="12">
        <v>1511</v>
      </c>
      <c r="C1514" s="28">
        <v>166.3674875648839</v>
      </c>
      <c r="E1514" s="14" t="s">
        <v>362</v>
      </c>
      <c r="F1514" s="11">
        <v>182</v>
      </c>
    </row>
    <row r="1515" spans="2:6" x14ac:dyDescent="0.3">
      <c r="B1515" s="12">
        <v>1512</v>
      </c>
      <c r="C1515" s="28">
        <v>155.54548854492373</v>
      </c>
      <c r="E1515" s="14" t="s">
        <v>4003</v>
      </c>
      <c r="F1515" s="11">
        <v>155</v>
      </c>
    </row>
    <row r="1516" spans="2:6" x14ac:dyDescent="0.3">
      <c r="B1516" s="12">
        <v>1513</v>
      </c>
      <c r="C1516" s="28">
        <v>152.85968080204827</v>
      </c>
      <c r="E1516" s="14" t="s">
        <v>768</v>
      </c>
      <c r="F1516" s="11">
        <v>164</v>
      </c>
    </row>
    <row r="1517" spans="2:6" x14ac:dyDescent="0.3">
      <c r="B1517" s="12">
        <v>1514</v>
      </c>
      <c r="C1517" s="28">
        <v>156.15446491404575</v>
      </c>
      <c r="E1517" s="14" t="s">
        <v>551</v>
      </c>
      <c r="F1517" s="11">
        <v>174</v>
      </c>
    </row>
    <row r="1518" spans="2:6" x14ac:dyDescent="0.3">
      <c r="B1518" s="12">
        <v>1515</v>
      </c>
      <c r="C1518" s="28">
        <v>174.12860311554655</v>
      </c>
      <c r="E1518" s="14" t="s">
        <v>3760</v>
      </c>
      <c r="F1518" s="11">
        <v>171</v>
      </c>
    </row>
    <row r="1519" spans="2:6" x14ac:dyDescent="0.3">
      <c r="B1519" s="12">
        <v>1516</v>
      </c>
      <c r="C1519" s="28">
        <v>172.66417040905867</v>
      </c>
      <c r="E1519" s="14" t="s">
        <v>1387</v>
      </c>
      <c r="F1519" s="11">
        <v>162</v>
      </c>
    </row>
    <row r="1520" spans="2:6" x14ac:dyDescent="0.3">
      <c r="B1520" s="12">
        <v>1517</v>
      </c>
      <c r="C1520" s="28">
        <v>153.67194460735715</v>
      </c>
      <c r="E1520" s="14" t="s">
        <v>855</v>
      </c>
      <c r="F1520" s="11">
        <v>161</v>
      </c>
    </row>
    <row r="1521" spans="2:6" x14ac:dyDescent="0.3">
      <c r="B1521" s="12">
        <v>1518</v>
      </c>
      <c r="C1521" s="28">
        <v>157.60272916623893</v>
      </c>
      <c r="E1521" s="14" t="s">
        <v>195</v>
      </c>
      <c r="F1521" s="11">
        <v>180</v>
      </c>
    </row>
    <row r="1522" spans="2:6" x14ac:dyDescent="0.3">
      <c r="B1522" s="12">
        <v>1519</v>
      </c>
      <c r="C1522" s="28">
        <v>152.865933741438</v>
      </c>
      <c r="E1522" s="14" t="s">
        <v>4375</v>
      </c>
      <c r="F1522" s="11">
        <v>175</v>
      </c>
    </row>
    <row r="1523" spans="2:6" x14ac:dyDescent="0.3">
      <c r="B1523" s="12">
        <v>1520</v>
      </c>
      <c r="C1523" s="28">
        <v>168.26729297759539</v>
      </c>
      <c r="E1523" s="14" t="s">
        <v>595</v>
      </c>
      <c r="F1523" s="11">
        <v>160</v>
      </c>
    </row>
    <row r="1524" spans="2:6" x14ac:dyDescent="0.3">
      <c r="B1524" s="12">
        <v>1521</v>
      </c>
      <c r="C1524" s="28">
        <v>167.44713328602811</v>
      </c>
      <c r="E1524" s="14" t="s">
        <v>24</v>
      </c>
      <c r="F1524" s="11">
        <v>163</v>
      </c>
    </row>
    <row r="1525" spans="2:6" x14ac:dyDescent="0.3">
      <c r="B1525" s="12">
        <v>1522</v>
      </c>
      <c r="C1525" s="28">
        <v>161.64958803822356</v>
      </c>
      <c r="E1525" s="14" t="s">
        <v>349</v>
      </c>
      <c r="F1525" s="11">
        <v>180</v>
      </c>
    </row>
    <row r="1526" spans="2:6" x14ac:dyDescent="0.3">
      <c r="B1526" s="12">
        <v>1523</v>
      </c>
      <c r="C1526" s="28">
        <v>157.88068824431431</v>
      </c>
      <c r="E1526" s="14" t="s">
        <v>1193</v>
      </c>
      <c r="F1526" s="11">
        <v>169</v>
      </c>
    </row>
    <row r="1527" spans="2:6" x14ac:dyDescent="0.3">
      <c r="B1527" s="12">
        <v>1524</v>
      </c>
      <c r="C1527" s="28">
        <v>170.25929141144201</v>
      </c>
      <c r="E1527" s="14" t="s">
        <v>1276</v>
      </c>
      <c r="F1527" s="11">
        <v>168</v>
      </c>
    </row>
    <row r="1528" spans="2:6" x14ac:dyDescent="0.3">
      <c r="B1528" s="12">
        <v>1525</v>
      </c>
      <c r="C1528" s="28">
        <v>159.30366760774308</v>
      </c>
      <c r="E1528" s="14" t="s">
        <v>1910</v>
      </c>
      <c r="F1528" s="11">
        <v>165</v>
      </c>
    </row>
    <row r="1529" spans="2:6" x14ac:dyDescent="0.3">
      <c r="B1529" s="12">
        <v>1526</v>
      </c>
      <c r="C1529" s="28">
        <v>148.83524850620762</v>
      </c>
      <c r="E1529" s="14" t="s">
        <v>2765</v>
      </c>
      <c r="F1529" s="11">
        <v>173</v>
      </c>
    </row>
    <row r="1530" spans="2:6" x14ac:dyDescent="0.3">
      <c r="B1530" s="12">
        <v>1527</v>
      </c>
      <c r="C1530" s="28">
        <v>169.86242607178414</v>
      </c>
      <c r="E1530" s="14" t="s">
        <v>4267</v>
      </c>
      <c r="F1530" s="11">
        <v>165</v>
      </c>
    </row>
    <row r="1531" spans="2:6" x14ac:dyDescent="0.3">
      <c r="B1531" s="12">
        <v>1528</v>
      </c>
      <c r="C1531" s="28">
        <v>165.5553274463725</v>
      </c>
      <c r="E1531" s="14" t="s">
        <v>364</v>
      </c>
      <c r="F1531" s="11">
        <v>183</v>
      </c>
    </row>
    <row r="1532" spans="2:6" x14ac:dyDescent="0.3">
      <c r="B1532" s="12">
        <v>1529</v>
      </c>
      <c r="C1532" s="28">
        <v>161.73728663890628</v>
      </c>
      <c r="E1532" s="14" t="s">
        <v>1724</v>
      </c>
      <c r="F1532" s="11">
        <v>179</v>
      </c>
    </row>
    <row r="1533" spans="2:6" x14ac:dyDescent="0.3">
      <c r="B1533" s="12">
        <v>1530</v>
      </c>
      <c r="C1533" s="28">
        <v>160.57038312576952</v>
      </c>
      <c r="E1533" s="14" t="s">
        <v>2262</v>
      </c>
      <c r="F1533" s="11">
        <v>164</v>
      </c>
    </row>
    <row r="1534" spans="2:6" x14ac:dyDescent="0.3">
      <c r="B1534" s="12">
        <v>1531</v>
      </c>
      <c r="C1534" s="28">
        <v>161.20393493403321</v>
      </c>
      <c r="E1534" s="14" t="s">
        <v>3195</v>
      </c>
      <c r="F1534" s="11">
        <v>170</v>
      </c>
    </row>
    <row r="1535" spans="2:6" x14ac:dyDescent="0.3">
      <c r="B1535" s="12">
        <v>1532</v>
      </c>
      <c r="C1535" s="28">
        <v>167.84584946960427</v>
      </c>
      <c r="E1535" s="14" t="s">
        <v>2277</v>
      </c>
      <c r="F1535" s="11">
        <v>170</v>
      </c>
    </row>
    <row r="1536" spans="2:6" x14ac:dyDescent="0.3">
      <c r="B1536" s="12">
        <v>1533</v>
      </c>
      <c r="C1536" s="28">
        <v>163.98666407281323</v>
      </c>
      <c r="E1536" s="14" t="s">
        <v>4138</v>
      </c>
      <c r="F1536" s="11">
        <v>183</v>
      </c>
    </row>
    <row r="1537" spans="2:6" x14ac:dyDescent="0.3">
      <c r="B1537" s="12">
        <v>1534</v>
      </c>
      <c r="C1537" s="28">
        <v>170.43313976905549</v>
      </c>
      <c r="E1537" s="14" t="s">
        <v>1014</v>
      </c>
      <c r="F1537" s="11">
        <v>168</v>
      </c>
    </row>
    <row r="1538" spans="2:6" x14ac:dyDescent="0.3">
      <c r="B1538" s="12">
        <v>1535</v>
      </c>
      <c r="C1538" s="28">
        <v>165.19840003235726</v>
      </c>
      <c r="E1538" s="14" t="s">
        <v>4315</v>
      </c>
      <c r="F1538" s="11">
        <v>176</v>
      </c>
    </row>
    <row r="1539" spans="2:6" x14ac:dyDescent="0.3">
      <c r="B1539" s="12">
        <v>1536</v>
      </c>
      <c r="C1539" s="28">
        <v>158.29603069830719</v>
      </c>
      <c r="E1539" s="14" t="s">
        <v>816</v>
      </c>
      <c r="F1539" s="11">
        <v>170</v>
      </c>
    </row>
    <row r="1540" spans="2:6" x14ac:dyDescent="0.3">
      <c r="B1540" s="12">
        <v>1537</v>
      </c>
      <c r="C1540" s="28">
        <v>173.67364992613903</v>
      </c>
      <c r="E1540" s="14" t="s">
        <v>279</v>
      </c>
      <c r="F1540" s="11">
        <v>179</v>
      </c>
    </row>
    <row r="1541" spans="2:6" x14ac:dyDescent="0.3">
      <c r="B1541" s="12">
        <v>1538</v>
      </c>
      <c r="C1541" s="28">
        <v>156.24044675231744</v>
      </c>
      <c r="E1541" s="14" t="s">
        <v>936</v>
      </c>
      <c r="F1541" s="11">
        <v>175</v>
      </c>
    </row>
    <row r="1542" spans="2:6" x14ac:dyDescent="0.3">
      <c r="B1542" s="12">
        <v>1539</v>
      </c>
      <c r="C1542" s="28">
        <v>160.42264721416092</v>
      </c>
      <c r="E1542" s="14" t="s">
        <v>476</v>
      </c>
      <c r="F1542" s="11">
        <v>167</v>
      </c>
    </row>
    <row r="1543" spans="2:6" x14ac:dyDescent="0.3">
      <c r="B1543" s="12">
        <v>1540</v>
      </c>
      <c r="C1543" s="28">
        <v>158.0282388603903</v>
      </c>
      <c r="E1543" s="14" t="s">
        <v>3990</v>
      </c>
      <c r="F1543" s="11">
        <v>172</v>
      </c>
    </row>
    <row r="1544" spans="2:6" x14ac:dyDescent="0.3">
      <c r="B1544" s="12">
        <v>1541</v>
      </c>
      <c r="C1544" s="28">
        <v>166.53336153920006</v>
      </c>
      <c r="E1544" s="14" t="s">
        <v>3268</v>
      </c>
      <c r="F1544" s="11">
        <v>162</v>
      </c>
    </row>
    <row r="1545" spans="2:6" x14ac:dyDescent="0.3">
      <c r="B1545" s="12">
        <v>1542</v>
      </c>
      <c r="C1545" s="28">
        <v>163.98907287446269</v>
      </c>
      <c r="E1545" s="14" t="s">
        <v>2113</v>
      </c>
      <c r="F1545" s="11">
        <v>172</v>
      </c>
    </row>
    <row r="1546" spans="2:6" x14ac:dyDescent="0.3">
      <c r="B1546" s="12">
        <v>1543</v>
      </c>
      <c r="C1546" s="28">
        <v>165.3420832196858</v>
      </c>
      <c r="E1546" s="14" t="s">
        <v>2895</v>
      </c>
      <c r="F1546" s="11">
        <v>179</v>
      </c>
    </row>
    <row r="1547" spans="2:6" x14ac:dyDescent="0.3">
      <c r="B1547" s="12">
        <v>1544</v>
      </c>
      <c r="C1547" s="28">
        <v>157.01142891393246</v>
      </c>
      <c r="E1547" s="14" t="s">
        <v>3154</v>
      </c>
      <c r="F1547" s="11">
        <v>160</v>
      </c>
    </row>
    <row r="1548" spans="2:6" x14ac:dyDescent="0.3">
      <c r="B1548" s="12">
        <v>1545</v>
      </c>
      <c r="C1548" s="28">
        <v>164.22571993940841</v>
      </c>
      <c r="E1548" s="14" t="s">
        <v>3465</v>
      </c>
      <c r="F1548" s="11">
        <v>173</v>
      </c>
    </row>
    <row r="1549" spans="2:6" x14ac:dyDescent="0.3">
      <c r="B1549" s="12">
        <v>1546</v>
      </c>
      <c r="C1549" s="28">
        <v>168.22536162983525</v>
      </c>
      <c r="E1549" s="14" t="s">
        <v>4440</v>
      </c>
      <c r="F1549" s="11">
        <v>170</v>
      </c>
    </row>
    <row r="1550" spans="2:6" x14ac:dyDescent="0.3">
      <c r="B1550" s="12">
        <v>1547</v>
      </c>
      <c r="C1550" s="28">
        <v>161.83592234306727</v>
      </c>
      <c r="E1550" s="14" t="s">
        <v>229</v>
      </c>
      <c r="F1550" s="11">
        <v>164</v>
      </c>
    </row>
    <row r="1551" spans="2:6" x14ac:dyDescent="0.3">
      <c r="B1551" s="12">
        <v>1548</v>
      </c>
      <c r="C1551" s="28">
        <v>157.02194360401708</v>
      </c>
      <c r="E1551" s="14" t="s">
        <v>3395</v>
      </c>
      <c r="F1551" s="11">
        <v>170</v>
      </c>
    </row>
    <row r="1552" spans="2:6" x14ac:dyDescent="0.3">
      <c r="B1552" s="12">
        <v>1549</v>
      </c>
      <c r="C1552" s="28">
        <v>161.42434694937745</v>
      </c>
      <c r="E1552" s="14" t="s">
        <v>2202</v>
      </c>
      <c r="F1552" s="11">
        <v>167</v>
      </c>
    </row>
    <row r="1553" spans="2:6" x14ac:dyDescent="0.3">
      <c r="B1553" s="12">
        <v>1550</v>
      </c>
      <c r="C1553" s="28">
        <v>162.18684424551341</v>
      </c>
      <c r="E1553" s="14" t="s">
        <v>2910</v>
      </c>
      <c r="F1553" s="11">
        <v>168</v>
      </c>
    </row>
    <row r="1554" spans="2:6" x14ac:dyDescent="0.3">
      <c r="B1554" s="12">
        <v>1551</v>
      </c>
      <c r="C1554" s="28">
        <v>161.43313843464406</v>
      </c>
      <c r="E1554" s="14" t="s">
        <v>2287</v>
      </c>
      <c r="F1554" s="11">
        <v>163</v>
      </c>
    </row>
    <row r="1555" spans="2:6" x14ac:dyDescent="0.3">
      <c r="B1555" s="12">
        <v>1552</v>
      </c>
      <c r="C1555" s="28">
        <v>168.03604194687364</v>
      </c>
      <c r="E1555" s="14" t="s">
        <v>377</v>
      </c>
      <c r="F1555" s="11">
        <v>178</v>
      </c>
    </row>
    <row r="1556" spans="2:6" x14ac:dyDescent="0.3">
      <c r="B1556" s="12">
        <v>1553</v>
      </c>
      <c r="C1556" s="28">
        <v>158.46933667004254</v>
      </c>
      <c r="E1556" s="14" t="s">
        <v>821</v>
      </c>
      <c r="F1556" s="11">
        <v>170</v>
      </c>
    </row>
    <row r="1557" spans="2:6" x14ac:dyDescent="0.3">
      <c r="B1557" s="12">
        <v>1554</v>
      </c>
      <c r="C1557" s="28">
        <v>174.94064214142136</v>
      </c>
      <c r="E1557" s="14" t="s">
        <v>669</v>
      </c>
      <c r="F1557" s="11">
        <v>165</v>
      </c>
    </row>
    <row r="1558" spans="2:6" x14ac:dyDescent="0.3">
      <c r="B1558" s="12">
        <v>1555</v>
      </c>
      <c r="C1558" s="28">
        <v>165.73085219024634</v>
      </c>
      <c r="E1558" s="14" t="s">
        <v>3158</v>
      </c>
      <c r="F1558" s="11">
        <v>169</v>
      </c>
    </row>
    <row r="1559" spans="2:6" x14ac:dyDescent="0.3">
      <c r="B1559" s="12">
        <v>1556</v>
      </c>
      <c r="C1559" s="28">
        <v>151.68397692157635</v>
      </c>
      <c r="E1559" s="14" t="s">
        <v>822</v>
      </c>
      <c r="F1559" s="11">
        <v>160</v>
      </c>
    </row>
    <row r="1560" spans="2:6" x14ac:dyDescent="0.3">
      <c r="B1560" s="12">
        <v>1557</v>
      </c>
      <c r="C1560" s="28">
        <v>154.98727084578169</v>
      </c>
      <c r="E1560" s="14" t="s">
        <v>3793</v>
      </c>
      <c r="F1560" s="11">
        <v>168</v>
      </c>
    </row>
    <row r="1561" spans="2:6" x14ac:dyDescent="0.3">
      <c r="B1561" s="12">
        <v>1558</v>
      </c>
      <c r="C1561" s="28">
        <v>150.13748869167986</v>
      </c>
      <c r="E1561" s="14" t="s">
        <v>2507</v>
      </c>
      <c r="F1561" s="11">
        <v>170</v>
      </c>
    </row>
    <row r="1562" spans="2:6" x14ac:dyDescent="0.3">
      <c r="B1562" s="12">
        <v>1559</v>
      </c>
      <c r="C1562" s="28">
        <v>156.63418855691506</v>
      </c>
      <c r="E1562" s="14" t="s">
        <v>4609</v>
      </c>
      <c r="F1562" s="11">
        <v>172</v>
      </c>
    </row>
    <row r="1563" spans="2:6" x14ac:dyDescent="0.3">
      <c r="B1563" s="12">
        <v>1560</v>
      </c>
      <c r="C1563" s="28">
        <v>158.40595611167413</v>
      </c>
      <c r="E1563" s="14" t="s">
        <v>489</v>
      </c>
      <c r="F1563" s="11">
        <v>161</v>
      </c>
    </row>
    <row r="1564" spans="2:6" x14ac:dyDescent="0.3">
      <c r="B1564" s="12">
        <v>1561</v>
      </c>
      <c r="C1564" s="28">
        <v>167.7282579247599</v>
      </c>
      <c r="E1564" s="14" t="s">
        <v>548</v>
      </c>
      <c r="F1564" s="11">
        <v>160</v>
      </c>
    </row>
    <row r="1565" spans="2:6" x14ac:dyDescent="0.3">
      <c r="B1565" s="12">
        <v>1562</v>
      </c>
      <c r="C1565" s="28">
        <v>163.22253738381994</v>
      </c>
      <c r="E1565" s="14" t="s">
        <v>3276</v>
      </c>
      <c r="F1565" s="11">
        <v>167</v>
      </c>
    </row>
    <row r="1566" spans="2:6" x14ac:dyDescent="0.3">
      <c r="B1566" s="12">
        <v>1563</v>
      </c>
      <c r="C1566" s="28">
        <v>156.34047127757506</v>
      </c>
      <c r="E1566" s="14" t="s">
        <v>3310</v>
      </c>
      <c r="F1566" s="11">
        <v>162</v>
      </c>
    </row>
    <row r="1567" spans="2:6" x14ac:dyDescent="0.3">
      <c r="B1567" s="12">
        <v>1564</v>
      </c>
      <c r="C1567" s="28">
        <v>156.53311145307322</v>
      </c>
      <c r="E1567" s="14" t="s">
        <v>176</v>
      </c>
      <c r="F1567" s="11">
        <v>176</v>
      </c>
    </row>
    <row r="1568" spans="2:6" x14ac:dyDescent="0.3">
      <c r="B1568" s="12">
        <v>1565</v>
      </c>
      <c r="C1568" s="28">
        <v>165.74876054401759</v>
      </c>
      <c r="E1568" s="14" t="s">
        <v>2792</v>
      </c>
      <c r="F1568" s="11">
        <v>166</v>
      </c>
    </row>
    <row r="1569" spans="2:6" x14ac:dyDescent="0.3">
      <c r="B1569" s="12">
        <v>1566</v>
      </c>
      <c r="C1569" s="28">
        <v>164.30905180221706</v>
      </c>
      <c r="E1569" s="14" t="s">
        <v>834</v>
      </c>
      <c r="F1569" s="11">
        <v>173</v>
      </c>
    </row>
    <row r="1570" spans="2:6" x14ac:dyDescent="0.3">
      <c r="B1570" s="12">
        <v>1567</v>
      </c>
      <c r="C1570" s="28">
        <v>163.08167665357985</v>
      </c>
      <c r="E1570" s="14" t="s">
        <v>1156</v>
      </c>
      <c r="F1570" s="11">
        <v>171</v>
      </c>
    </row>
    <row r="1571" spans="2:6" x14ac:dyDescent="0.3">
      <c r="B1571" s="12">
        <v>1568</v>
      </c>
      <c r="C1571" s="28">
        <v>156.30885707278253</v>
      </c>
      <c r="E1571" s="14" t="s">
        <v>1470</v>
      </c>
      <c r="F1571" s="11">
        <v>180</v>
      </c>
    </row>
    <row r="1572" spans="2:6" x14ac:dyDescent="0.3">
      <c r="B1572" s="12">
        <v>1569</v>
      </c>
      <c r="C1572" s="28">
        <v>159.44803618679833</v>
      </c>
      <c r="E1572" s="14" t="s">
        <v>2869</v>
      </c>
      <c r="F1572" s="11">
        <v>178</v>
      </c>
    </row>
    <row r="1573" spans="2:6" x14ac:dyDescent="0.3">
      <c r="B1573" s="12">
        <v>1570</v>
      </c>
      <c r="C1573" s="28">
        <v>152.71693321038683</v>
      </c>
      <c r="E1573" s="14" t="s">
        <v>3912</v>
      </c>
      <c r="F1573" s="11">
        <v>175</v>
      </c>
    </row>
    <row r="1574" spans="2:6" x14ac:dyDescent="0.3">
      <c r="B1574" s="12">
        <v>1571</v>
      </c>
      <c r="C1574" s="28">
        <v>169.64916321264064</v>
      </c>
      <c r="E1574" s="14" t="s">
        <v>4115</v>
      </c>
      <c r="F1574" s="11">
        <v>160</v>
      </c>
    </row>
    <row r="1575" spans="2:6" x14ac:dyDescent="0.3">
      <c r="B1575" s="12">
        <v>1572</v>
      </c>
      <c r="C1575" s="28">
        <v>162.83789254600146</v>
      </c>
      <c r="E1575" s="14" t="s">
        <v>4287</v>
      </c>
      <c r="F1575" s="11">
        <v>156</v>
      </c>
    </row>
    <row r="1576" spans="2:6" x14ac:dyDescent="0.3">
      <c r="B1576" s="12">
        <v>1573</v>
      </c>
      <c r="C1576" s="28">
        <v>152.73743625099584</v>
      </c>
      <c r="E1576" s="14" t="s">
        <v>264</v>
      </c>
      <c r="F1576" s="11">
        <v>156</v>
      </c>
    </row>
    <row r="1577" spans="2:6" x14ac:dyDescent="0.3">
      <c r="B1577" s="12">
        <v>1574</v>
      </c>
      <c r="C1577" s="28">
        <v>163.94980230472359</v>
      </c>
      <c r="E1577" s="14" t="s">
        <v>3551</v>
      </c>
      <c r="F1577" s="11">
        <v>178</v>
      </c>
    </row>
    <row r="1578" spans="2:6" x14ac:dyDescent="0.3">
      <c r="B1578" s="12">
        <v>1575</v>
      </c>
      <c r="C1578" s="28">
        <v>164.47862894092216</v>
      </c>
      <c r="E1578" s="14" t="s">
        <v>1938</v>
      </c>
      <c r="F1578" s="11">
        <v>165</v>
      </c>
    </row>
    <row r="1579" spans="2:6" x14ac:dyDescent="0.3">
      <c r="B1579" s="12">
        <v>1576</v>
      </c>
      <c r="C1579" s="28">
        <v>161.49091579466139</v>
      </c>
      <c r="E1579" s="14" t="s">
        <v>240</v>
      </c>
      <c r="F1579" s="11">
        <v>168</v>
      </c>
    </row>
    <row r="1580" spans="2:6" x14ac:dyDescent="0.3">
      <c r="B1580" s="12">
        <v>1577</v>
      </c>
      <c r="C1580" s="28">
        <v>157.35731004261231</v>
      </c>
      <c r="E1580" s="14" t="s">
        <v>827</v>
      </c>
      <c r="F1580" s="11">
        <v>168</v>
      </c>
    </row>
    <row r="1581" spans="2:6" x14ac:dyDescent="0.3">
      <c r="B1581" s="12">
        <v>1578</v>
      </c>
      <c r="C1581" s="28">
        <v>157.87004791054068</v>
      </c>
      <c r="E1581" s="14" t="s">
        <v>1715</v>
      </c>
      <c r="F1581" s="11">
        <v>174</v>
      </c>
    </row>
    <row r="1582" spans="2:6" x14ac:dyDescent="0.3">
      <c r="B1582" s="12">
        <v>1579</v>
      </c>
      <c r="C1582" s="28">
        <v>164.85564966646874</v>
      </c>
      <c r="E1582" s="14" t="s">
        <v>3067</v>
      </c>
      <c r="F1582" s="11">
        <v>172</v>
      </c>
    </row>
    <row r="1583" spans="2:6" x14ac:dyDescent="0.3">
      <c r="B1583" s="12">
        <v>1580</v>
      </c>
      <c r="C1583" s="28">
        <v>159.87612778955221</v>
      </c>
      <c r="E1583" s="14" t="s">
        <v>1442</v>
      </c>
      <c r="F1583" s="11">
        <v>166</v>
      </c>
    </row>
    <row r="1584" spans="2:6" x14ac:dyDescent="0.3">
      <c r="B1584" s="12">
        <v>1581</v>
      </c>
      <c r="C1584" s="28">
        <v>148.61580800446845</v>
      </c>
      <c r="E1584" s="14" t="s">
        <v>3879</v>
      </c>
      <c r="F1584" s="11">
        <v>158</v>
      </c>
    </row>
    <row r="1585" spans="2:6" x14ac:dyDescent="0.3">
      <c r="B1585" s="12">
        <v>1582</v>
      </c>
      <c r="C1585" s="28">
        <v>166.84478393198322</v>
      </c>
      <c r="E1585" s="14" t="s">
        <v>1453</v>
      </c>
      <c r="F1585" s="11">
        <v>165</v>
      </c>
    </row>
    <row r="1586" spans="2:6" x14ac:dyDescent="0.3">
      <c r="B1586" s="12">
        <v>1583</v>
      </c>
      <c r="C1586" s="28">
        <v>158.33502330359869</v>
      </c>
      <c r="E1586" s="14" t="s">
        <v>1454</v>
      </c>
      <c r="F1586" s="11">
        <v>175</v>
      </c>
    </row>
    <row r="1587" spans="2:6" x14ac:dyDescent="0.3">
      <c r="B1587" s="12">
        <v>1584</v>
      </c>
      <c r="C1587" s="28">
        <v>152.15498853336604</v>
      </c>
      <c r="E1587" s="14" t="s">
        <v>1455</v>
      </c>
      <c r="F1587" s="11">
        <v>186</v>
      </c>
    </row>
    <row r="1588" spans="2:6" x14ac:dyDescent="0.3">
      <c r="B1588" s="12">
        <v>1585</v>
      </c>
      <c r="C1588" s="28">
        <v>164.29744364028559</v>
      </c>
      <c r="E1588" s="14" t="s">
        <v>4959</v>
      </c>
      <c r="F1588" s="11">
        <v>165</v>
      </c>
    </row>
    <row r="1589" spans="2:6" x14ac:dyDescent="0.3">
      <c r="B1589" s="12">
        <v>1586</v>
      </c>
      <c r="C1589" s="28">
        <v>164.72910056876938</v>
      </c>
      <c r="E1589" s="14" t="s">
        <v>2305</v>
      </c>
      <c r="F1589" s="11">
        <v>183</v>
      </c>
    </row>
    <row r="1590" spans="2:6" x14ac:dyDescent="0.3">
      <c r="B1590" s="12">
        <v>1587</v>
      </c>
      <c r="C1590" s="28">
        <v>154.09546683283043</v>
      </c>
      <c r="E1590" s="14" t="s">
        <v>2508</v>
      </c>
      <c r="F1590" s="11">
        <v>191</v>
      </c>
    </row>
    <row r="1591" spans="2:6" x14ac:dyDescent="0.3">
      <c r="B1591" s="12">
        <v>1588</v>
      </c>
      <c r="C1591" s="28">
        <v>162.02125972122897</v>
      </c>
      <c r="E1591" s="14" t="s">
        <v>3482</v>
      </c>
      <c r="F1591" s="11">
        <v>183</v>
      </c>
    </row>
    <row r="1592" spans="2:6" x14ac:dyDescent="0.3">
      <c r="B1592" s="12">
        <v>1589</v>
      </c>
      <c r="C1592" s="28">
        <v>172.91818981956752</v>
      </c>
      <c r="E1592" s="14" t="s">
        <v>3587</v>
      </c>
      <c r="F1592" s="11">
        <v>169</v>
      </c>
    </row>
    <row r="1593" spans="2:6" x14ac:dyDescent="0.3">
      <c r="B1593" s="12">
        <v>1590</v>
      </c>
      <c r="C1593" s="28">
        <v>159.30391440239251</v>
      </c>
      <c r="E1593" s="14" t="s">
        <v>4130</v>
      </c>
      <c r="F1593" s="11">
        <v>175</v>
      </c>
    </row>
    <row r="1594" spans="2:6" x14ac:dyDescent="0.3">
      <c r="B1594" s="12">
        <v>1591</v>
      </c>
      <c r="C1594" s="28">
        <v>154.75150828452598</v>
      </c>
      <c r="E1594" s="14" t="s">
        <v>4661</v>
      </c>
      <c r="F1594" s="11">
        <v>162</v>
      </c>
    </row>
    <row r="1595" spans="2:6" x14ac:dyDescent="0.3">
      <c r="B1595" s="12">
        <v>1592</v>
      </c>
      <c r="C1595" s="28">
        <v>160.9219596430591</v>
      </c>
      <c r="E1595" s="14" t="s">
        <v>1151</v>
      </c>
      <c r="F1595" s="11">
        <v>175</v>
      </c>
    </row>
    <row r="1596" spans="2:6" x14ac:dyDescent="0.3">
      <c r="B1596" s="12">
        <v>1593</v>
      </c>
      <c r="C1596" s="28">
        <v>170.69910430414822</v>
      </c>
      <c r="E1596" s="14" t="s">
        <v>1676</v>
      </c>
      <c r="F1596" s="11">
        <v>180</v>
      </c>
    </row>
    <row r="1597" spans="2:6" x14ac:dyDescent="0.3">
      <c r="B1597" s="12">
        <v>1594</v>
      </c>
      <c r="C1597" s="28">
        <v>148.14231916447039</v>
      </c>
      <c r="E1597" s="14" t="s">
        <v>3800</v>
      </c>
      <c r="F1597" s="11">
        <v>155</v>
      </c>
    </row>
    <row r="1598" spans="2:6" x14ac:dyDescent="0.3">
      <c r="B1598" s="12">
        <v>1595</v>
      </c>
      <c r="C1598" s="28">
        <v>172.75655310189265</v>
      </c>
      <c r="E1598" s="14" t="s">
        <v>4868</v>
      </c>
      <c r="F1598" s="11">
        <v>171</v>
      </c>
    </row>
    <row r="1599" spans="2:6" x14ac:dyDescent="0.3">
      <c r="B1599" s="12">
        <v>1596</v>
      </c>
      <c r="C1599" s="28">
        <v>152.43521388232267</v>
      </c>
      <c r="E1599" s="14" t="s">
        <v>222</v>
      </c>
      <c r="F1599" s="11">
        <v>167</v>
      </c>
    </row>
    <row r="1600" spans="2:6" x14ac:dyDescent="0.3">
      <c r="B1600" s="12">
        <v>1597</v>
      </c>
      <c r="C1600" s="28">
        <v>162.84751815294322</v>
      </c>
      <c r="E1600" s="14" t="s">
        <v>3434</v>
      </c>
      <c r="F1600" s="11">
        <v>163</v>
      </c>
    </row>
    <row r="1601" spans="2:6" x14ac:dyDescent="0.3">
      <c r="B1601" s="12">
        <v>1598</v>
      </c>
      <c r="C1601" s="28">
        <v>176.39128223502613</v>
      </c>
      <c r="E1601" s="14" t="s">
        <v>2707</v>
      </c>
      <c r="F1601" s="11">
        <v>172</v>
      </c>
    </row>
    <row r="1602" spans="2:6" x14ac:dyDescent="0.3">
      <c r="B1602" s="12">
        <v>1599</v>
      </c>
      <c r="C1602" s="28">
        <v>166.93015704593819</v>
      </c>
      <c r="E1602" s="14" t="s">
        <v>2032</v>
      </c>
      <c r="F1602" s="11">
        <v>155</v>
      </c>
    </row>
    <row r="1603" spans="2:6" x14ac:dyDescent="0.3">
      <c r="B1603" s="12">
        <v>1600</v>
      </c>
      <c r="C1603" s="28">
        <v>168.6016168655938</v>
      </c>
      <c r="E1603" s="14" t="s">
        <v>3743</v>
      </c>
      <c r="F1603" s="11">
        <v>172</v>
      </c>
    </row>
    <row r="1604" spans="2:6" x14ac:dyDescent="0.3">
      <c r="B1604" s="12">
        <v>1601</v>
      </c>
      <c r="C1604" s="28">
        <v>164.49640982251222</v>
      </c>
      <c r="E1604" s="14" t="s">
        <v>1514</v>
      </c>
      <c r="F1604" s="11">
        <v>174</v>
      </c>
    </row>
    <row r="1605" spans="2:6" x14ac:dyDescent="0.3">
      <c r="B1605" s="12">
        <v>1602</v>
      </c>
      <c r="C1605" s="28">
        <v>159.59053530807284</v>
      </c>
      <c r="E1605" s="14" t="s">
        <v>1515</v>
      </c>
      <c r="F1605" s="11">
        <v>165</v>
      </c>
    </row>
    <row r="1606" spans="2:6" x14ac:dyDescent="0.3">
      <c r="B1606" s="12">
        <v>1603</v>
      </c>
      <c r="C1606" s="28">
        <v>144.65151444986927</v>
      </c>
      <c r="E1606" s="14" t="s">
        <v>2480</v>
      </c>
      <c r="F1606" s="11">
        <v>165</v>
      </c>
    </row>
    <row r="1607" spans="2:6" x14ac:dyDescent="0.3">
      <c r="B1607" s="12">
        <v>1604</v>
      </c>
      <c r="C1607" s="28">
        <v>156.8530253247215</v>
      </c>
      <c r="E1607" s="14" t="s">
        <v>4419</v>
      </c>
      <c r="F1607" s="11">
        <v>163</v>
      </c>
    </row>
    <row r="1608" spans="2:6" x14ac:dyDescent="0.3">
      <c r="B1608" s="12">
        <v>1605</v>
      </c>
      <c r="C1608" s="28">
        <v>172.06696966662508</v>
      </c>
      <c r="E1608" s="14" t="s">
        <v>4132</v>
      </c>
      <c r="F1608" s="11">
        <v>168</v>
      </c>
    </row>
    <row r="1609" spans="2:6" x14ac:dyDescent="0.3">
      <c r="B1609" s="12">
        <v>1606</v>
      </c>
      <c r="C1609" s="28">
        <v>165.75391060574566</v>
      </c>
      <c r="E1609" s="14" t="s">
        <v>3815</v>
      </c>
      <c r="F1609" s="11">
        <v>169</v>
      </c>
    </row>
    <row r="1610" spans="2:6" x14ac:dyDescent="0.3">
      <c r="B1610" s="12">
        <v>1607</v>
      </c>
      <c r="C1610" s="28">
        <v>160.12663427177066</v>
      </c>
      <c r="E1610" s="14" t="s">
        <v>2419</v>
      </c>
      <c r="F1610" s="11">
        <v>168</v>
      </c>
    </row>
    <row r="1611" spans="2:6" x14ac:dyDescent="0.3">
      <c r="B1611" s="12">
        <v>1608</v>
      </c>
      <c r="C1611" s="28">
        <v>161.10825949928517</v>
      </c>
      <c r="E1611" s="14" t="s">
        <v>1519</v>
      </c>
      <c r="F1611" s="11">
        <v>164</v>
      </c>
    </row>
    <row r="1612" spans="2:6" x14ac:dyDescent="0.3">
      <c r="B1612" s="12">
        <v>1609</v>
      </c>
      <c r="C1612" s="28">
        <v>152.25298407827427</v>
      </c>
      <c r="E1612" s="14" t="s">
        <v>2680</v>
      </c>
      <c r="F1612" s="11">
        <v>168</v>
      </c>
    </row>
    <row r="1613" spans="2:6" x14ac:dyDescent="0.3">
      <c r="B1613" s="12">
        <v>1610</v>
      </c>
      <c r="C1613" s="28">
        <v>171.26326842255867</v>
      </c>
      <c r="E1613" s="14" t="s">
        <v>4899</v>
      </c>
      <c r="F1613" s="11">
        <v>170</v>
      </c>
    </row>
    <row r="1614" spans="2:6" x14ac:dyDescent="0.3">
      <c r="B1614" s="12">
        <v>1611</v>
      </c>
      <c r="C1614" s="28">
        <v>161.42056401941957</v>
      </c>
      <c r="E1614" s="14" t="s">
        <v>912</v>
      </c>
      <c r="F1614" s="11">
        <v>173</v>
      </c>
    </row>
    <row r="1615" spans="2:6" x14ac:dyDescent="0.3">
      <c r="B1615" s="12">
        <v>1612</v>
      </c>
      <c r="C1615" s="28">
        <v>161.53172348394855</v>
      </c>
      <c r="E1615" s="14" t="s">
        <v>2304</v>
      </c>
      <c r="F1615" s="11">
        <v>178</v>
      </c>
    </row>
    <row r="1616" spans="2:6" x14ac:dyDescent="0.3">
      <c r="B1616" s="12">
        <v>1613</v>
      </c>
      <c r="C1616" s="28">
        <v>162.43659813778186</v>
      </c>
      <c r="E1616" s="14" t="s">
        <v>1538</v>
      </c>
      <c r="F1616" s="11">
        <v>167</v>
      </c>
    </row>
    <row r="1617" spans="2:6" x14ac:dyDescent="0.3">
      <c r="B1617" s="12">
        <v>1614</v>
      </c>
      <c r="C1617" s="28">
        <v>159.11160831904152</v>
      </c>
      <c r="E1617" s="14" t="s">
        <v>1539</v>
      </c>
      <c r="F1617" s="11">
        <v>168</v>
      </c>
    </row>
    <row r="1618" spans="2:6" x14ac:dyDescent="0.3">
      <c r="B1618" s="12">
        <v>1615</v>
      </c>
      <c r="C1618" s="28">
        <v>148.89475080108289</v>
      </c>
      <c r="E1618" s="14" t="s">
        <v>1152</v>
      </c>
      <c r="F1618" s="11">
        <v>162</v>
      </c>
    </row>
    <row r="1619" spans="2:6" x14ac:dyDescent="0.3">
      <c r="B1619" s="12">
        <v>1616</v>
      </c>
      <c r="C1619" s="28">
        <v>157.60427109421374</v>
      </c>
      <c r="E1619" s="14" t="s">
        <v>408</v>
      </c>
      <c r="F1619" s="11">
        <v>175</v>
      </c>
    </row>
    <row r="1620" spans="2:6" x14ac:dyDescent="0.3">
      <c r="B1620" s="12">
        <v>1617</v>
      </c>
      <c r="C1620" s="28">
        <v>165.31482641902602</v>
      </c>
      <c r="E1620" s="14" t="s">
        <v>1917</v>
      </c>
      <c r="F1620" s="11">
        <v>178</v>
      </c>
    </row>
    <row r="1621" spans="2:6" x14ac:dyDescent="0.3">
      <c r="B1621" s="12">
        <v>1618</v>
      </c>
      <c r="C1621" s="28">
        <v>163.96953318774865</v>
      </c>
      <c r="E1621" s="14" t="s">
        <v>3076</v>
      </c>
      <c r="F1621" s="11">
        <v>168</v>
      </c>
    </row>
    <row r="1622" spans="2:6" x14ac:dyDescent="0.3">
      <c r="B1622" s="12">
        <v>1619</v>
      </c>
      <c r="C1622" s="28">
        <v>157.93973249979351</v>
      </c>
      <c r="E1622" s="14" t="s">
        <v>1161</v>
      </c>
      <c r="F1622" s="11">
        <v>178</v>
      </c>
    </row>
    <row r="1623" spans="2:6" x14ac:dyDescent="0.3">
      <c r="B1623" s="12">
        <v>1620</v>
      </c>
      <c r="C1623" s="28">
        <v>153.4178148332164</v>
      </c>
      <c r="E1623" s="14" t="s">
        <v>1549</v>
      </c>
      <c r="F1623" s="11">
        <v>173</v>
      </c>
    </row>
    <row r="1624" spans="2:6" x14ac:dyDescent="0.3">
      <c r="B1624" s="12">
        <v>1621</v>
      </c>
      <c r="C1624" s="28">
        <v>143.96247684622762</v>
      </c>
      <c r="E1624" s="14" t="s">
        <v>4955</v>
      </c>
      <c r="F1624" s="11">
        <v>170</v>
      </c>
    </row>
    <row r="1625" spans="2:6" x14ac:dyDescent="0.3">
      <c r="B1625" s="12">
        <v>1622</v>
      </c>
      <c r="C1625" s="28">
        <v>158.61911288307905</v>
      </c>
      <c r="E1625" s="14" t="s">
        <v>2619</v>
      </c>
      <c r="F1625" s="11">
        <v>174</v>
      </c>
    </row>
    <row r="1626" spans="2:6" x14ac:dyDescent="0.3">
      <c r="B1626" s="12">
        <v>1623</v>
      </c>
      <c r="C1626" s="28">
        <v>165.51529205148637</v>
      </c>
      <c r="E1626" s="14" t="s">
        <v>1696</v>
      </c>
      <c r="F1626" s="11">
        <v>172</v>
      </c>
    </row>
    <row r="1627" spans="2:6" x14ac:dyDescent="0.3">
      <c r="B1627" s="12">
        <v>1624</v>
      </c>
      <c r="C1627" s="28">
        <v>157.27946309880079</v>
      </c>
      <c r="E1627" s="14" t="s">
        <v>1407</v>
      </c>
      <c r="F1627" s="11">
        <v>174</v>
      </c>
    </row>
    <row r="1628" spans="2:6" x14ac:dyDescent="0.3">
      <c r="B1628" s="12">
        <v>1625</v>
      </c>
      <c r="C1628" s="28">
        <v>138.72681888846287</v>
      </c>
      <c r="E1628" s="14" t="s">
        <v>99</v>
      </c>
      <c r="F1628" s="11">
        <v>171</v>
      </c>
    </row>
    <row r="1629" spans="2:6" x14ac:dyDescent="0.3">
      <c r="B1629" s="12">
        <v>1626</v>
      </c>
      <c r="C1629" s="28">
        <v>141.57893152288509</v>
      </c>
      <c r="E1629" s="14" t="s">
        <v>3049</v>
      </c>
      <c r="F1629" s="11">
        <v>176</v>
      </c>
    </row>
    <row r="1630" spans="2:6" x14ac:dyDescent="0.3">
      <c r="B1630" s="12">
        <v>1627</v>
      </c>
      <c r="C1630" s="28">
        <v>158.18277410342029</v>
      </c>
      <c r="E1630" s="14" t="s">
        <v>2751</v>
      </c>
      <c r="F1630" s="11">
        <v>165</v>
      </c>
    </row>
    <row r="1631" spans="2:6" x14ac:dyDescent="0.3">
      <c r="B1631" s="12">
        <v>1628</v>
      </c>
      <c r="C1631" s="28">
        <v>158.92981032006571</v>
      </c>
      <c r="E1631" s="14" t="s">
        <v>3753</v>
      </c>
      <c r="F1631" s="11">
        <v>170</v>
      </c>
    </row>
    <row r="1632" spans="2:6" x14ac:dyDescent="0.3">
      <c r="B1632" s="12">
        <v>1629</v>
      </c>
      <c r="C1632" s="28">
        <v>158.51662016265468</v>
      </c>
      <c r="E1632" s="14" t="s">
        <v>1951</v>
      </c>
      <c r="F1632" s="11">
        <v>163</v>
      </c>
    </row>
    <row r="1633" spans="2:6" x14ac:dyDescent="0.3">
      <c r="B1633" s="12">
        <v>1630</v>
      </c>
      <c r="C1633" s="28">
        <v>152.85047268167108</v>
      </c>
      <c r="E1633" s="14" t="s">
        <v>86</v>
      </c>
      <c r="F1633" s="11">
        <v>160</v>
      </c>
    </row>
    <row r="1634" spans="2:6" x14ac:dyDescent="0.3">
      <c r="B1634" s="12">
        <v>1631</v>
      </c>
      <c r="C1634" s="28">
        <v>156.63592886894014</v>
      </c>
      <c r="E1634" s="14" t="s">
        <v>159</v>
      </c>
      <c r="F1634" s="11">
        <v>178</v>
      </c>
    </row>
    <row r="1635" spans="2:6" x14ac:dyDescent="0.3">
      <c r="B1635" s="12">
        <v>1632</v>
      </c>
      <c r="C1635" s="28">
        <v>171.03413770916492</v>
      </c>
      <c r="E1635" s="14" t="s">
        <v>247</v>
      </c>
      <c r="F1635" s="11">
        <v>157</v>
      </c>
    </row>
    <row r="1636" spans="2:6" x14ac:dyDescent="0.3">
      <c r="B1636" s="12">
        <v>1633</v>
      </c>
      <c r="C1636" s="28">
        <v>174.70151279916993</v>
      </c>
      <c r="E1636" s="14" t="s">
        <v>1271</v>
      </c>
      <c r="F1636" s="11">
        <v>168</v>
      </c>
    </row>
    <row r="1637" spans="2:6" x14ac:dyDescent="0.3">
      <c r="B1637" s="12">
        <v>1634</v>
      </c>
      <c r="C1637" s="28">
        <v>153.77634518951291</v>
      </c>
      <c r="E1637" s="14" t="s">
        <v>3836</v>
      </c>
      <c r="F1637" s="11">
        <v>169</v>
      </c>
    </row>
    <row r="1638" spans="2:6" x14ac:dyDescent="0.3">
      <c r="B1638" s="12">
        <v>1635</v>
      </c>
      <c r="C1638" s="28">
        <v>162.06735310966101</v>
      </c>
      <c r="E1638" s="14" t="s">
        <v>3111</v>
      </c>
      <c r="F1638" s="11">
        <v>177</v>
      </c>
    </row>
    <row r="1639" spans="2:6" x14ac:dyDescent="0.3">
      <c r="B1639" s="12">
        <v>1636</v>
      </c>
      <c r="C1639" s="28">
        <v>166.97435457488587</v>
      </c>
      <c r="E1639" s="14" t="s">
        <v>1581</v>
      </c>
      <c r="F1639" s="11">
        <v>163</v>
      </c>
    </row>
    <row r="1640" spans="2:6" x14ac:dyDescent="0.3">
      <c r="B1640" s="12">
        <v>1637</v>
      </c>
      <c r="C1640" s="28">
        <v>152.95584792262423</v>
      </c>
      <c r="E1640" s="14" t="s">
        <v>2673</v>
      </c>
      <c r="F1640" s="11">
        <v>160</v>
      </c>
    </row>
    <row r="1641" spans="2:6" x14ac:dyDescent="0.3">
      <c r="B1641" s="12">
        <v>1638</v>
      </c>
      <c r="C1641" s="28">
        <v>159.75030685620271</v>
      </c>
      <c r="E1641" s="14" t="s">
        <v>3891</v>
      </c>
      <c r="F1641" s="11">
        <v>156</v>
      </c>
    </row>
    <row r="1642" spans="2:6" x14ac:dyDescent="0.3">
      <c r="B1642" s="12">
        <v>1639</v>
      </c>
      <c r="C1642" s="28">
        <v>169.37355545137515</v>
      </c>
      <c r="E1642" s="14" t="s">
        <v>1786</v>
      </c>
      <c r="F1642" s="11">
        <v>154</v>
      </c>
    </row>
    <row r="1643" spans="2:6" x14ac:dyDescent="0.3">
      <c r="B1643" s="12">
        <v>1640</v>
      </c>
      <c r="C1643" s="28">
        <v>159.33536614476017</v>
      </c>
      <c r="E1643" s="14" t="s">
        <v>2755</v>
      </c>
      <c r="F1643" s="11">
        <v>178</v>
      </c>
    </row>
    <row r="1644" spans="2:6" x14ac:dyDescent="0.3">
      <c r="B1644" s="12">
        <v>1641</v>
      </c>
      <c r="C1644" s="28">
        <v>166.24073017865294</v>
      </c>
      <c r="E1644" s="14" t="s">
        <v>2096</v>
      </c>
      <c r="F1644" s="11">
        <v>172</v>
      </c>
    </row>
    <row r="1645" spans="2:6" x14ac:dyDescent="0.3">
      <c r="B1645" s="12">
        <v>1642</v>
      </c>
      <c r="C1645" s="28">
        <v>156.73398206768755</v>
      </c>
      <c r="E1645" s="14" t="s">
        <v>457</v>
      </c>
      <c r="F1645" s="11">
        <v>173</v>
      </c>
    </row>
    <row r="1646" spans="2:6" x14ac:dyDescent="0.3">
      <c r="B1646" s="12">
        <v>1643</v>
      </c>
      <c r="C1646" s="28">
        <v>171.52838508429377</v>
      </c>
      <c r="E1646" s="14" t="s">
        <v>2107</v>
      </c>
      <c r="F1646" s="11">
        <v>165</v>
      </c>
    </row>
    <row r="1647" spans="2:6" x14ac:dyDescent="0.3">
      <c r="B1647" s="12">
        <v>1644</v>
      </c>
      <c r="C1647" s="28">
        <v>156.49544930129355</v>
      </c>
      <c r="E1647" s="14" t="s">
        <v>2122</v>
      </c>
      <c r="F1647" s="11">
        <v>179</v>
      </c>
    </row>
    <row r="1648" spans="2:6" x14ac:dyDescent="0.3">
      <c r="B1648" s="12">
        <v>1645</v>
      </c>
      <c r="C1648" s="28">
        <v>162.40741230549528</v>
      </c>
      <c r="E1648" s="14" t="s">
        <v>4050</v>
      </c>
      <c r="F1648" s="11">
        <v>167</v>
      </c>
    </row>
    <row r="1649" spans="2:6" x14ac:dyDescent="0.3">
      <c r="B1649" s="12">
        <v>1646</v>
      </c>
      <c r="C1649" s="28">
        <v>168.38690971723904</v>
      </c>
      <c r="E1649" s="14" t="s">
        <v>3418</v>
      </c>
      <c r="F1649" s="11">
        <v>182</v>
      </c>
    </row>
    <row r="1650" spans="2:6" x14ac:dyDescent="0.3">
      <c r="B1650" s="12">
        <v>1647</v>
      </c>
      <c r="C1650" s="28">
        <v>173.29253461827136</v>
      </c>
      <c r="E1650" s="14" t="s">
        <v>2198</v>
      </c>
      <c r="F1650" s="11">
        <v>171</v>
      </c>
    </row>
    <row r="1651" spans="2:6" x14ac:dyDescent="0.3">
      <c r="B1651" s="12">
        <v>1648</v>
      </c>
      <c r="C1651" s="28">
        <v>169.27404034940832</v>
      </c>
      <c r="E1651" s="14" t="s">
        <v>3645</v>
      </c>
      <c r="F1651" s="11">
        <v>173</v>
      </c>
    </row>
    <row r="1652" spans="2:6" x14ac:dyDescent="0.3">
      <c r="B1652" s="12">
        <v>1649</v>
      </c>
      <c r="C1652" s="28">
        <v>163.37929934431193</v>
      </c>
      <c r="E1652" s="14" t="s">
        <v>4354</v>
      </c>
      <c r="F1652" s="11">
        <v>173</v>
      </c>
    </row>
    <row r="1653" spans="2:6" x14ac:dyDescent="0.3">
      <c r="B1653" s="12">
        <v>1650</v>
      </c>
      <c r="C1653" s="28">
        <v>170.9325207645953</v>
      </c>
      <c r="E1653" s="14" t="s">
        <v>1621</v>
      </c>
      <c r="F1653" s="11">
        <v>175</v>
      </c>
    </row>
    <row r="1654" spans="2:6" x14ac:dyDescent="0.3">
      <c r="B1654" s="12">
        <v>1651</v>
      </c>
      <c r="C1654" s="28">
        <v>157.13866014276033</v>
      </c>
      <c r="E1654" s="14" t="s">
        <v>2532</v>
      </c>
      <c r="F1654" s="11">
        <v>178</v>
      </c>
    </row>
    <row r="1655" spans="2:6" x14ac:dyDescent="0.3">
      <c r="B1655" s="12">
        <v>1652</v>
      </c>
      <c r="C1655" s="28">
        <v>156.56532366264969</v>
      </c>
      <c r="E1655" s="14" t="s">
        <v>3721</v>
      </c>
      <c r="F1655" s="11">
        <v>165</v>
      </c>
    </row>
    <row r="1656" spans="2:6" x14ac:dyDescent="0.3">
      <c r="B1656" s="12">
        <v>1653</v>
      </c>
      <c r="C1656" s="28">
        <v>157.66641008042396</v>
      </c>
      <c r="E1656" s="14" t="s">
        <v>572</v>
      </c>
      <c r="F1656" s="11">
        <v>177</v>
      </c>
    </row>
    <row r="1657" spans="2:6" x14ac:dyDescent="0.3">
      <c r="B1657" s="12">
        <v>1654</v>
      </c>
      <c r="C1657" s="28">
        <v>163.49368100607393</v>
      </c>
      <c r="E1657" s="14" t="s">
        <v>873</v>
      </c>
      <c r="F1657" s="11">
        <v>169</v>
      </c>
    </row>
    <row r="1658" spans="2:6" x14ac:dyDescent="0.3">
      <c r="B1658" s="12">
        <v>1655</v>
      </c>
      <c r="C1658" s="28">
        <v>175.60580684364092</v>
      </c>
      <c r="E1658" s="14" t="s">
        <v>927</v>
      </c>
      <c r="F1658" s="11">
        <v>174</v>
      </c>
    </row>
    <row r="1659" spans="2:6" x14ac:dyDescent="0.3">
      <c r="B1659" s="12">
        <v>1656</v>
      </c>
      <c r="C1659" s="28">
        <v>161.09352283927615</v>
      </c>
      <c r="E1659" s="14" t="s">
        <v>2218</v>
      </c>
      <c r="F1659" s="11">
        <v>173</v>
      </c>
    </row>
    <row r="1660" spans="2:6" x14ac:dyDescent="0.3">
      <c r="B1660" s="12">
        <v>1657</v>
      </c>
      <c r="C1660" s="28">
        <v>167.33766859784131</v>
      </c>
      <c r="E1660" s="14" t="s">
        <v>4717</v>
      </c>
      <c r="F1660" s="11">
        <v>177</v>
      </c>
    </row>
    <row r="1661" spans="2:6" x14ac:dyDescent="0.3">
      <c r="B1661" s="12">
        <v>1658</v>
      </c>
      <c r="C1661" s="28">
        <v>160.88906095779129</v>
      </c>
      <c r="E1661" s="14" t="s">
        <v>2548</v>
      </c>
      <c r="F1661" s="11">
        <v>172</v>
      </c>
    </row>
    <row r="1662" spans="2:6" x14ac:dyDescent="0.3">
      <c r="B1662" s="12">
        <v>1659</v>
      </c>
      <c r="C1662" s="28">
        <v>168.16938660966335</v>
      </c>
      <c r="E1662" s="14" t="s">
        <v>2810</v>
      </c>
      <c r="F1662" s="11">
        <v>166</v>
      </c>
    </row>
    <row r="1663" spans="2:6" x14ac:dyDescent="0.3">
      <c r="B1663" s="12">
        <v>1660</v>
      </c>
      <c r="C1663" s="28">
        <v>174.71787793489247</v>
      </c>
      <c r="E1663" s="14" t="s">
        <v>2818</v>
      </c>
      <c r="F1663" s="11">
        <v>157</v>
      </c>
    </row>
    <row r="1664" spans="2:6" x14ac:dyDescent="0.3">
      <c r="B1664" s="12">
        <v>1661</v>
      </c>
      <c r="C1664" s="28">
        <v>164.34907064060695</v>
      </c>
      <c r="E1664" s="14" t="s">
        <v>3907</v>
      </c>
      <c r="F1664" s="11">
        <v>174</v>
      </c>
    </row>
    <row r="1665" spans="2:6" x14ac:dyDescent="0.3">
      <c r="B1665" s="12">
        <v>1662</v>
      </c>
      <c r="C1665" s="28">
        <v>164.44443476919989</v>
      </c>
      <c r="E1665" s="14" t="s">
        <v>1595</v>
      </c>
      <c r="F1665" s="11">
        <v>176</v>
      </c>
    </row>
    <row r="1666" spans="2:6" x14ac:dyDescent="0.3">
      <c r="B1666" s="12">
        <v>1663</v>
      </c>
      <c r="C1666" s="28">
        <v>166.64399093874243</v>
      </c>
      <c r="E1666" s="14" t="s">
        <v>2844</v>
      </c>
      <c r="F1666" s="11">
        <v>177</v>
      </c>
    </row>
    <row r="1667" spans="2:6" x14ac:dyDescent="0.3">
      <c r="B1667" s="12">
        <v>1664</v>
      </c>
      <c r="C1667" s="28">
        <v>168.23714013107295</v>
      </c>
      <c r="E1667" s="14" t="s">
        <v>4218</v>
      </c>
      <c r="F1667" s="11">
        <v>168</v>
      </c>
    </row>
    <row r="1668" spans="2:6" x14ac:dyDescent="0.3">
      <c r="B1668" s="12">
        <v>1665</v>
      </c>
      <c r="C1668" s="28">
        <v>165.37462486467552</v>
      </c>
      <c r="E1668" s="14" t="s">
        <v>3080</v>
      </c>
      <c r="F1668" s="11">
        <v>163</v>
      </c>
    </row>
    <row r="1669" spans="2:6" x14ac:dyDescent="0.3">
      <c r="B1669" s="12">
        <v>1666</v>
      </c>
      <c r="C1669" s="28">
        <v>167.05489110419038</v>
      </c>
      <c r="E1669" s="14" t="s">
        <v>3954</v>
      </c>
      <c r="F1669" s="11">
        <v>182</v>
      </c>
    </row>
    <row r="1670" spans="2:6" x14ac:dyDescent="0.3">
      <c r="B1670" s="12">
        <v>1667</v>
      </c>
      <c r="C1670" s="28">
        <v>169.35141058500233</v>
      </c>
      <c r="E1670" s="14" t="s">
        <v>2263</v>
      </c>
      <c r="F1670" s="11">
        <v>164</v>
      </c>
    </row>
    <row r="1671" spans="2:6" x14ac:dyDescent="0.3">
      <c r="B1671" s="12">
        <v>1668</v>
      </c>
      <c r="C1671" s="28">
        <v>157.28664266462224</v>
      </c>
      <c r="E1671" s="14" t="s">
        <v>2279</v>
      </c>
      <c r="F1671" s="11">
        <v>172</v>
      </c>
    </row>
    <row r="1672" spans="2:6" x14ac:dyDescent="0.3">
      <c r="B1672" s="12">
        <v>1669</v>
      </c>
      <c r="C1672" s="28">
        <v>167.79942274970426</v>
      </c>
      <c r="E1672" s="14" t="s">
        <v>40</v>
      </c>
      <c r="F1672" s="11">
        <v>168</v>
      </c>
    </row>
    <row r="1673" spans="2:6" x14ac:dyDescent="0.3">
      <c r="B1673" s="12">
        <v>1670</v>
      </c>
      <c r="C1673" s="28">
        <v>170.59098634221161</v>
      </c>
      <c r="E1673" s="14" t="s">
        <v>2964</v>
      </c>
      <c r="F1673" s="11">
        <v>152</v>
      </c>
    </row>
    <row r="1674" spans="2:6" x14ac:dyDescent="0.3">
      <c r="B1674" s="12">
        <v>1671</v>
      </c>
      <c r="C1674" s="28">
        <v>144.71683840756398</v>
      </c>
      <c r="E1674" s="14" t="s">
        <v>4862</v>
      </c>
      <c r="F1674" s="11">
        <v>167</v>
      </c>
    </row>
    <row r="1675" spans="2:6" x14ac:dyDescent="0.3">
      <c r="B1675" s="12">
        <v>1672</v>
      </c>
      <c r="C1675" s="28">
        <v>162.76642524578725</v>
      </c>
      <c r="E1675" s="14" t="s">
        <v>1631</v>
      </c>
      <c r="F1675" s="11">
        <v>160</v>
      </c>
    </row>
    <row r="1676" spans="2:6" x14ac:dyDescent="0.3">
      <c r="B1676" s="12">
        <v>1673</v>
      </c>
      <c r="C1676" s="28">
        <v>160.54534927816852</v>
      </c>
      <c r="E1676" s="14" t="s">
        <v>1632</v>
      </c>
      <c r="F1676" s="11">
        <v>159</v>
      </c>
    </row>
    <row r="1677" spans="2:6" x14ac:dyDescent="0.3">
      <c r="B1677" s="12">
        <v>1674</v>
      </c>
      <c r="C1677" s="28">
        <v>147.2730415317551</v>
      </c>
      <c r="E1677" s="14" t="s">
        <v>214</v>
      </c>
      <c r="F1677" s="11">
        <v>170</v>
      </c>
    </row>
    <row r="1678" spans="2:6" x14ac:dyDescent="0.3">
      <c r="B1678" s="12">
        <v>1675</v>
      </c>
      <c r="C1678" s="28">
        <v>159.0954809907166</v>
      </c>
      <c r="E1678" s="14" t="s">
        <v>296</v>
      </c>
      <c r="F1678" s="11">
        <v>170</v>
      </c>
    </row>
    <row r="1679" spans="2:6" x14ac:dyDescent="0.3">
      <c r="B1679" s="12">
        <v>1676</v>
      </c>
      <c r="C1679" s="28">
        <v>170.88484313834215</v>
      </c>
      <c r="E1679" s="14" t="s">
        <v>1264</v>
      </c>
      <c r="F1679" s="11">
        <v>168</v>
      </c>
    </row>
    <row r="1680" spans="2:6" x14ac:dyDescent="0.3">
      <c r="B1680" s="12">
        <v>1677</v>
      </c>
      <c r="C1680" s="28">
        <v>175.47020908404733</v>
      </c>
      <c r="E1680" s="14" t="s">
        <v>4100</v>
      </c>
      <c r="F1680" s="11">
        <v>181</v>
      </c>
    </row>
    <row r="1681" spans="2:6" x14ac:dyDescent="0.3">
      <c r="B1681" s="12">
        <v>1678</v>
      </c>
      <c r="C1681" s="28">
        <v>158.44431401187614</v>
      </c>
      <c r="E1681" s="14" t="s">
        <v>2816</v>
      </c>
      <c r="F1681" s="11">
        <v>175</v>
      </c>
    </row>
    <row r="1682" spans="2:6" x14ac:dyDescent="0.3">
      <c r="B1682" s="12">
        <v>1679</v>
      </c>
      <c r="C1682" s="28">
        <v>164.74607302298568</v>
      </c>
      <c r="E1682" s="14" t="s">
        <v>4670</v>
      </c>
      <c r="F1682" s="11">
        <v>168</v>
      </c>
    </row>
    <row r="1683" spans="2:6" x14ac:dyDescent="0.3">
      <c r="B1683" s="12">
        <v>1680</v>
      </c>
      <c r="C1683" s="28">
        <v>158.07333966627638</v>
      </c>
      <c r="E1683" s="14" t="s">
        <v>3167</v>
      </c>
      <c r="F1683" s="11">
        <v>170</v>
      </c>
    </row>
    <row r="1684" spans="2:6" x14ac:dyDescent="0.3">
      <c r="B1684" s="12">
        <v>1681</v>
      </c>
      <c r="C1684" s="28">
        <v>179.43102400818165</v>
      </c>
      <c r="E1684" s="14" t="s">
        <v>4108</v>
      </c>
      <c r="F1684" s="11">
        <v>175</v>
      </c>
    </row>
    <row r="1685" spans="2:6" x14ac:dyDescent="0.3">
      <c r="B1685" s="12">
        <v>1682</v>
      </c>
      <c r="C1685" s="28">
        <v>166.09038754433195</v>
      </c>
      <c r="E1685" s="14" t="s">
        <v>2583</v>
      </c>
      <c r="F1685" s="11">
        <v>174</v>
      </c>
    </row>
    <row r="1686" spans="2:6" x14ac:dyDescent="0.3">
      <c r="B1686" s="12">
        <v>1683</v>
      </c>
      <c r="C1686" s="28">
        <v>160.80622984500403</v>
      </c>
      <c r="E1686" s="14" t="s">
        <v>1780</v>
      </c>
      <c r="F1686" s="11">
        <v>173</v>
      </c>
    </row>
    <row r="1687" spans="2:6" x14ac:dyDescent="0.3">
      <c r="B1687" s="12">
        <v>1684</v>
      </c>
      <c r="C1687" s="28">
        <v>168.31366554114959</v>
      </c>
      <c r="E1687" s="14" t="s">
        <v>1964</v>
      </c>
      <c r="F1687" s="11">
        <v>167</v>
      </c>
    </row>
    <row r="1688" spans="2:6" x14ac:dyDescent="0.3">
      <c r="B1688" s="12">
        <v>1685</v>
      </c>
      <c r="C1688" s="28">
        <v>168.35866206753505</v>
      </c>
      <c r="E1688" s="14" t="s">
        <v>3569</v>
      </c>
      <c r="F1688" s="11">
        <v>187</v>
      </c>
    </row>
    <row r="1689" spans="2:6" x14ac:dyDescent="0.3">
      <c r="B1689" s="12">
        <v>1686</v>
      </c>
      <c r="C1689" s="28">
        <v>160.63654925854087</v>
      </c>
      <c r="E1689" s="14" t="s">
        <v>3971</v>
      </c>
      <c r="F1689" s="11">
        <v>158</v>
      </c>
    </row>
    <row r="1690" spans="2:6" x14ac:dyDescent="0.3">
      <c r="B1690" s="12">
        <v>1687</v>
      </c>
      <c r="C1690" s="28">
        <v>163.61626968834543</v>
      </c>
      <c r="E1690" s="14" t="s">
        <v>4798</v>
      </c>
      <c r="F1690" s="11">
        <v>173</v>
      </c>
    </row>
    <row r="1691" spans="2:6" x14ac:dyDescent="0.3">
      <c r="B1691" s="12">
        <v>1688</v>
      </c>
      <c r="C1691" s="28">
        <v>177.83768539064761</v>
      </c>
      <c r="E1691" s="14" t="s">
        <v>1023</v>
      </c>
      <c r="F1691" s="11">
        <v>168</v>
      </c>
    </row>
    <row r="1692" spans="2:6" x14ac:dyDescent="0.3">
      <c r="B1692" s="12">
        <v>1689</v>
      </c>
      <c r="C1692" s="28">
        <v>177.12707006747445</v>
      </c>
      <c r="E1692" s="14" t="s">
        <v>1351</v>
      </c>
      <c r="F1692" s="11">
        <v>162</v>
      </c>
    </row>
    <row r="1693" spans="2:6" x14ac:dyDescent="0.3">
      <c r="B1693" s="12">
        <v>1690</v>
      </c>
      <c r="C1693" s="28">
        <v>157.20202064036039</v>
      </c>
      <c r="E1693" s="14" t="s">
        <v>2498</v>
      </c>
      <c r="F1693" s="11">
        <v>173</v>
      </c>
    </row>
    <row r="1694" spans="2:6" x14ac:dyDescent="0.3">
      <c r="B1694" s="12">
        <v>1691</v>
      </c>
      <c r="C1694" s="28">
        <v>163.09560002309831</v>
      </c>
      <c r="E1694" s="14" t="s">
        <v>2090</v>
      </c>
      <c r="F1694" s="11">
        <v>160</v>
      </c>
    </row>
    <row r="1695" spans="2:6" x14ac:dyDescent="0.3">
      <c r="B1695" s="12">
        <v>1692</v>
      </c>
      <c r="C1695" s="28">
        <v>158.76896258974836</v>
      </c>
      <c r="E1695" s="14" t="s">
        <v>1895</v>
      </c>
      <c r="F1695" s="11">
        <v>165</v>
      </c>
    </row>
    <row r="1696" spans="2:6" x14ac:dyDescent="0.3">
      <c r="B1696" s="12">
        <v>1693</v>
      </c>
      <c r="C1696" s="28">
        <v>163.20843498296998</v>
      </c>
      <c r="E1696" s="14" t="s">
        <v>1502</v>
      </c>
      <c r="F1696" s="11">
        <v>175</v>
      </c>
    </row>
    <row r="1697" spans="2:6" x14ac:dyDescent="0.3">
      <c r="B1697" s="12">
        <v>1694</v>
      </c>
      <c r="C1697" s="28">
        <v>159.52486206153768</v>
      </c>
      <c r="E1697" s="14" t="s">
        <v>2640</v>
      </c>
      <c r="F1697" s="11">
        <v>163</v>
      </c>
    </row>
    <row r="1698" spans="2:6" x14ac:dyDescent="0.3">
      <c r="B1698" s="12">
        <v>1695</v>
      </c>
      <c r="C1698" s="28">
        <v>158.12190184149983</v>
      </c>
      <c r="E1698" s="14" t="s">
        <v>1430</v>
      </c>
      <c r="F1698" s="11">
        <v>177</v>
      </c>
    </row>
    <row r="1699" spans="2:6" x14ac:dyDescent="0.3">
      <c r="B1699" s="12">
        <v>1696</v>
      </c>
      <c r="C1699" s="28">
        <v>160.17426702139878</v>
      </c>
      <c r="E1699" s="14" t="s">
        <v>4427</v>
      </c>
      <c r="F1699" s="11">
        <v>169</v>
      </c>
    </row>
    <row r="1700" spans="2:6" x14ac:dyDescent="0.3">
      <c r="B1700" s="12">
        <v>1697</v>
      </c>
      <c r="C1700" s="28">
        <v>157.37138598034176</v>
      </c>
      <c r="E1700" s="14" t="s">
        <v>3620</v>
      </c>
      <c r="F1700" s="11">
        <v>165</v>
      </c>
    </row>
    <row r="1701" spans="2:6" x14ac:dyDescent="0.3">
      <c r="B1701" s="12">
        <v>1698</v>
      </c>
      <c r="C1701" s="28">
        <v>150.30858816940454</v>
      </c>
      <c r="E1701" s="14" t="s">
        <v>670</v>
      </c>
      <c r="F1701" s="11">
        <v>163</v>
      </c>
    </row>
    <row r="1702" spans="2:6" x14ac:dyDescent="0.3">
      <c r="B1702" s="12">
        <v>1699</v>
      </c>
      <c r="C1702" s="28">
        <v>168.61248973248453</v>
      </c>
      <c r="E1702" s="14" t="s">
        <v>1378</v>
      </c>
      <c r="F1702" s="11">
        <v>172</v>
      </c>
    </row>
    <row r="1703" spans="2:6" x14ac:dyDescent="0.3">
      <c r="B1703" s="12">
        <v>1700</v>
      </c>
      <c r="C1703" s="28">
        <v>165.28826311549082</v>
      </c>
      <c r="E1703" s="14" t="s">
        <v>3875</v>
      </c>
      <c r="F1703" s="11">
        <v>170</v>
      </c>
    </row>
    <row r="1704" spans="2:6" x14ac:dyDescent="0.3">
      <c r="B1704" s="12">
        <v>1701</v>
      </c>
      <c r="C1704" s="28">
        <v>154.21884918190599</v>
      </c>
      <c r="E1704" s="14" t="s">
        <v>3110</v>
      </c>
      <c r="F1704" s="11">
        <v>160</v>
      </c>
    </row>
    <row r="1705" spans="2:6" x14ac:dyDescent="0.3">
      <c r="B1705" s="12">
        <v>1702</v>
      </c>
      <c r="C1705" s="28">
        <v>159.11631107247166</v>
      </c>
      <c r="E1705" s="14" t="s">
        <v>1644</v>
      </c>
      <c r="F1705" s="11">
        <v>163</v>
      </c>
    </row>
    <row r="1706" spans="2:6" x14ac:dyDescent="0.3">
      <c r="B1706" s="12">
        <v>1703</v>
      </c>
      <c r="C1706" s="28">
        <v>154.82693608195888</v>
      </c>
      <c r="E1706" s="14" t="s">
        <v>1899</v>
      </c>
      <c r="F1706" s="11">
        <v>164</v>
      </c>
    </row>
    <row r="1707" spans="2:6" x14ac:dyDescent="0.3">
      <c r="B1707" s="12">
        <v>1704</v>
      </c>
      <c r="C1707" s="28">
        <v>174.87965938788696</v>
      </c>
      <c r="E1707" s="14" t="s">
        <v>1588</v>
      </c>
      <c r="F1707" s="11">
        <v>170</v>
      </c>
    </row>
    <row r="1708" spans="2:6" x14ac:dyDescent="0.3">
      <c r="B1708" s="12">
        <v>1705</v>
      </c>
      <c r="C1708" s="28">
        <v>161.5280212411806</v>
      </c>
      <c r="E1708" s="14" t="s">
        <v>2180</v>
      </c>
      <c r="F1708" s="11">
        <v>169</v>
      </c>
    </row>
    <row r="1709" spans="2:6" x14ac:dyDescent="0.3">
      <c r="B1709" s="12">
        <v>1706</v>
      </c>
      <c r="C1709" s="28">
        <v>163.11072476322545</v>
      </c>
      <c r="E1709" s="14" t="s">
        <v>1013</v>
      </c>
      <c r="F1709" s="11">
        <v>149</v>
      </c>
    </row>
    <row r="1710" spans="2:6" x14ac:dyDescent="0.3">
      <c r="B1710" s="12">
        <v>1707</v>
      </c>
      <c r="C1710" s="28">
        <v>163.70529787220613</v>
      </c>
      <c r="E1710" s="14" t="s">
        <v>618</v>
      </c>
      <c r="F1710" s="11">
        <v>173</v>
      </c>
    </row>
    <row r="1711" spans="2:6" x14ac:dyDescent="0.3">
      <c r="B1711" s="12">
        <v>1708</v>
      </c>
      <c r="C1711" s="28">
        <v>144.24504148956862</v>
      </c>
      <c r="E1711" s="14" t="s">
        <v>4117</v>
      </c>
      <c r="F1711" s="11">
        <v>160</v>
      </c>
    </row>
    <row r="1712" spans="2:6" x14ac:dyDescent="0.3">
      <c r="B1712" s="12">
        <v>1709</v>
      </c>
      <c r="C1712" s="28">
        <v>170.20079386268853</v>
      </c>
      <c r="E1712" s="14" t="s">
        <v>1854</v>
      </c>
      <c r="F1712" s="11">
        <v>156</v>
      </c>
    </row>
    <row r="1713" spans="2:6" x14ac:dyDescent="0.3">
      <c r="B1713" s="12">
        <v>1710</v>
      </c>
      <c r="C1713" s="28">
        <v>175.23889409174936</v>
      </c>
      <c r="E1713" s="14" t="s">
        <v>2843</v>
      </c>
      <c r="F1713" s="11">
        <v>145</v>
      </c>
    </row>
    <row r="1714" spans="2:6" x14ac:dyDescent="0.3">
      <c r="B1714" s="12">
        <v>1711</v>
      </c>
      <c r="C1714" s="28">
        <v>151.79276819741398</v>
      </c>
      <c r="E1714" s="14" t="s">
        <v>252</v>
      </c>
      <c r="F1714" s="11">
        <v>173</v>
      </c>
    </row>
    <row r="1715" spans="2:6" x14ac:dyDescent="0.3">
      <c r="B1715" s="12">
        <v>1712</v>
      </c>
      <c r="C1715" s="28">
        <v>163.59784363098245</v>
      </c>
      <c r="E1715" s="14" t="s">
        <v>3614</v>
      </c>
      <c r="F1715" s="11">
        <v>165</v>
      </c>
    </row>
    <row r="1716" spans="2:6" x14ac:dyDescent="0.3">
      <c r="B1716" s="12">
        <v>1713</v>
      </c>
      <c r="C1716" s="28">
        <v>156.41331210054287</v>
      </c>
      <c r="E1716" s="14" t="s">
        <v>796</v>
      </c>
      <c r="F1716" s="11">
        <v>197</v>
      </c>
    </row>
    <row r="1717" spans="2:6" x14ac:dyDescent="0.3">
      <c r="B1717" s="12">
        <v>1714</v>
      </c>
      <c r="C1717" s="28">
        <v>160.40289353354618</v>
      </c>
      <c r="E1717" s="14" t="s">
        <v>969</v>
      </c>
      <c r="F1717" s="11">
        <v>179</v>
      </c>
    </row>
    <row r="1718" spans="2:6" x14ac:dyDescent="0.3">
      <c r="B1718" s="12">
        <v>1715</v>
      </c>
      <c r="C1718" s="28">
        <v>147.41504167817254</v>
      </c>
      <c r="E1718" s="14" t="s">
        <v>2349</v>
      </c>
      <c r="F1718" s="11">
        <v>170</v>
      </c>
    </row>
    <row r="1719" spans="2:6" x14ac:dyDescent="0.3">
      <c r="B1719" s="12">
        <v>1716</v>
      </c>
      <c r="C1719" s="28">
        <v>169.1237155815507</v>
      </c>
      <c r="E1719" s="14" t="s">
        <v>1058</v>
      </c>
      <c r="F1719" s="11">
        <v>166</v>
      </c>
    </row>
    <row r="1720" spans="2:6" x14ac:dyDescent="0.3">
      <c r="B1720" s="12">
        <v>1717</v>
      </c>
      <c r="C1720" s="28">
        <v>170.13655456406656</v>
      </c>
      <c r="E1720" s="14" t="s">
        <v>244</v>
      </c>
      <c r="F1720" s="11">
        <v>172</v>
      </c>
    </row>
    <row r="1721" spans="2:6" x14ac:dyDescent="0.3">
      <c r="B1721" s="12">
        <v>1718</v>
      </c>
      <c r="C1721" s="28">
        <v>167.74261113380069</v>
      </c>
      <c r="E1721" s="14" t="s">
        <v>4674</v>
      </c>
      <c r="F1721" s="11">
        <v>165</v>
      </c>
    </row>
    <row r="1722" spans="2:6" x14ac:dyDescent="0.3">
      <c r="B1722" s="12">
        <v>1719</v>
      </c>
      <c r="C1722" s="28">
        <v>164.09196451022183</v>
      </c>
      <c r="E1722" s="14" t="s">
        <v>451</v>
      </c>
      <c r="F1722" s="11">
        <v>175</v>
      </c>
    </row>
    <row r="1723" spans="2:6" x14ac:dyDescent="0.3">
      <c r="B1723" s="12">
        <v>1720</v>
      </c>
      <c r="C1723" s="28">
        <v>167.47623266962194</v>
      </c>
      <c r="E1723" s="14" t="s">
        <v>2426</v>
      </c>
      <c r="F1723" s="11">
        <v>183</v>
      </c>
    </row>
    <row r="1724" spans="2:6" x14ac:dyDescent="0.3">
      <c r="B1724" s="12">
        <v>1721</v>
      </c>
      <c r="C1724" s="28">
        <v>166.76402476612645</v>
      </c>
      <c r="E1724" s="14" t="s">
        <v>1711</v>
      </c>
      <c r="F1724" s="11">
        <v>156</v>
      </c>
    </row>
    <row r="1725" spans="2:6" x14ac:dyDescent="0.3">
      <c r="B1725" s="12">
        <v>1722</v>
      </c>
      <c r="C1725" s="28">
        <v>153.07667572590466</v>
      </c>
      <c r="E1725" s="14" t="s">
        <v>1712</v>
      </c>
      <c r="F1725" s="11">
        <v>166</v>
      </c>
    </row>
    <row r="1726" spans="2:6" x14ac:dyDescent="0.3">
      <c r="B1726" s="12">
        <v>1723</v>
      </c>
      <c r="C1726" s="28">
        <v>159.85716711688437</v>
      </c>
      <c r="E1726" s="14" t="s">
        <v>4049</v>
      </c>
      <c r="F1726" s="11">
        <v>175</v>
      </c>
    </row>
    <row r="1727" spans="2:6" x14ac:dyDescent="0.3">
      <c r="B1727" s="12">
        <v>1724</v>
      </c>
      <c r="C1727" s="28">
        <v>167.94211655638597</v>
      </c>
      <c r="E1727" s="14" t="s">
        <v>1020</v>
      </c>
      <c r="F1727" s="11">
        <v>165</v>
      </c>
    </row>
    <row r="1728" spans="2:6" x14ac:dyDescent="0.3">
      <c r="B1728" s="12">
        <v>1725</v>
      </c>
      <c r="C1728" s="28">
        <v>163.33779580095165</v>
      </c>
      <c r="E1728" s="14" t="s">
        <v>2706</v>
      </c>
      <c r="F1728" s="11">
        <v>171</v>
      </c>
    </row>
    <row r="1729" spans="2:6" x14ac:dyDescent="0.3">
      <c r="B1729" s="12">
        <v>1726</v>
      </c>
      <c r="C1729" s="28">
        <v>163.00019723600585</v>
      </c>
      <c r="E1729" s="14" t="s">
        <v>1732</v>
      </c>
      <c r="F1729" s="11">
        <v>181</v>
      </c>
    </row>
    <row r="1730" spans="2:6" x14ac:dyDescent="0.3">
      <c r="B1730" s="12">
        <v>1727</v>
      </c>
      <c r="C1730" s="28">
        <v>162.65016009604724</v>
      </c>
      <c r="E1730" s="14" t="s">
        <v>2809</v>
      </c>
      <c r="F1730" s="11">
        <v>171</v>
      </c>
    </row>
    <row r="1731" spans="2:6" x14ac:dyDescent="0.3">
      <c r="B1731" s="12">
        <v>1728</v>
      </c>
      <c r="C1731" s="28">
        <v>159.12173478713495</v>
      </c>
      <c r="E1731" s="14" t="s">
        <v>262</v>
      </c>
      <c r="F1731" s="11">
        <v>170</v>
      </c>
    </row>
    <row r="1732" spans="2:6" x14ac:dyDescent="0.3">
      <c r="B1732" s="12">
        <v>1729</v>
      </c>
      <c r="C1732" s="28">
        <v>161.45605078167731</v>
      </c>
      <c r="E1732" s="14" t="s">
        <v>1388</v>
      </c>
      <c r="F1732" s="11">
        <v>152</v>
      </c>
    </row>
    <row r="1733" spans="2:6" x14ac:dyDescent="0.3">
      <c r="B1733" s="12">
        <v>1730</v>
      </c>
      <c r="C1733" s="28">
        <v>155.72071410018614</v>
      </c>
      <c r="E1733" s="14" t="s">
        <v>2524</v>
      </c>
      <c r="F1733" s="11">
        <v>178</v>
      </c>
    </row>
    <row r="1734" spans="2:6" x14ac:dyDescent="0.3">
      <c r="B1734" s="12">
        <v>1731</v>
      </c>
      <c r="C1734" s="28">
        <v>164.18777664462664</v>
      </c>
      <c r="E1734" s="14" t="s">
        <v>4361</v>
      </c>
      <c r="F1734" s="11">
        <v>173</v>
      </c>
    </row>
    <row r="1735" spans="2:6" x14ac:dyDescent="0.3">
      <c r="B1735" s="12">
        <v>1732</v>
      </c>
      <c r="C1735" s="28">
        <v>162.29971554745691</v>
      </c>
      <c r="E1735" s="14" t="s">
        <v>1751</v>
      </c>
      <c r="F1735" s="11">
        <v>162</v>
      </c>
    </row>
    <row r="1736" spans="2:6" x14ac:dyDescent="0.3">
      <c r="B1736" s="12">
        <v>1733</v>
      </c>
      <c r="C1736" s="28">
        <v>150.7225028453993</v>
      </c>
      <c r="E1736" s="14" t="s">
        <v>1752</v>
      </c>
      <c r="F1736" s="11">
        <v>164</v>
      </c>
    </row>
    <row r="1737" spans="2:6" x14ac:dyDescent="0.3">
      <c r="B1737" s="12">
        <v>1734</v>
      </c>
      <c r="C1737" s="28">
        <v>167.95454638822042</v>
      </c>
      <c r="E1737" s="14" t="s">
        <v>1753</v>
      </c>
      <c r="F1737" s="11">
        <v>160</v>
      </c>
    </row>
    <row r="1738" spans="2:6" x14ac:dyDescent="0.3">
      <c r="B1738" s="12">
        <v>1735</v>
      </c>
      <c r="C1738" s="28">
        <v>164.2497156940376</v>
      </c>
      <c r="E1738" s="14" t="s">
        <v>742</v>
      </c>
      <c r="F1738" s="11">
        <v>167</v>
      </c>
    </row>
    <row r="1739" spans="2:6" x14ac:dyDescent="0.3">
      <c r="B1739" s="12">
        <v>1736</v>
      </c>
      <c r="C1739" s="28">
        <v>153.20021518462181</v>
      </c>
      <c r="E1739" s="14" t="s">
        <v>1754</v>
      </c>
      <c r="F1739" s="11">
        <v>167</v>
      </c>
    </row>
    <row r="1740" spans="2:6" x14ac:dyDescent="0.3">
      <c r="B1740" s="12">
        <v>1737</v>
      </c>
      <c r="C1740" s="28">
        <v>169.81164053069881</v>
      </c>
      <c r="E1740" s="14" t="s">
        <v>1756</v>
      </c>
      <c r="F1740" s="11">
        <v>165</v>
      </c>
    </row>
    <row r="1741" spans="2:6" x14ac:dyDescent="0.3">
      <c r="B1741" s="12">
        <v>1738</v>
      </c>
      <c r="C1741" s="28">
        <v>159.6628094310384</v>
      </c>
      <c r="E1741" s="14" t="s">
        <v>1757</v>
      </c>
      <c r="F1741" s="11">
        <v>172</v>
      </c>
    </row>
    <row r="1742" spans="2:6" x14ac:dyDescent="0.3">
      <c r="B1742" s="12">
        <v>1739</v>
      </c>
      <c r="C1742" s="28">
        <v>152.84424427335296</v>
      </c>
      <c r="E1742" s="14" t="s">
        <v>1758</v>
      </c>
      <c r="F1742" s="11">
        <v>195</v>
      </c>
    </row>
    <row r="1743" spans="2:6" x14ac:dyDescent="0.3">
      <c r="B1743" s="12">
        <v>1740</v>
      </c>
      <c r="C1743" s="28">
        <v>160.73624913176812</v>
      </c>
      <c r="E1743" s="14" t="s">
        <v>1759</v>
      </c>
      <c r="F1743" s="11">
        <v>168</v>
      </c>
    </row>
    <row r="1744" spans="2:6" x14ac:dyDescent="0.3">
      <c r="B1744" s="12">
        <v>1741</v>
      </c>
      <c r="C1744" s="28">
        <v>160.3676521962162</v>
      </c>
      <c r="E1744" s="14" t="s">
        <v>1760</v>
      </c>
      <c r="F1744" s="11">
        <v>167</v>
      </c>
    </row>
    <row r="1745" spans="2:6" x14ac:dyDescent="0.3">
      <c r="B1745" s="12">
        <v>1742</v>
      </c>
      <c r="C1745" s="28">
        <v>170.7209289688615</v>
      </c>
      <c r="E1745" s="14" t="s">
        <v>1761</v>
      </c>
      <c r="F1745" s="11">
        <v>174</v>
      </c>
    </row>
    <row r="1746" spans="2:6" x14ac:dyDescent="0.3">
      <c r="B1746" s="12">
        <v>1743</v>
      </c>
      <c r="C1746" s="28">
        <v>152.81063975007802</v>
      </c>
      <c r="E1746" s="14" t="s">
        <v>1762</v>
      </c>
      <c r="F1746" s="11">
        <v>190</v>
      </c>
    </row>
    <row r="1747" spans="2:6" x14ac:dyDescent="0.3">
      <c r="B1747" s="12">
        <v>1744</v>
      </c>
      <c r="C1747" s="28">
        <v>175.17592046372303</v>
      </c>
      <c r="E1747" s="14" t="s">
        <v>1763</v>
      </c>
      <c r="F1747" s="11">
        <v>160</v>
      </c>
    </row>
    <row r="1748" spans="2:6" x14ac:dyDescent="0.3">
      <c r="B1748" s="12">
        <v>1745</v>
      </c>
      <c r="C1748" s="28">
        <v>157.21350093354252</v>
      </c>
      <c r="E1748" s="14" t="s">
        <v>1764</v>
      </c>
      <c r="F1748" s="11">
        <v>178</v>
      </c>
    </row>
    <row r="1749" spans="2:6" x14ac:dyDescent="0.3">
      <c r="B1749" s="12">
        <v>1746</v>
      </c>
      <c r="C1749" s="28">
        <v>172.05685789428509</v>
      </c>
      <c r="E1749" s="14" t="s">
        <v>1765</v>
      </c>
      <c r="F1749" s="11">
        <v>175</v>
      </c>
    </row>
    <row r="1750" spans="2:6" x14ac:dyDescent="0.3">
      <c r="B1750" s="12">
        <v>1747</v>
      </c>
      <c r="C1750" s="28">
        <v>157.64286018958987</v>
      </c>
      <c r="E1750" s="14" t="s">
        <v>1766</v>
      </c>
      <c r="F1750" s="11">
        <v>170</v>
      </c>
    </row>
    <row r="1751" spans="2:6" x14ac:dyDescent="0.3">
      <c r="B1751" s="12">
        <v>1748</v>
      </c>
      <c r="C1751" s="28">
        <v>157.96993322532717</v>
      </c>
      <c r="E1751" s="14" t="s">
        <v>1769</v>
      </c>
      <c r="F1751" s="11">
        <v>192</v>
      </c>
    </row>
    <row r="1752" spans="2:6" x14ac:dyDescent="0.3">
      <c r="B1752" s="12">
        <v>1749</v>
      </c>
      <c r="C1752" s="28">
        <v>164.42875994177973</v>
      </c>
      <c r="E1752" s="14" t="s">
        <v>2617</v>
      </c>
      <c r="F1752" s="11">
        <v>166</v>
      </c>
    </row>
    <row r="1753" spans="2:6" x14ac:dyDescent="0.3">
      <c r="B1753" s="12">
        <v>1750</v>
      </c>
      <c r="C1753" s="28">
        <v>162.45600855899954</v>
      </c>
      <c r="E1753" s="14" t="s">
        <v>1777</v>
      </c>
      <c r="F1753" s="11">
        <v>163</v>
      </c>
    </row>
    <row r="1754" spans="2:6" x14ac:dyDescent="0.3">
      <c r="B1754" s="12">
        <v>1751</v>
      </c>
      <c r="C1754" s="28">
        <v>162.36880914673401</v>
      </c>
      <c r="E1754" s="14" t="s">
        <v>1778</v>
      </c>
      <c r="F1754" s="11">
        <v>165</v>
      </c>
    </row>
    <row r="1755" spans="2:6" x14ac:dyDescent="0.3">
      <c r="B1755" s="12">
        <v>1752</v>
      </c>
      <c r="C1755" s="28">
        <v>160.05672633940316</v>
      </c>
      <c r="E1755" s="14" t="s">
        <v>1779</v>
      </c>
      <c r="F1755" s="11">
        <v>177</v>
      </c>
    </row>
    <row r="1756" spans="2:6" x14ac:dyDescent="0.3">
      <c r="B1756" s="12">
        <v>1753</v>
      </c>
      <c r="C1756" s="28">
        <v>160.90693244196163</v>
      </c>
      <c r="E1756" s="14" t="s">
        <v>2099</v>
      </c>
      <c r="F1756" s="11">
        <v>162</v>
      </c>
    </row>
    <row r="1757" spans="2:6" x14ac:dyDescent="0.3">
      <c r="B1757" s="12">
        <v>1754</v>
      </c>
      <c r="C1757" s="28">
        <v>156.81169990467245</v>
      </c>
      <c r="E1757" s="14" t="s">
        <v>2297</v>
      </c>
      <c r="F1757" s="11">
        <v>162</v>
      </c>
    </row>
    <row r="1758" spans="2:6" x14ac:dyDescent="0.3">
      <c r="B1758" s="12">
        <v>1755</v>
      </c>
      <c r="C1758" s="28">
        <v>165.91012197676497</v>
      </c>
      <c r="E1758" s="14" t="s">
        <v>2922</v>
      </c>
      <c r="F1758" s="11">
        <v>170</v>
      </c>
    </row>
    <row r="1759" spans="2:6" x14ac:dyDescent="0.3">
      <c r="B1759" s="12">
        <v>1756</v>
      </c>
      <c r="C1759" s="28">
        <v>157.06260383218847</v>
      </c>
      <c r="E1759" s="14" t="s">
        <v>125</v>
      </c>
      <c r="F1759" s="11">
        <v>172</v>
      </c>
    </row>
    <row r="1760" spans="2:6" x14ac:dyDescent="0.3">
      <c r="B1760" s="12">
        <v>1757</v>
      </c>
      <c r="C1760" s="28">
        <v>168.02580786455366</v>
      </c>
      <c r="E1760" s="14" t="s">
        <v>4591</v>
      </c>
      <c r="F1760" s="11">
        <v>176</v>
      </c>
    </row>
    <row r="1761" spans="2:6" x14ac:dyDescent="0.3">
      <c r="B1761" s="12">
        <v>1758</v>
      </c>
      <c r="C1761" s="28">
        <v>168.71104924869479</v>
      </c>
      <c r="E1761" s="14" t="s">
        <v>2429</v>
      </c>
      <c r="F1761" s="11">
        <v>167</v>
      </c>
    </row>
    <row r="1762" spans="2:6" x14ac:dyDescent="0.3">
      <c r="B1762" s="12">
        <v>1759</v>
      </c>
      <c r="C1762" s="28">
        <v>161.3581625342411</v>
      </c>
      <c r="E1762" s="14" t="s">
        <v>2701</v>
      </c>
      <c r="F1762" s="11">
        <v>172</v>
      </c>
    </row>
    <row r="1763" spans="2:6" x14ac:dyDescent="0.3">
      <c r="B1763" s="12">
        <v>1760</v>
      </c>
      <c r="C1763" s="28">
        <v>165.60818508678935</v>
      </c>
      <c r="E1763" s="14" t="s">
        <v>3191</v>
      </c>
      <c r="F1763" s="11">
        <v>180</v>
      </c>
    </row>
    <row r="1764" spans="2:6" x14ac:dyDescent="0.3">
      <c r="B1764" s="12">
        <v>1761</v>
      </c>
      <c r="C1764" s="28">
        <v>165.61929284704848</v>
      </c>
      <c r="E1764" s="14" t="s">
        <v>1115</v>
      </c>
      <c r="F1764" s="11">
        <v>160</v>
      </c>
    </row>
    <row r="1765" spans="2:6" x14ac:dyDescent="0.3">
      <c r="B1765" s="12">
        <v>1762</v>
      </c>
      <c r="C1765" s="28">
        <v>171.35420652385477</v>
      </c>
      <c r="E1765" s="14" t="s">
        <v>3910</v>
      </c>
      <c r="F1765" s="11">
        <v>175</v>
      </c>
    </row>
    <row r="1766" spans="2:6" x14ac:dyDescent="0.3">
      <c r="B1766" s="12">
        <v>1763</v>
      </c>
      <c r="C1766" s="28">
        <v>159.96965957894878</v>
      </c>
      <c r="E1766" s="14" t="s">
        <v>4303</v>
      </c>
      <c r="F1766" s="11">
        <v>158</v>
      </c>
    </row>
    <row r="1767" spans="2:6" x14ac:dyDescent="0.3">
      <c r="B1767" s="12">
        <v>1764</v>
      </c>
      <c r="C1767" s="28">
        <v>157.8847547601099</v>
      </c>
      <c r="E1767" s="14" t="s">
        <v>339</v>
      </c>
      <c r="F1767" s="11">
        <v>178</v>
      </c>
    </row>
    <row r="1768" spans="2:6" x14ac:dyDescent="0.3">
      <c r="B1768" s="12">
        <v>1765</v>
      </c>
      <c r="C1768" s="28">
        <v>166.09826759191904</v>
      </c>
      <c r="E1768" s="14" t="s">
        <v>3661</v>
      </c>
      <c r="F1768" s="11">
        <v>165</v>
      </c>
    </row>
    <row r="1769" spans="2:6" x14ac:dyDescent="0.3">
      <c r="B1769" s="12">
        <v>1766</v>
      </c>
      <c r="C1769" s="28">
        <v>174.81217788393607</v>
      </c>
      <c r="E1769" s="14" t="s">
        <v>91</v>
      </c>
      <c r="F1769" s="11">
        <v>172</v>
      </c>
    </row>
    <row r="1770" spans="2:6" x14ac:dyDescent="0.3">
      <c r="B1770" s="12">
        <v>1767</v>
      </c>
      <c r="C1770" s="28">
        <v>173.19450694671369</v>
      </c>
      <c r="E1770" s="14" t="s">
        <v>2200</v>
      </c>
      <c r="F1770" s="11">
        <v>169</v>
      </c>
    </row>
    <row r="1771" spans="2:6" x14ac:dyDescent="0.3">
      <c r="B1771" s="12">
        <v>1768</v>
      </c>
      <c r="C1771" s="28">
        <v>152.50774591125349</v>
      </c>
      <c r="E1771" s="14" t="s">
        <v>427</v>
      </c>
      <c r="F1771" s="11">
        <v>170</v>
      </c>
    </row>
    <row r="1772" spans="2:6" x14ac:dyDescent="0.3">
      <c r="B1772" s="12">
        <v>1769</v>
      </c>
      <c r="C1772" s="28">
        <v>156.04410373457321</v>
      </c>
      <c r="E1772" s="14" t="s">
        <v>429</v>
      </c>
      <c r="F1772" s="11">
        <v>165</v>
      </c>
    </row>
    <row r="1773" spans="2:6" x14ac:dyDescent="0.3">
      <c r="B1773" s="12">
        <v>1770</v>
      </c>
      <c r="C1773" s="28">
        <v>171.26410665428781</v>
      </c>
      <c r="E1773" s="14" t="s">
        <v>4387</v>
      </c>
      <c r="F1773" s="11">
        <v>175</v>
      </c>
    </row>
    <row r="1774" spans="2:6" x14ac:dyDescent="0.3">
      <c r="B1774" s="12">
        <v>1771</v>
      </c>
      <c r="C1774" s="28">
        <v>161.49061512332926</v>
      </c>
      <c r="E1774" s="14" t="s">
        <v>2636</v>
      </c>
      <c r="F1774" s="11">
        <v>164</v>
      </c>
    </row>
    <row r="1775" spans="2:6" x14ac:dyDescent="0.3">
      <c r="B1775" s="12">
        <v>1772</v>
      </c>
      <c r="C1775" s="28">
        <v>167.10760367072314</v>
      </c>
      <c r="E1775" s="14" t="s">
        <v>3289</v>
      </c>
      <c r="F1775" s="11">
        <v>174</v>
      </c>
    </row>
    <row r="1776" spans="2:6" x14ac:dyDescent="0.3">
      <c r="B1776" s="12">
        <v>1773</v>
      </c>
      <c r="C1776" s="28">
        <v>159.10167983231688</v>
      </c>
      <c r="E1776" s="14" t="s">
        <v>1798</v>
      </c>
      <c r="F1776" s="11">
        <v>163</v>
      </c>
    </row>
    <row r="1777" spans="2:6" x14ac:dyDescent="0.3">
      <c r="B1777" s="12">
        <v>1774</v>
      </c>
      <c r="C1777" s="28">
        <v>162.11057870763992</v>
      </c>
      <c r="E1777" s="14" t="s">
        <v>755</v>
      </c>
      <c r="F1777" s="11">
        <v>165</v>
      </c>
    </row>
    <row r="1778" spans="2:6" x14ac:dyDescent="0.3">
      <c r="B1778" s="12">
        <v>1775</v>
      </c>
      <c r="C1778" s="28">
        <v>164.85752043085293</v>
      </c>
      <c r="E1778" s="14" t="s">
        <v>1433</v>
      </c>
      <c r="F1778" s="11">
        <v>165</v>
      </c>
    </row>
    <row r="1779" spans="2:6" x14ac:dyDescent="0.3">
      <c r="B1779" s="12">
        <v>1776</v>
      </c>
      <c r="C1779" s="28">
        <v>158.55995527225662</v>
      </c>
      <c r="E1779" s="14" t="s">
        <v>2773</v>
      </c>
      <c r="F1779" s="11">
        <v>170</v>
      </c>
    </row>
    <row r="1780" spans="2:6" x14ac:dyDescent="0.3">
      <c r="B1780" s="12">
        <v>1777</v>
      </c>
      <c r="C1780" s="28">
        <v>151.75762492245835</v>
      </c>
      <c r="E1780" s="14" t="s">
        <v>973</v>
      </c>
      <c r="F1780" s="11">
        <v>183</v>
      </c>
    </row>
    <row r="1781" spans="2:6" x14ac:dyDescent="0.3">
      <c r="B1781" s="12">
        <v>1778</v>
      </c>
      <c r="C1781" s="28">
        <v>162.28634449889782</v>
      </c>
      <c r="E1781" s="14" t="s">
        <v>1863</v>
      </c>
      <c r="F1781" s="11">
        <v>182</v>
      </c>
    </row>
    <row r="1782" spans="2:6" x14ac:dyDescent="0.3">
      <c r="B1782" s="12">
        <v>1779</v>
      </c>
      <c r="C1782" s="28">
        <v>165.54944568321602</v>
      </c>
      <c r="E1782" s="14" t="s">
        <v>2499</v>
      </c>
      <c r="F1782" s="11">
        <v>165</v>
      </c>
    </row>
    <row r="1783" spans="2:6" x14ac:dyDescent="0.3">
      <c r="B1783" s="12">
        <v>1780</v>
      </c>
      <c r="C1783" s="28">
        <v>167.08410870487648</v>
      </c>
      <c r="E1783" s="14" t="s">
        <v>956</v>
      </c>
      <c r="F1783" s="11">
        <v>160</v>
      </c>
    </row>
    <row r="1784" spans="2:6" x14ac:dyDescent="0.3">
      <c r="B1784" s="12">
        <v>1781</v>
      </c>
      <c r="C1784" s="28">
        <v>155.63792462333009</v>
      </c>
      <c r="E1784" s="14" t="s">
        <v>4582</v>
      </c>
      <c r="F1784" s="11">
        <v>159</v>
      </c>
    </row>
    <row r="1785" spans="2:6" x14ac:dyDescent="0.3">
      <c r="B1785" s="12">
        <v>1782</v>
      </c>
      <c r="C1785" s="28">
        <v>145.29475650888318</v>
      </c>
      <c r="E1785" s="14" t="s">
        <v>2105</v>
      </c>
      <c r="F1785" s="11">
        <v>172</v>
      </c>
    </row>
    <row r="1786" spans="2:6" x14ac:dyDescent="0.3">
      <c r="B1786" s="12">
        <v>1783</v>
      </c>
      <c r="C1786" s="28">
        <v>165.12858151333776</v>
      </c>
      <c r="E1786" s="14" t="s">
        <v>3518</v>
      </c>
      <c r="F1786" s="11">
        <v>163</v>
      </c>
    </row>
    <row r="1787" spans="2:6" x14ac:dyDescent="0.3">
      <c r="B1787" s="12">
        <v>1784</v>
      </c>
      <c r="C1787" s="28">
        <v>158.72703215004299</v>
      </c>
      <c r="E1787" s="14" t="s">
        <v>4483</v>
      </c>
      <c r="F1787" s="11">
        <v>160</v>
      </c>
    </row>
    <row r="1788" spans="2:6" x14ac:dyDescent="0.3">
      <c r="B1788" s="12">
        <v>1785</v>
      </c>
      <c r="C1788" s="28">
        <v>151.72864055735809</v>
      </c>
      <c r="E1788" s="14" t="s">
        <v>2734</v>
      </c>
      <c r="F1788" s="11">
        <v>165</v>
      </c>
    </row>
    <row r="1789" spans="2:6" x14ac:dyDescent="0.3">
      <c r="B1789" s="12">
        <v>1786</v>
      </c>
      <c r="C1789" s="28">
        <v>168.86401403687964</v>
      </c>
      <c r="E1789" s="14" t="s">
        <v>2109</v>
      </c>
      <c r="F1789" s="11">
        <v>173</v>
      </c>
    </row>
    <row r="1790" spans="2:6" x14ac:dyDescent="0.3">
      <c r="B1790" s="12">
        <v>1787</v>
      </c>
      <c r="C1790" s="28">
        <v>154.83501195414138</v>
      </c>
      <c r="E1790" s="14" t="s">
        <v>1977</v>
      </c>
      <c r="F1790" s="11">
        <v>162</v>
      </c>
    </row>
    <row r="1791" spans="2:6" x14ac:dyDescent="0.3">
      <c r="B1791" s="12">
        <v>1788</v>
      </c>
      <c r="C1791" s="28">
        <v>158.73298150916787</v>
      </c>
      <c r="E1791" s="14" t="s">
        <v>991</v>
      </c>
      <c r="F1791" s="11">
        <v>173</v>
      </c>
    </row>
    <row r="1792" spans="2:6" x14ac:dyDescent="0.3">
      <c r="B1792" s="12">
        <v>1789</v>
      </c>
      <c r="C1792" s="28">
        <v>165.71198983917535</v>
      </c>
      <c r="E1792" s="14" t="s">
        <v>1750</v>
      </c>
      <c r="F1792" s="11">
        <v>172</v>
      </c>
    </row>
    <row r="1793" spans="2:6" x14ac:dyDescent="0.3">
      <c r="B1793" s="12">
        <v>1790</v>
      </c>
      <c r="C1793" s="28">
        <v>161.9838919625694</v>
      </c>
      <c r="E1793" s="14" t="s">
        <v>2466</v>
      </c>
      <c r="F1793" s="11">
        <v>172</v>
      </c>
    </row>
    <row r="1794" spans="2:6" x14ac:dyDescent="0.3">
      <c r="B1794" s="12">
        <v>1791</v>
      </c>
      <c r="C1794" s="28">
        <v>149.53495371546293</v>
      </c>
      <c r="E1794" s="14" t="s">
        <v>3205</v>
      </c>
      <c r="F1794" s="11">
        <v>166</v>
      </c>
    </row>
    <row r="1795" spans="2:6" x14ac:dyDescent="0.3">
      <c r="B1795" s="12">
        <v>1792</v>
      </c>
      <c r="C1795" s="28">
        <v>151.94714601603593</v>
      </c>
      <c r="E1795" s="14" t="s">
        <v>4398</v>
      </c>
      <c r="F1795" s="11">
        <v>170</v>
      </c>
    </row>
    <row r="1796" spans="2:6" x14ac:dyDescent="0.3">
      <c r="B1796" s="12">
        <v>1793</v>
      </c>
      <c r="C1796" s="28">
        <v>163.75994198951253</v>
      </c>
      <c r="E1796" s="14" t="s">
        <v>4120</v>
      </c>
      <c r="F1796" s="11">
        <v>176</v>
      </c>
    </row>
    <row r="1797" spans="2:6" x14ac:dyDescent="0.3">
      <c r="B1797" s="12">
        <v>1794</v>
      </c>
      <c r="C1797" s="28">
        <v>159.04518254585292</v>
      </c>
      <c r="E1797" s="14" t="s">
        <v>3065</v>
      </c>
      <c r="F1797" s="11">
        <v>172</v>
      </c>
    </row>
    <row r="1798" spans="2:6" x14ac:dyDescent="0.3">
      <c r="B1798" s="12">
        <v>1795</v>
      </c>
      <c r="C1798" s="28">
        <v>163.22477822526614</v>
      </c>
      <c r="E1798" s="14" t="s">
        <v>502</v>
      </c>
      <c r="F1798" s="11">
        <v>167</v>
      </c>
    </row>
    <row r="1799" spans="2:6" x14ac:dyDescent="0.3">
      <c r="B1799" s="12">
        <v>1796</v>
      </c>
      <c r="C1799" s="28">
        <v>166.43709057882444</v>
      </c>
      <c r="E1799" s="14" t="s">
        <v>1651</v>
      </c>
      <c r="F1799" s="11">
        <v>156</v>
      </c>
    </row>
    <row r="1800" spans="2:6" x14ac:dyDescent="0.3">
      <c r="B1800" s="12">
        <v>1797</v>
      </c>
      <c r="C1800" s="28">
        <v>158.39717464454623</v>
      </c>
      <c r="E1800" s="14" t="s">
        <v>3591</v>
      </c>
      <c r="F1800" s="11">
        <v>167</v>
      </c>
    </row>
    <row r="1801" spans="2:6" x14ac:dyDescent="0.3">
      <c r="B1801" s="12">
        <v>1798</v>
      </c>
      <c r="C1801" s="28">
        <v>165.16505303490229</v>
      </c>
      <c r="E1801" s="14" t="s">
        <v>3148</v>
      </c>
      <c r="F1801" s="11">
        <v>173</v>
      </c>
    </row>
    <row r="1802" spans="2:6" x14ac:dyDescent="0.3">
      <c r="B1802" s="12">
        <v>1799</v>
      </c>
      <c r="C1802" s="28">
        <v>160.85135124101174</v>
      </c>
      <c r="E1802" s="14" t="s">
        <v>4147</v>
      </c>
      <c r="F1802" s="11">
        <v>180</v>
      </c>
    </row>
    <row r="1803" spans="2:6" x14ac:dyDescent="0.3">
      <c r="B1803" s="12">
        <v>1800</v>
      </c>
      <c r="C1803" s="28">
        <v>175.1017496335956</v>
      </c>
      <c r="E1803" s="14" t="s">
        <v>151</v>
      </c>
      <c r="F1803" s="11">
        <v>181</v>
      </c>
    </row>
    <row r="1804" spans="2:6" x14ac:dyDescent="0.3">
      <c r="B1804" s="12">
        <v>1801</v>
      </c>
      <c r="C1804" s="28">
        <v>161.19883744846288</v>
      </c>
      <c r="E1804" s="14" t="s">
        <v>2352</v>
      </c>
      <c r="F1804" s="11">
        <v>178</v>
      </c>
    </row>
    <row r="1805" spans="2:6" x14ac:dyDescent="0.3">
      <c r="B1805" s="12">
        <v>1802</v>
      </c>
      <c r="C1805" s="28">
        <v>165.31378515371179</v>
      </c>
      <c r="E1805" s="14" t="s">
        <v>2937</v>
      </c>
      <c r="F1805" s="11">
        <v>175</v>
      </c>
    </row>
    <row r="1806" spans="2:6" x14ac:dyDescent="0.3">
      <c r="B1806" s="12">
        <v>1803</v>
      </c>
      <c r="C1806" s="28">
        <v>153.8875197952824</v>
      </c>
      <c r="E1806" s="14" t="s">
        <v>3206</v>
      </c>
      <c r="F1806" s="11">
        <v>162</v>
      </c>
    </row>
    <row r="1807" spans="2:6" x14ac:dyDescent="0.3">
      <c r="B1807" s="12">
        <v>1804</v>
      </c>
      <c r="C1807" s="28">
        <v>160.53902935168776</v>
      </c>
      <c r="E1807" s="14" t="s">
        <v>3484</v>
      </c>
      <c r="F1807" s="11">
        <v>174</v>
      </c>
    </row>
    <row r="1808" spans="2:6" x14ac:dyDescent="0.3">
      <c r="B1808" s="12">
        <v>1805</v>
      </c>
      <c r="C1808" s="28">
        <v>156.52948924784448</v>
      </c>
      <c r="E1808" s="14" t="s">
        <v>4545</v>
      </c>
      <c r="F1808" s="11">
        <v>170</v>
      </c>
    </row>
    <row r="1809" spans="2:6" x14ac:dyDescent="0.3">
      <c r="B1809" s="12">
        <v>1806</v>
      </c>
      <c r="C1809" s="28">
        <v>148.30190288630411</v>
      </c>
      <c r="E1809" s="14" t="s">
        <v>4871</v>
      </c>
      <c r="F1809" s="11">
        <v>160</v>
      </c>
    </row>
    <row r="1810" spans="2:6" x14ac:dyDescent="0.3">
      <c r="B1810" s="12">
        <v>1807</v>
      </c>
      <c r="C1810" s="28">
        <v>169.29237087123613</v>
      </c>
      <c r="E1810" s="14" t="s">
        <v>1246</v>
      </c>
      <c r="F1810" s="11">
        <v>190</v>
      </c>
    </row>
    <row r="1811" spans="2:6" x14ac:dyDescent="0.3">
      <c r="B1811" s="12">
        <v>1808</v>
      </c>
      <c r="C1811" s="28">
        <v>148.64915785111512</v>
      </c>
      <c r="E1811" s="14" t="s">
        <v>2438</v>
      </c>
      <c r="F1811" s="11">
        <v>173</v>
      </c>
    </row>
    <row r="1812" spans="2:6" x14ac:dyDescent="0.3">
      <c r="B1812" s="12">
        <v>1809</v>
      </c>
      <c r="C1812" s="28">
        <v>160.65840480593357</v>
      </c>
      <c r="E1812" s="14" t="s">
        <v>4616</v>
      </c>
      <c r="F1812" s="11">
        <v>190</v>
      </c>
    </row>
    <row r="1813" spans="2:6" x14ac:dyDescent="0.3">
      <c r="B1813" s="12">
        <v>1810</v>
      </c>
      <c r="C1813" s="28">
        <v>176.39266753969875</v>
      </c>
      <c r="E1813" s="14" t="s">
        <v>363</v>
      </c>
      <c r="F1813" s="11">
        <v>181</v>
      </c>
    </row>
    <row r="1814" spans="2:6" x14ac:dyDescent="0.3">
      <c r="B1814" s="12">
        <v>1811</v>
      </c>
      <c r="C1814" s="28">
        <v>158.61622713501438</v>
      </c>
      <c r="E1814" s="14" t="s">
        <v>3426</v>
      </c>
      <c r="F1814" s="11">
        <v>166</v>
      </c>
    </row>
    <row r="1815" spans="2:6" x14ac:dyDescent="0.3">
      <c r="B1815" s="12">
        <v>1812</v>
      </c>
      <c r="C1815" s="28">
        <v>160.19323541897222</v>
      </c>
      <c r="E1815" s="14" t="s">
        <v>1153</v>
      </c>
      <c r="F1815" s="11">
        <v>170</v>
      </c>
    </row>
    <row r="1816" spans="2:6" x14ac:dyDescent="0.3">
      <c r="B1816" s="12">
        <v>1813</v>
      </c>
      <c r="C1816" s="28">
        <v>160.75028478835819</v>
      </c>
      <c r="E1816" s="14" t="s">
        <v>4788</v>
      </c>
      <c r="F1816" s="11">
        <v>166</v>
      </c>
    </row>
    <row r="1817" spans="2:6" x14ac:dyDescent="0.3">
      <c r="B1817" s="12">
        <v>1814</v>
      </c>
      <c r="C1817" s="28">
        <v>167.88860744618697</v>
      </c>
      <c r="E1817" s="14" t="s">
        <v>2418</v>
      </c>
      <c r="F1817" s="11">
        <v>166</v>
      </c>
    </row>
    <row r="1818" spans="2:6" x14ac:dyDescent="0.3">
      <c r="B1818" s="12">
        <v>1815</v>
      </c>
      <c r="C1818" s="28">
        <v>163.90557761428465</v>
      </c>
      <c r="E1818" s="14" t="s">
        <v>4541</v>
      </c>
      <c r="F1818" s="11">
        <v>179</v>
      </c>
    </row>
    <row r="1819" spans="2:6" x14ac:dyDescent="0.3">
      <c r="B1819" s="12">
        <v>1816</v>
      </c>
      <c r="C1819" s="28">
        <v>162.71439936799666</v>
      </c>
      <c r="E1819" s="14" t="s">
        <v>1944</v>
      </c>
      <c r="F1819" s="11">
        <v>155</v>
      </c>
    </row>
    <row r="1820" spans="2:6" x14ac:dyDescent="0.3">
      <c r="B1820" s="12">
        <v>1817</v>
      </c>
      <c r="C1820" s="28">
        <v>162.23595982290334</v>
      </c>
      <c r="E1820" s="14" t="s">
        <v>3833</v>
      </c>
      <c r="F1820" s="11">
        <v>160</v>
      </c>
    </row>
    <row r="1821" spans="2:6" x14ac:dyDescent="0.3">
      <c r="B1821" s="12">
        <v>1818</v>
      </c>
      <c r="C1821" s="28">
        <v>176.8119761864036</v>
      </c>
      <c r="E1821" s="14" t="s">
        <v>4033</v>
      </c>
      <c r="F1821" s="11">
        <v>163</v>
      </c>
    </row>
    <row r="1822" spans="2:6" x14ac:dyDescent="0.3">
      <c r="B1822" s="12">
        <v>1819</v>
      </c>
      <c r="C1822" s="28">
        <v>171.17065085580941</v>
      </c>
      <c r="E1822" s="14" t="s">
        <v>452</v>
      </c>
      <c r="F1822" s="11">
        <v>182</v>
      </c>
    </row>
    <row r="1823" spans="2:6" x14ac:dyDescent="0.3">
      <c r="B1823" s="12">
        <v>1820</v>
      </c>
      <c r="C1823" s="28">
        <v>159.64014109222887</v>
      </c>
      <c r="E1823" s="14" t="s">
        <v>4886</v>
      </c>
      <c r="F1823" s="11">
        <v>196</v>
      </c>
    </row>
    <row r="1824" spans="2:6" x14ac:dyDescent="0.3">
      <c r="B1824" s="12">
        <v>1821</v>
      </c>
      <c r="C1824" s="28">
        <v>159.86434400443045</v>
      </c>
      <c r="E1824" s="14" t="s">
        <v>1049</v>
      </c>
      <c r="F1824" s="11">
        <v>153</v>
      </c>
    </row>
    <row r="1825" spans="2:6" x14ac:dyDescent="0.3">
      <c r="B1825" s="12">
        <v>1822</v>
      </c>
      <c r="C1825" s="28">
        <v>168.04864662475313</v>
      </c>
      <c r="E1825" s="14" t="s">
        <v>4002</v>
      </c>
      <c r="F1825" s="11">
        <v>167</v>
      </c>
    </row>
    <row r="1826" spans="2:6" x14ac:dyDescent="0.3">
      <c r="B1826" s="12">
        <v>1823</v>
      </c>
      <c r="C1826" s="28">
        <v>161.03906105416462</v>
      </c>
      <c r="E1826" s="14" t="s">
        <v>4646</v>
      </c>
      <c r="F1826" s="11">
        <v>160</v>
      </c>
    </row>
    <row r="1827" spans="2:6" x14ac:dyDescent="0.3">
      <c r="B1827" s="12">
        <v>1824</v>
      </c>
      <c r="C1827" s="28">
        <v>166.29631370295485</v>
      </c>
      <c r="E1827" s="14" t="s">
        <v>4302</v>
      </c>
      <c r="F1827" s="11">
        <v>174</v>
      </c>
    </row>
    <row r="1828" spans="2:6" x14ac:dyDescent="0.3">
      <c r="B1828" s="12">
        <v>1825</v>
      </c>
      <c r="C1828" s="28">
        <v>152.3941442832319</v>
      </c>
      <c r="E1828" s="14" t="s">
        <v>2917</v>
      </c>
      <c r="F1828" s="11">
        <v>176</v>
      </c>
    </row>
    <row r="1829" spans="2:6" x14ac:dyDescent="0.3">
      <c r="B1829" s="12">
        <v>1826</v>
      </c>
      <c r="C1829" s="28">
        <v>158.94324419977067</v>
      </c>
      <c r="E1829" s="14" t="s">
        <v>1657</v>
      </c>
      <c r="F1829" s="11">
        <v>181</v>
      </c>
    </row>
    <row r="1830" spans="2:6" x14ac:dyDescent="0.3">
      <c r="B1830" s="12">
        <v>1827</v>
      </c>
      <c r="C1830" s="28">
        <v>154.47667908182328</v>
      </c>
      <c r="E1830" s="14" t="s">
        <v>972</v>
      </c>
      <c r="F1830" s="11">
        <v>174</v>
      </c>
    </row>
    <row r="1831" spans="2:6" x14ac:dyDescent="0.3">
      <c r="B1831" s="12">
        <v>1828</v>
      </c>
      <c r="C1831" s="28">
        <v>162.77777662889545</v>
      </c>
      <c r="E1831" s="14" t="s">
        <v>3453</v>
      </c>
      <c r="F1831" s="11">
        <v>164</v>
      </c>
    </row>
    <row r="1832" spans="2:6" x14ac:dyDescent="0.3">
      <c r="B1832" s="12">
        <v>1829</v>
      </c>
      <c r="C1832" s="28">
        <v>158.10561214566931</v>
      </c>
      <c r="E1832" s="14" t="s">
        <v>3085</v>
      </c>
      <c r="F1832" s="11">
        <v>175</v>
      </c>
    </row>
    <row r="1833" spans="2:6" x14ac:dyDescent="0.3">
      <c r="B1833" s="12">
        <v>1830</v>
      </c>
      <c r="C1833" s="28">
        <v>163.79911915500793</v>
      </c>
      <c r="E1833" s="14" t="s">
        <v>2034</v>
      </c>
      <c r="F1833" s="11">
        <v>167</v>
      </c>
    </row>
    <row r="1834" spans="2:6" x14ac:dyDescent="0.3">
      <c r="B1834" s="12">
        <v>1831</v>
      </c>
      <c r="C1834" s="28">
        <v>153.41223015298243</v>
      </c>
      <c r="E1834" s="14" t="s">
        <v>2114</v>
      </c>
      <c r="F1834" s="11">
        <v>168</v>
      </c>
    </row>
    <row r="1835" spans="2:6" x14ac:dyDescent="0.3">
      <c r="B1835" s="12">
        <v>1832</v>
      </c>
      <c r="C1835" s="28">
        <v>156.15957220270161</v>
      </c>
      <c r="E1835" s="14" t="s">
        <v>523</v>
      </c>
      <c r="F1835" s="11">
        <v>169</v>
      </c>
    </row>
    <row r="1836" spans="2:6" x14ac:dyDescent="0.3">
      <c r="B1836" s="12">
        <v>1833</v>
      </c>
      <c r="C1836" s="28">
        <v>163.82150429657716</v>
      </c>
      <c r="E1836" s="14" t="s">
        <v>3691</v>
      </c>
      <c r="F1836" s="11">
        <v>161</v>
      </c>
    </row>
    <row r="1837" spans="2:6" x14ac:dyDescent="0.3">
      <c r="B1837" s="12">
        <v>1834</v>
      </c>
      <c r="C1837" s="28">
        <v>152.20229146851946</v>
      </c>
      <c r="E1837" s="14" t="s">
        <v>1526</v>
      </c>
      <c r="F1837" s="11">
        <v>168</v>
      </c>
    </row>
    <row r="1838" spans="2:6" x14ac:dyDescent="0.3">
      <c r="B1838" s="12">
        <v>1835</v>
      </c>
      <c r="C1838" s="28">
        <v>142.40925632924183</v>
      </c>
      <c r="E1838" s="14" t="s">
        <v>2015</v>
      </c>
      <c r="F1838" s="11">
        <v>167</v>
      </c>
    </row>
    <row r="1839" spans="2:6" x14ac:dyDescent="0.3">
      <c r="B1839" s="12">
        <v>1836</v>
      </c>
      <c r="C1839" s="28">
        <v>171.26208062954052</v>
      </c>
      <c r="E1839" s="14" t="s">
        <v>4189</v>
      </c>
      <c r="F1839" s="11">
        <v>181</v>
      </c>
    </row>
    <row r="1840" spans="2:6" x14ac:dyDescent="0.3">
      <c r="B1840" s="12">
        <v>1837</v>
      </c>
      <c r="C1840" s="28">
        <v>159.10564827457756</v>
      </c>
      <c r="E1840" s="14" t="s">
        <v>3176</v>
      </c>
      <c r="F1840" s="11">
        <v>157</v>
      </c>
    </row>
    <row r="1841" spans="2:6" x14ac:dyDescent="0.3">
      <c r="B1841" s="12">
        <v>1838</v>
      </c>
      <c r="C1841" s="28">
        <v>151.79776139529395</v>
      </c>
      <c r="E1841" s="14" t="s">
        <v>1813</v>
      </c>
      <c r="F1841" s="11">
        <v>179</v>
      </c>
    </row>
    <row r="1842" spans="2:6" x14ac:dyDescent="0.3">
      <c r="B1842" s="12">
        <v>1839</v>
      </c>
      <c r="C1842" s="28">
        <v>167.63477163523629</v>
      </c>
      <c r="E1842" s="14" t="s">
        <v>197</v>
      </c>
      <c r="F1842" s="11">
        <v>168</v>
      </c>
    </row>
    <row r="1843" spans="2:6" x14ac:dyDescent="0.3">
      <c r="B1843" s="12">
        <v>1840</v>
      </c>
      <c r="C1843" s="28">
        <v>151.91621698642444</v>
      </c>
      <c r="E1843" s="14" t="s">
        <v>132</v>
      </c>
      <c r="F1843" s="11">
        <v>155</v>
      </c>
    </row>
    <row r="1844" spans="2:6" x14ac:dyDescent="0.3">
      <c r="B1844" s="12">
        <v>1841</v>
      </c>
      <c r="C1844" s="28">
        <v>171.93643661765313</v>
      </c>
      <c r="E1844" s="14" t="s">
        <v>1117</v>
      </c>
      <c r="F1844" s="11">
        <v>172</v>
      </c>
    </row>
    <row r="1845" spans="2:6" x14ac:dyDescent="0.3">
      <c r="B1845" s="12">
        <v>1842</v>
      </c>
      <c r="C1845" s="28">
        <v>154.97107348000887</v>
      </c>
      <c r="E1845" s="14" t="s">
        <v>1814</v>
      </c>
      <c r="F1845" s="11">
        <v>173</v>
      </c>
    </row>
    <row r="1846" spans="2:6" x14ac:dyDescent="0.3">
      <c r="B1846" s="12">
        <v>1843</v>
      </c>
      <c r="C1846" s="28">
        <v>156.94561440826632</v>
      </c>
      <c r="E1846" s="14" t="s">
        <v>1293</v>
      </c>
      <c r="F1846" s="11">
        <v>178</v>
      </c>
    </row>
    <row r="1847" spans="2:6" x14ac:dyDescent="0.3">
      <c r="B1847" s="12">
        <v>1844</v>
      </c>
      <c r="C1847" s="28">
        <v>161.10021746102129</v>
      </c>
      <c r="E1847" s="14" t="s">
        <v>1599</v>
      </c>
      <c r="F1847" s="11">
        <v>175</v>
      </c>
    </row>
    <row r="1848" spans="2:6" x14ac:dyDescent="0.3">
      <c r="B1848" s="12">
        <v>1845</v>
      </c>
      <c r="C1848" s="28">
        <v>155.78475646013649</v>
      </c>
      <c r="E1848" s="14" t="s">
        <v>4696</v>
      </c>
      <c r="F1848" s="11">
        <v>169</v>
      </c>
    </row>
    <row r="1849" spans="2:6" x14ac:dyDescent="0.3">
      <c r="B1849" s="12">
        <v>1846</v>
      </c>
      <c r="C1849" s="28">
        <v>162.55827216887806</v>
      </c>
      <c r="E1849" s="14" t="s">
        <v>3775</v>
      </c>
      <c r="F1849" s="11">
        <v>155</v>
      </c>
    </row>
    <row r="1850" spans="2:6" x14ac:dyDescent="0.3">
      <c r="B1850" s="12">
        <v>1847</v>
      </c>
      <c r="C1850" s="28">
        <v>176.05598859586496</v>
      </c>
      <c r="E1850" s="14" t="s">
        <v>3307</v>
      </c>
      <c r="F1850" s="11">
        <v>170</v>
      </c>
    </row>
    <row r="1851" spans="2:6" x14ac:dyDescent="0.3">
      <c r="B1851" s="12">
        <v>1848</v>
      </c>
      <c r="C1851" s="28">
        <v>156.44892830818333</v>
      </c>
      <c r="E1851" s="14" t="s">
        <v>1532</v>
      </c>
      <c r="F1851" s="11">
        <v>177</v>
      </c>
    </row>
    <row r="1852" spans="2:6" x14ac:dyDescent="0.3">
      <c r="B1852" s="12">
        <v>1849</v>
      </c>
      <c r="C1852" s="28">
        <v>164.80980049233949</v>
      </c>
      <c r="E1852" s="14" t="s">
        <v>4785</v>
      </c>
      <c r="F1852" s="11">
        <v>190</v>
      </c>
    </row>
    <row r="1853" spans="2:6" x14ac:dyDescent="0.3">
      <c r="B1853" s="12">
        <v>1850</v>
      </c>
      <c r="C1853" s="28">
        <v>168.31148942966107</v>
      </c>
      <c r="E1853" s="14" t="s">
        <v>703</v>
      </c>
      <c r="F1853" s="11">
        <v>158</v>
      </c>
    </row>
    <row r="1854" spans="2:6" x14ac:dyDescent="0.3">
      <c r="B1854" s="12">
        <v>1851</v>
      </c>
      <c r="C1854" s="28">
        <v>162.75954126551483</v>
      </c>
      <c r="E1854" s="14" t="s">
        <v>1891</v>
      </c>
      <c r="F1854" s="11">
        <v>170</v>
      </c>
    </row>
    <row r="1855" spans="2:6" x14ac:dyDescent="0.3">
      <c r="B1855" s="12">
        <v>1852</v>
      </c>
      <c r="C1855" s="28">
        <v>157.2933478615669</v>
      </c>
      <c r="E1855" s="14" t="s">
        <v>1415</v>
      </c>
      <c r="F1855" s="11">
        <v>170</v>
      </c>
    </row>
    <row r="1856" spans="2:6" x14ac:dyDescent="0.3">
      <c r="B1856" s="12">
        <v>1853</v>
      </c>
      <c r="C1856" s="28">
        <v>161.93279488650771</v>
      </c>
      <c r="E1856" s="14" t="s">
        <v>443</v>
      </c>
      <c r="F1856" s="11">
        <v>180</v>
      </c>
    </row>
    <row r="1857" spans="2:6" x14ac:dyDescent="0.3">
      <c r="B1857" s="12">
        <v>1854</v>
      </c>
      <c r="C1857" s="28">
        <v>162.54805714295739</v>
      </c>
      <c r="E1857" s="14" t="s">
        <v>2612</v>
      </c>
      <c r="F1857" s="11">
        <v>171</v>
      </c>
    </row>
    <row r="1858" spans="2:6" x14ac:dyDescent="0.3">
      <c r="B1858" s="12">
        <v>1855</v>
      </c>
      <c r="C1858" s="28">
        <v>153.17182362256202</v>
      </c>
      <c r="E1858" s="14" t="s">
        <v>3450</v>
      </c>
      <c r="F1858" s="11">
        <v>185</v>
      </c>
    </row>
    <row r="1859" spans="2:6" x14ac:dyDescent="0.3">
      <c r="B1859" s="12">
        <v>1856</v>
      </c>
      <c r="C1859" s="28">
        <v>167.77906817851814</v>
      </c>
      <c r="E1859" s="14" t="s">
        <v>1104</v>
      </c>
      <c r="F1859" s="11">
        <v>168</v>
      </c>
    </row>
    <row r="1860" spans="2:6" x14ac:dyDescent="0.3">
      <c r="B1860" s="12">
        <v>1857</v>
      </c>
      <c r="C1860" s="28">
        <v>173.83903957129027</v>
      </c>
      <c r="E1860" s="14" t="s">
        <v>2581</v>
      </c>
      <c r="F1860" s="11">
        <v>161</v>
      </c>
    </row>
    <row r="1861" spans="2:6" x14ac:dyDescent="0.3">
      <c r="B1861" s="12">
        <v>1858</v>
      </c>
      <c r="C1861" s="28">
        <v>164.30634050302345</v>
      </c>
      <c r="E1861" s="14" t="s">
        <v>4070</v>
      </c>
      <c r="F1861" s="11">
        <v>176</v>
      </c>
    </row>
    <row r="1862" spans="2:6" x14ac:dyDescent="0.3">
      <c r="B1862" s="12">
        <v>1859</v>
      </c>
      <c r="C1862" s="28">
        <v>161.57556126169777</v>
      </c>
      <c r="E1862" s="14" t="s">
        <v>2278</v>
      </c>
      <c r="F1862" s="11">
        <v>168</v>
      </c>
    </row>
    <row r="1863" spans="2:6" x14ac:dyDescent="0.3">
      <c r="B1863" s="12">
        <v>1860</v>
      </c>
      <c r="C1863" s="28">
        <v>147.23998590186062</v>
      </c>
      <c r="E1863" s="14" t="s">
        <v>3517</v>
      </c>
      <c r="F1863" s="11">
        <v>173</v>
      </c>
    </row>
    <row r="1864" spans="2:6" x14ac:dyDescent="0.3">
      <c r="B1864" s="12">
        <v>1861</v>
      </c>
      <c r="C1864" s="28">
        <v>160.00361642056123</v>
      </c>
      <c r="E1864" s="14" t="s">
        <v>4474</v>
      </c>
      <c r="F1864" s="11">
        <v>168</v>
      </c>
    </row>
    <row r="1865" spans="2:6" x14ac:dyDescent="0.3">
      <c r="B1865" s="12">
        <v>1862</v>
      </c>
      <c r="C1865" s="28">
        <v>159.14888183832895</v>
      </c>
      <c r="E1865" s="14" t="s">
        <v>4476</v>
      </c>
      <c r="F1865" s="11">
        <v>164</v>
      </c>
    </row>
    <row r="1866" spans="2:6" x14ac:dyDescent="0.3">
      <c r="B1866" s="12">
        <v>1863</v>
      </c>
      <c r="C1866" s="28">
        <v>167.10173296114178</v>
      </c>
      <c r="E1866" s="14" t="s">
        <v>911</v>
      </c>
      <c r="F1866" s="11">
        <v>179</v>
      </c>
    </row>
    <row r="1867" spans="2:6" x14ac:dyDescent="0.3">
      <c r="B1867" s="12">
        <v>1864</v>
      </c>
      <c r="C1867" s="28">
        <v>153.02364615506741</v>
      </c>
      <c r="E1867" s="14" t="s">
        <v>2372</v>
      </c>
      <c r="F1867" s="11">
        <v>161</v>
      </c>
    </row>
    <row r="1868" spans="2:6" x14ac:dyDescent="0.3">
      <c r="B1868" s="12">
        <v>1865</v>
      </c>
      <c r="C1868" s="28">
        <v>163.87152703507226</v>
      </c>
      <c r="E1868" s="14" t="s">
        <v>2678</v>
      </c>
      <c r="F1868" s="11">
        <v>160</v>
      </c>
    </row>
    <row r="1869" spans="2:6" x14ac:dyDescent="0.3">
      <c r="B1869" s="12">
        <v>1866</v>
      </c>
      <c r="C1869" s="28">
        <v>163.66924905258941</v>
      </c>
      <c r="E1869" s="14" t="s">
        <v>760</v>
      </c>
      <c r="F1869" s="11">
        <v>170</v>
      </c>
    </row>
    <row r="1870" spans="2:6" x14ac:dyDescent="0.3">
      <c r="B1870" s="12">
        <v>1867</v>
      </c>
      <c r="C1870" s="28">
        <v>157.03713859331108</v>
      </c>
      <c r="E1870" s="14" t="s">
        <v>1837</v>
      </c>
      <c r="F1870" s="11">
        <v>181</v>
      </c>
    </row>
    <row r="1871" spans="2:6" x14ac:dyDescent="0.3">
      <c r="B1871" s="12">
        <v>1868</v>
      </c>
      <c r="C1871" s="28">
        <v>159.86066380706163</v>
      </c>
      <c r="E1871" s="14" t="s">
        <v>3603</v>
      </c>
      <c r="F1871" s="11">
        <v>167</v>
      </c>
    </row>
    <row r="1872" spans="2:6" x14ac:dyDescent="0.3">
      <c r="B1872" s="12">
        <v>1869</v>
      </c>
      <c r="C1872" s="28">
        <v>155.03014429350225</v>
      </c>
      <c r="E1872" s="14" t="s">
        <v>337</v>
      </c>
      <c r="F1872" s="11">
        <v>173</v>
      </c>
    </row>
    <row r="1873" spans="2:6" x14ac:dyDescent="0.3">
      <c r="B1873" s="12">
        <v>1870</v>
      </c>
      <c r="C1873" s="28">
        <v>161.06437098225487</v>
      </c>
      <c r="E1873" s="14" t="s">
        <v>2089</v>
      </c>
      <c r="F1873" s="11">
        <v>168</v>
      </c>
    </row>
    <row r="1874" spans="2:6" x14ac:dyDescent="0.3">
      <c r="B1874" s="12">
        <v>1871</v>
      </c>
      <c r="C1874" s="28">
        <v>145.97952109400129</v>
      </c>
      <c r="E1874" s="14" t="s">
        <v>1346</v>
      </c>
      <c r="F1874" s="11">
        <v>178</v>
      </c>
    </row>
    <row r="1875" spans="2:6" x14ac:dyDescent="0.3">
      <c r="B1875" s="12">
        <v>1872</v>
      </c>
      <c r="C1875" s="28">
        <v>159.84327758785602</v>
      </c>
      <c r="E1875" s="14" t="s">
        <v>3996</v>
      </c>
      <c r="F1875" s="11">
        <v>165</v>
      </c>
    </row>
    <row r="1876" spans="2:6" x14ac:dyDescent="0.3">
      <c r="B1876" s="12">
        <v>1873</v>
      </c>
      <c r="C1876" s="28">
        <v>168.15499980972959</v>
      </c>
      <c r="E1876" s="14" t="s">
        <v>1737</v>
      </c>
      <c r="F1876" s="11">
        <v>182</v>
      </c>
    </row>
    <row r="1877" spans="2:6" x14ac:dyDescent="0.3">
      <c r="B1877" s="12">
        <v>1874</v>
      </c>
      <c r="C1877" s="28">
        <v>151.38693251463687</v>
      </c>
      <c r="E1877" s="14" t="s">
        <v>310</v>
      </c>
      <c r="F1877" s="11">
        <v>151</v>
      </c>
    </row>
    <row r="1878" spans="2:6" x14ac:dyDescent="0.3">
      <c r="B1878" s="12">
        <v>1875</v>
      </c>
      <c r="C1878" s="28">
        <v>162.21294973291319</v>
      </c>
      <c r="E1878" s="14" t="s">
        <v>2321</v>
      </c>
      <c r="F1878" s="11">
        <v>163</v>
      </c>
    </row>
    <row r="1879" spans="2:6" x14ac:dyDescent="0.3">
      <c r="B1879" s="12">
        <v>1876</v>
      </c>
      <c r="C1879" s="28">
        <v>159.97212105971437</v>
      </c>
      <c r="E1879" s="14" t="s">
        <v>1911</v>
      </c>
      <c r="F1879" s="11">
        <v>156</v>
      </c>
    </row>
    <row r="1880" spans="2:6" x14ac:dyDescent="0.3">
      <c r="B1880" s="12">
        <v>1877</v>
      </c>
      <c r="C1880" s="28">
        <v>160.06383390262386</v>
      </c>
      <c r="E1880" s="14" t="s">
        <v>2276</v>
      </c>
      <c r="F1880" s="11">
        <v>182</v>
      </c>
    </row>
    <row r="1881" spans="2:6" x14ac:dyDescent="0.3">
      <c r="B1881" s="12">
        <v>1878</v>
      </c>
      <c r="C1881" s="28">
        <v>168.69816876915863</v>
      </c>
      <c r="E1881" s="14" t="s">
        <v>952</v>
      </c>
      <c r="F1881" s="11">
        <v>174</v>
      </c>
    </row>
    <row r="1882" spans="2:6" x14ac:dyDescent="0.3">
      <c r="B1882" s="12">
        <v>1879</v>
      </c>
      <c r="C1882" s="28">
        <v>165.06483876853241</v>
      </c>
      <c r="E1882" s="14" t="s">
        <v>3054</v>
      </c>
      <c r="F1882" s="11">
        <v>177</v>
      </c>
    </row>
    <row r="1883" spans="2:6" x14ac:dyDescent="0.3">
      <c r="B1883" s="12">
        <v>1880</v>
      </c>
      <c r="C1883" s="28">
        <v>150.53641023800409</v>
      </c>
      <c r="E1883" s="14" t="s">
        <v>3735</v>
      </c>
      <c r="F1883" s="11">
        <v>175</v>
      </c>
    </row>
    <row r="1884" spans="2:6" x14ac:dyDescent="0.3">
      <c r="B1884" s="12">
        <v>1881</v>
      </c>
      <c r="C1884" s="28">
        <v>174.52359042394707</v>
      </c>
      <c r="E1884" s="14" t="s">
        <v>2495</v>
      </c>
      <c r="F1884" s="11">
        <v>167</v>
      </c>
    </row>
    <row r="1885" spans="2:6" x14ac:dyDescent="0.3">
      <c r="B1885" s="12">
        <v>1882</v>
      </c>
      <c r="C1885" s="28">
        <v>163.66272345167391</v>
      </c>
      <c r="E1885" s="14" t="s">
        <v>4155</v>
      </c>
      <c r="F1885" s="11">
        <v>163</v>
      </c>
    </row>
    <row r="1886" spans="2:6" x14ac:dyDescent="0.3">
      <c r="B1886" s="12">
        <v>1883</v>
      </c>
      <c r="C1886" s="28">
        <v>160.21100193953231</v>
      </c>
      <c r="E1886" s="14" t="s">
        <v>546</v>
      </c>
      <c r="F1886" s="11">
        <v>172</v>
      </c>
    </row>
    <row r="1887" spans="2:6" x14ac:dyDescent="0.3">
      <c r="B1887" s="12">
        <v>1884</v>
      </c>
      <c r="C1887" s="28">
        <v>170.3600807798837</v>
      </c>
      <c r="E1887" s="14" t="s">
        <v>3796</v>
      </c>
      <c r="F1887" s="11">
        <v>143</v>
      </c>
    </row>
    <row r="1888" spans="2:6" x14ac:dyDescent="0.3">
      <c r="B1888" s="12">
        <v>1885</v>
      </c>
      <c r="C1888" s="28">
        <v>159.37828690474674</v>
      </c>
      <c r="E1888" s="14" t="s">
        <v>2518</v>
      </c>
      <c r="F1888" s="11">
        <v>153</v>
      </c>
    </row>
    <row r="1889" spans="2:6" x14ac:dyDescent="0.3">
      <c r="B1889" s="12">
        <v>1886</v>
      </c>
      <c r="C1889" s="28">
        <v>168.57298712475608</v>
      </c>
      <c r="E1889" s="14" t="s">
        <v>3778</v>
      </c>
      <c r="F1889" s="11">
        <v>168</v>
      </c>
    </row>
    <row r="1890" spans="2:6" x14ac:dyDescent="0.3">
      <c r="B1890" s="12">
        <v>1887</v>
      </c>
      <c r="C1890" s="28">
        <v>152.72933711887612</v>
      </c>
      <c r="E1890" s="14" t="s">
        <v>3650</v>
      </c>
      <c r="F1890" s="11">
        <v>176</v>
      </c>
    </row>
    <row r="1891" spans="2:6" x14ac:dyDescent="0.3">
      <c r="B1891" s="12">
        <v>1888</v>
      </c>
      <c r="C1891" s="28">
        <v>159.37362889737648</v>
      </c>
      <c r="E1891" s="14" t="s">
        <v>361</v>
      </c>
      <c r="F1891" s="11">
        <v>170</v>
      </c>
    </row>
    <row r="1892" spans="2:6" x14ac:dyDescent="0.3">
      <c r="B1892" s="12">
        <v>1889</v>
      </c>
      <c r="C1892" s="28">
        <v>171.30958645968718</v>
      </c>
      <c r="E1892" s="14" t="s">
        <v>401</v>
      </c>
      <c r="F1892" s="11">
        <v>165</v>
      </c>
    </row>
    <row r="1893" spans="2:6" x14ac:dyDescent="0.3">
      <c r="B1893" s="12">
        <v>1890</v>
      </c>
      <c r="C1893" s="28">
        <v>164.48029209652344</v>
      </c>
      <c r="E1893" s="14" t="s">
        <v>1095</v>
      </c>
      <c r="F1893" s="11">
        <v>180</v>
      </c>
    </row>
    <row r="1894" spans="2:6" x14ac:dyDescent="0.3">
      <c r="B1894" s="12">
        <v>1891</v>
      </c>
      <c r="C1894" s="28">
        <v>157.96430597236326</v>
      </c>
      <c r="E1894" s="14" t="s">
        <v>2259</v>
      </c>
      <c r="F1894" s="11">
        <v>162</v>
      </c>
    </row>
    <row r="1895" spans="2:6" x14ac:dyDescent="0.3">
      <c r="B1895" s="12">
        <v>1892</v>
      </c>
      <c r="C1895" s="28">
        <v>160.87968736895914</v>
      </c>
      <c r="E1895" s="14" t="s">
        <v>3305</v>
      </c>
      <c r="F1895" s="11">
        <v>170</v>
      </c>
    </row>
    <row r="1896" spans="2:6" x14ac:dyDescent="0.3">
      <c r="B1896" s="12">
        <v>1893</v>
      </c>
      <c r="C1896" s="28">
        <v>168.34941475823143</v>
      </c>
      <c r="E1896" s="14" t="s">
        <v>4300</v>
      </c>
      <c r="F1896" s="11">
        <v>168</v>
      </c>
    </row>
    <row r="1897" spans="2:6" x14ac:dyDescent="0.3">
      <c r="B1897" s="12">
        <v>1894</v>
      </c>
      <c r="C1897" s="28">
        <v>152.13310709557274</v>
      </c>
      <c r="E1897" s="14" t="s">
        <v>4553</v>
      </c>
      <c r="F1897" s="11">
        <v>178</v>
      </c>
    </row>
    <row r="1898" spans="2:6" x14ac:dyDescent="0.3">
      <c r="B1898" s="12">
        <v>1895</v>
      </c>
      <c r="C1898" s="28">
        <v>160.57109064155998</v>
      </c>
      <c r="E1898" s="14" t="s">
        <v>4612</v>
      </c>
      <c r="F1898" s="11">
        <v>166</v>
      </c>
    </row>
    <row r="1899" spans="2:6" x14ac:dyDescent="0.3">
      <c r="B1899" s="12">
        <v>1896</v>
      </c>
      <c r="C1899" s="28">
        <v>175.51325043857713</v>
      </c>
      <c r="E1899" s="14" t="s">
        <v>813</v>
      </c>
      <c r="F1899" s="11">
        <v>169</v>
      </c>
    </row>
    <row r="1900" spans="2:6" x14ac:dyDescent="0.3">
      <c r="B1900" s="12">
        <v>1897</v>
      </c>
      <c r="C1900" s="28">
        <v>168.05586933636053</v>
      </c>
      <c r="E1900" s="14" t="s">
        <v>384</v>
      </c>
      <c r="F1900" s="11">
        <v>163</v>
      </c>
    </row>
    <row r="1901" spans="2:6" x14ac:dyDescent="0.3">
      <c r="B1901" s="12">
        <v>1898</v>
      </c>
      <c r="C1901" s="28">
        <v>155.66761870495299</v>
      </c>
      <c r="E1901" s="14" t="s">
        <v>144</v>
      </c>
      <c r="F1901" s="11">
        <v>171</v>
      </c>
    </row>
    <row r="1902" spans="2:6" x14ac:dyDescent="0.3">
      <c r="B1902" s="12">
        <v>1899</v>
      </c>
      <c r="C1902" s="28">
        <v>153.09655402322522</v>
      </c>
      <c r="E1902" s="14" t="s">
        <v>3136</v>
      </c>
      <c r="F1902" s="11">
        <v>172</v>
      </c>
    </row>
    <row r="1903" spans="2:6" x14ac:dyDescent="0.3">
      <c r="B1903" s="12">
        <v>1900</v>
      </c>
      <c r="C1903" s="28">
        <v>160.57355122907057</v>
      </c>
      <c r="E1903" s="14" t="s">
        <v>3218</v>
      </c>
      <c r="F1903" s="11">
        <v>165</v>
      </c>
    </row>
    <row r="1904" spans="2:6" x14ac:dyDescent="0.3">
      <c r="B1904" s="12">
        <v>1901</v>
      </c>
      <c r="C1904" s="28">
        <v>161.33190935906353</v>
      </c>
      <c r="E1904" s="14" t="s">
        <v>1062</v>
      </c>
      <c r="F1904" s="11">
        <v>175</v>
      </c>
    </row>
    <row r="1905" spans="2:6" x14ac:dyDescent="0.3">
      <c r="B1905" s="12">
        <v>1902</v>
      </c>
      <c r="C1905" s="28">
        <v>157.01301587244001</v>
      </c>
      <c r="E1905" s="14" t="s">
        <v>1856</v>
      </c>
      <c r="F1905" s="11">
        <v>163</v>
      </c>
    </row>
    <row r="1906" spans="2:6" x14ac:dyDescent="0.3">
      <c r="B1906" s="12">
        <v>1903</v>
      </c>
      <c r="C1906" s="28">
        <v>169.05195205132344</v>
      </c>
      <c r="E1906" s="14" t="s">
        <v>1857</v>
      </c>
      <c r="F1906" s="11">
        <v>164</v>
      </c>
    </row>
    <row r="1907" spans="2:6" x14ac:dyDescent="0.3">
      <c r="B1907" s="12">
        <v>1904</v>
      </c>
      <c r="C1907" s="28">
        <v>163.79212496032224</v>
      </c>
      <c r="E1907" s="14" t="s">
        <v>1858</v>
      </c>
      <c r="F1907" s="11">
        <v>164</v>
      </c>
    </row>
    <row r="1908" spans="2:6" x14ac:dyDescent="0.3">
      <c r="B1908" s="12">
        <v>1905</v>
      </c>
      <c r="C1908" s="28">
        <v>154.61499111969241</v>
      </c>
      <c r="E1908" s="14" t="s">
        <v>4285</v>
      </c>
      <c r="F1908" s="11">
        <v>170</v>
      </c>
    </row>
    <row r="1909" spans="2:6" x14ac:dyDescent="0.3">
      <c r="B1909" s="12">
        <v>1906</v>
      </c>
      <c r="C1909" s="28">
        <v>161.5643729675636</v>
      </c>
      <c r="E1909" s="14" t="s">
        <v>3726</v>
      </c>
      <c r="F1909" s="11">
        <v>175</v>
      </c>
    </row>
    <row r="1910" spans="2:6" x14ac:dyDescent="0.3">
      <c r="B1910" s="12">
        <v>1907</v>
      </c>
      <c r="C1910" s="28">
        <v>155.717692456995</v>
      </c>
      <c r="E1910" s="14" t="s">
        <v>4085</v>
      </c>
      <c r="F1910" s="11">
        <v>168</v>
      </c>
    </row>
    <row r="1911" spans="2:6" x14ac:dyDescent="0.3">
      <c r="B1911" s="12">
        <v>1908</v>
      </c>
      <c r="C1911" s="28">
        <v>160.16988325850161</v>
      </c>
      <c r="E1911" s="14" t="s">
        <v>359</v>
      </c>
      <c r="F1911" s="11">
        <v>173</v>
      </c>
    </row>
    <row r="1912" spans="2:6" x14ac:dyDescent="0.3">
      <c r="B1912" s="12">
        <v>1909</v>
      </c>
      <c r="C1912" s="28">
        <v>142.48954429237094</v>
      </c>
      <c r="E1912" s="14" t="s">
        <v>4532</v>
      </c>
      <c r="F1912" s="11">
        <v>162</v>
      </c>
    </row>
    <row r="1913" spans="2:6" x14ac:dyDescent="0.3">
      <c r="B1913" s="12">
        <v>1910</v>
      </c>
      <c r="C1913" s="28">
        <v>160.50787149382452</v>
      </c>
      <c r="E1913" s="14" t="s">
        <v>3885</v>
      </c>
      <c r="F1913" s="11">
        <v>177</v>
      </c>
    </row>
    <row r="1914" spans="2:6" x14ac:dyDescent="0.3">
      <c r="B1914" s="12">
        <v>1911</v>
      </c>
      <c r="C1914" s="28">
        <v>160.10810154644957</v>
      </c>
      <c r="E1914" s="14" t="s">
        <v>4057</v>
      </c>
      <c r="F1914" s="11">
        <v>168</v>
      </c>
    </row>
    <row r="1915" spans="2:6" x14ac:dyDescent="0.3">
      <c r="B1915" s="12">
        <v>1912</v>
      </c>
      <c r="C1915" s="28">
        <v>169.98072180675706</v>
      </c>
      <c r="E1915" s="14" t="s">
        <v>2934</v>
      </c>
      <c r="F1915" s="11">
        <v>175</v>
      </c>
    </row>
    <row r="1916" spans="2:6" x14ac:dyDescent="0.3">
      <c r="B1916" s="12">
        <v>1913</v>
      </c>
      <c r="C1916" s="28">
        <v>164.59755954910642</v>
      </c>
      <c r="E1916" s="14" t="s">
        <v>4507</v>
      </c>
      <c r="F1916" s="11">
        <v>183</v>
      </c>
    </row>
    <row r="1917" spans="2:6" x14ac:dyDescent="0.3">
      <c r="B1917" s="12">
        <v>1914</v>
      </c>
      <c r="C1917" s="28">
        <v>163.84699808226182</v>
      </c>
      <c r="E1917" s="14" t="s">
        <v>1243</v>
      </c>
      <c r="F1917" s="11">
        <v>165</v>
      </c>
    </row>
    <row r="1918" spans="2:6" x14ac:dyDescent="0.3">
      <c r="B1918" s="12">
        <v>1915</v>
      </c>
      <c r="C1918" s="28">
        <v>176.02990176604379</v>
      </c>
      <c r="E1918" s="14" t="s">
        <v>1864</v>
      </c>
      <c r="F1918" s="11">
        <v>186</v>
      </c>
    </row>
    <row r="1919" spans="2:6" x14ac:dyDescent="0.3">
      <c r="B1919" s="12">
        <v>1916</v>
      </c>
      <c r="C1919" s="28">
        <v>155.88766160607128</v>
      </c>
      <c r="E1919" s="14" t="s">
        <v>4681</v>
      </c>
      <c r="F1919" s="11">
        <v>158</v>
      </c>
    </row>
    <row r="1920" spans="2:6" x14ac:dyDescent="0.3">
      <c r="B1920" s="12">
        <v>1917</v>
      </c>
      <c r="C1920" s="28">
        <v>167.07085810342525</v>
      </c>
      <c r="E1920" s="14" t="s">
        <v>1423</v>
      </c>
      <c r="F1920" s="11">
        <v>167</v>
      </c>
    </row>
    <row r="1921" spans="2:6" x14ac:dyDescent="0.3">
      <c r="B1921" s="12">
        <v>1918</v>
      </c>
      <c r="C1921" s="28">
        <v>173.88563326898205</v>
      </c>
      <c r="E1921" s="14" t="s">
        <v>2230</v>
      </c>
      <c r="F1921" s="11">
        <v>178</v>
      </c>
    </row>
    <row r="1922" spans="2:6" x14ac:dyDescent="0.3">
      <c r="B1922" s="12">
        <v>1919</v>
      </c>
      <c r="C1922" s="28">
        <v>152.65042199033437</v>
      </c>
      <c r="E1922" s="14" t="s">
        <v>1860</v>
      </c>
      <c r="F1922" s="11">
        <v>170</v>
      </c>
    </row>
    <row r="1923" spans="2:6" x14ac:dyDescent="0.3">
      <c r="B1923" s="12">
        <v>1920</v>
      </c>
      <c r="C1923" s="28">
        <v>158.87131007775173</v>
      </c>
      <c r="E1923" s="14" t="s">
        <v>113</v>
      </c>
      <c r="F1923" s="11">
        <v>180</v>
      </c>
    </row>
    <row r="1924" spans="2:6" x14ac:dyDescent="0.3">
      <c r="B1924" s="12">
        <v>1921</v>
      </c>
      <c r="C1924" s="28">
        <v>166.62514174187095</v>
      </c>
      <c r="E1924" s="14" t="s">
        <v>3529</v>
      </c>
      <c r="F1924" s="11">
        <v>180</v>
      </c>
    </row>
    <row r="1925" spans="2:6" x14ac:dyDescent="0.3">
      <c r="B1925" s="12">
        <v>1922</v>
      </c>
      <c r="C1925" s="28">
        <v>171.83663612575947</v>
      </c>
      <c r="E1925" s="14" t="s">
        <v>3327</v>
      </c>
      <c r="F1925" s="11">
        <v>168</v>
      </c>
    </row>
    <row r="1926" spans="2:6" x14ac:dyDescent="0.3">
      <c r="B1926" s="12">
        <v>1923</v>
      </c>
      <c r="C1926" s="28">
        <v>163.51313428095443</v>
      </c>
      <c r="E1926" s="14" t="s">
        <v>1923</v>
      </c>
      <c r="F1926" s="11">
        <v>163</v>
      </c>
    </row>
    <row r="1927" spans="2:6" x14ac:dyDescent="0.3">
      <c r="B1927" s="12">
        <v>1924</v>
      </c>
      <c r="C1927" s="28">
        <v>154.71970810759353</v>
      </c>
      <c r="E1927" s="14" t="s">
        <v>2783</v>
      </c>
      <c r="F1927" s="11">
        <v>155</v>
      </c>
    </row>
    <row r="1928" spans="2:6" x14ac:dyDescent="0.3">
      <c r="B1928" s="12">
        <v>1925</v>
      </c>
      <c r="C1928" s="28">
        <v>157.45581923717367</v>
      </c>
      <c r="E1928" s="14" t="s">
        <v>3831</v>
      </c>
      <c r="F1928" s="11">
        <v>160</v>
      </c>
    </row>
    <row r="1929" spans="2:6" x14ac:dyDescent="0.3">
      <c r="B1929" s="12">
        <v>1926</v>
      </c>
      <c r="C1929" s="28">
        <v>150.19861818798782</v>
      </c>
      <c r="E1929" s="14" t="s">
        <v>649</v>
      </c>
      <c r="F1929" s="11">
        <v>175</v>
      </c>
    </row>
    <row r="1930" spans="2:6" x14ac:dyDescent="0.3">
      <c r="B1930" s="12">
        <v>1927</v>
      </c>
      <c r="C1930" s="28">
        <v>159.68108483161504</v>
      </c>
      <c r="E1930" s="14" t="s">
        <v>3842</v>
      </c>
      <c r="F1930" s="11">
        <v>177</v>
      </c>
    </row>
    <row r="1931" spans="2:6" x14ac:dyDescent="0.3">
      <c r="B1931" s="12">
        <v>1928</v>
      </c>
      <c r="C1931" s="28">
        <v>165.36630724156706</v>
      </c>
      <c r="E1931" s="14" t="s">
        <v>3210</v>
      </c>
      <c r="F1931" s="11">
        <v>178</v>
      </c>
    </row>
    <row r="1932" spans="2:6" x14ac:dyDescent="0.3">
      <c r="B1932" s="12">
        <v>1929</v>
      </c>
      <c r="C1932" s="28">
        <v>156.62307539688541</v>
      </c>
      <c r="E1932" s="14" t="s">
        <v>236</v>
      </c>
      <c r="F1932" s="11">
        <v>170</v>
      </c>
    </row>
    <row r="1933" spans="2:6" x14ac:dyDescent="0.3">
      <c r="B1933" s="12">
        <v>1930</v>
      </c>
      <c r="C1933" s="28">
        <v>148.92710998647414</v>
      </c>
      <c r="E1933" s="14" t="s">
        <v>798</v>
      </c>
      <c r="F1933" s="11">
        <v>170</v>
      </c>
    </row>
    <row r="1934" spans="2:6" x14ac:dyDescent="0.3">
      <c r="B1934" s="12">
        <v>1931</v>
      </c>
      <c r="C1934" s="28">
        <v>176.87526512310413</v>
      </c>
      <c r="E1934" s="14" t="s">
        <v>1434</v>
      </c>
      <c r="F1934" s="11">
        <v>170</v>
      </c>
    </row>
    <row r="1935" spans="2:6" x14ac:dyDescent="0.3">
      <c r="B1935" s="12">
        <v>1932</v>
      </c>
      <c r="C1935" s="28">
        <v>171.5831063538914</v>
      </c>
      <c r="E1935" s="14" t="s">
        <v>696</v>
      </c>
      <c r="F1935" s="11">
        <v>168</v>
      </c>
    </row>
    <row r="1936" spans="2:6" x14ac:dyDescent="0.3">
      <c r="B1936" s="12">
        <v>1933</v>
      </c>
      <c r="C1936" s="28">
        <v>157.93801122177811</v>
      </c>
      <c r="E1936" s="14" t="s">
        <v>3204</v>
      </c>
      <c r="F1936" s="11">
        <v>177</v>
      </c>
    </row>
    <row r="1937" spans="2:6" x14ac:dyDescent="0.3">
      <c r="B1937" s="12">
        <v>1934</v>
      </c>
      <c r="C1937" s="28">
        <v>158.27129428323249</v>
      </c>
      <c r="E1937" s="14" t="s">
        <v>1861</v>
      </c>
      <c r="F1937" s="11">
        <v>177</v>
      </c>
    </row>
    <row r="1938" spans="2:6" x14ac:dyDescent="0.3">
      <c r="B1938" s="12">
        <v>1935</v>
      </c>
      <c r="C1938" s="28">
        <v>154.58183462023007</v>
      </c>
      <c r="E1938" s="14" t="s">
        <v>2819</v>
      </c>
      <c r="F1938" s="11">
        <v>190</v>
      </c>
    </row>
    <row r="1939" spans="2:6" x14ac:dyDescent="0.3">
      <c r="B1939" s="12">
        <v>1936</v>
      </c>
      <c r="C1939" s="28">
        <v>168.06386569829917</v>
      </c>
      <c r="E1939" s="14" t="s">
        <v>3062</v>
      </c>
      <c r="F1939" s="11">
        <v>194</v>
      </c>
    </row>
    <row r="1940" spans="2:6" x14ac:dyDescent="0.3">
      <c r="B1940" s="12">
        <v>1937</v>
      </c>
      <c r="C1940" s="28">
        <v>147.64010101361052</v>
      </c>
      <c r="E1940" s="14" t="s">
        <v>4166</v>
      </c>
      <c r="F1940" s="11">
        <v>160</v>
      </c>
    </row>
    <row r="1941" spans="2:6" x14ac:dyDescent="0.3">
      <c r="B1941" s="12">
        <v>1938</v>
      </c>
      <c r="C1941" s="28">
        <v>166.74352021042264</v>
      </c>
      <c r="E1941" s="14" t="s">
        <v>1589</v>
      </c>
      <c r="F1941" s="11">
        <v>166</v>
      </c>
    </row>
    <row r="1942" spans="2:6" x14ac:dyDescent="0.3">
      <c r="B1942" s="12">
        <v>1939</v>
      </c>
      <c r="C1942" s="28">
        <v>168.84767110549623</v>
      </c>
      <c r="E1942" s="14" t="s">
        <v>4744</v>
      </c>
      <c r="F1942" s="11">
        <v>165</v>
      </c>
    </row>
    <row r="1943" spans="2:6" x14ac:dyDescent="0.3">
      <c r="B1943" s="12">
        <v>1940</v>
      </c>
      <c r="C1943" s="28">
        <v>161.60678703529004</v>
      </c>
      <c r="E1943" s="14" t="s">
        <v>2308</v>
      </c>
      <c r="F1943" s="11">
        <v>182</v>
      </c>
    </row>
    <row r="1944" spans="2:6" x14ac:dyDescent="0.3">
      <c r="B1944" s="12">
        <v>1941</v>
      </c>
      <c r="C1944" s="28">
        <v>158.53351164305911</v>
      </c>
      <c r="E1944" s="14" t="s">
        <v>3479</v>
      </c>
      <c r="F1944" s="11">
        <v>173</v>
      </c>
    </row>
    <row r="1945" spans="2:6" x14ac:dyDescent="0.3">
      <c r="B1945" s="12">
        <v>1942</v>
      </c>
      <c r="C1945" s="28">
        <v>166.26865755264365</v>
      </c>
      <c r="E1945" s="14" t="s">
        <v>1900</v>
      </c>
      <c r="F1945" s="11">
        <v>188</v>
      </c>
    </row>
    <row r="1946" spans="2:6" x14ac:dyDescent="0.3">
      <c r="B1946" s="12">
        <v>1943</v>
      </c>
      <c r="C1946" s="28">
        <v>161.09425034014171</v>
      </c>
      <c r="E1946" s="14" t="s">
        <v>2095</v>
      </c>
      <c r="F1946" s="11">
        <v>172</v>
      </c>
    </row>
    <row r="1947" spans="2:6" x14ac:dyDescent="0.3">
      <c r="B1947" s="12">
        <v>1944</v>
      </c>
      <c r="C1947" s="28">
        <v>155.87483533944396</v>
      </c>
      <c r="E1947" s="14" t="s">
        <v>2723</v>
      </c>
      <c r="F1947" s="11">
        <v>175</v>
      </c>
    </row>
    <row r="1948" spans="2:6" x14ac:dyDescent="0.3">
      <c r="B1948" s="12">
        <v>1945</v>
      </c>
      <c r="C1948" s="28">
        <v>162.86750445825504</v>
      </c>
      <c r="E1948" s="14" t="s">
        <v>4150</v>
      </c>
      <c r="F1948" s="11">
        <v>183</v>
      </c>
    </row>
    <row r="1949" spans="2:6" x14ac:dyDescent="0.3">
      <c r="B1949" s="12">
        <v>1946</v>
      </c>
      <c r="C1949" s="28">
        <v>150.74256930694446</v>
      </c>
      <c r="E1949" s="14" t="s">
        <v>460</v>
      </c>
      <c r="F1949" s="11">
        <v>163</v>
      </c>
    </row>
    <row r="1950" spans="2:6" x14ac:dyDescent="0.3">
      <c r="B1950" s="12">
        <v>1947</v>
      </c>
      <c r="C1950" s="28">
        <v>166.23951731557602</v>
      </c>
      <c r="E1950" s="14" t="s">
        <v>913</v>
      </c>
      <c r="F1950" s="11">
        <v>180</v>
      </c>
    </row>
    <row r="1951" spans="2:6" x14ac:dyDescent="0.3">
      <c r="B1951" s="12">
        <v>1948</v>
      </c>
      <c r="C1951" s="28">
        <v>146.78758859494889</v>
      </c>
      <c r="E1951" s="14" t="s">
        <v>10</v>
      </c>
      <c r="F1951" s="11">
        <v>160</v>
      </c>
    </row>
    <row r="1952" spans="2:6" x14ac:dyDescent="0.3">
      <c r="B1952" s="12">
        <v>1949</v>
      </c>
      <c r="C1952" s="28">
        <v>149.92592162075567</v>
      </c>
      <c r="E1952" s="14" t="s">
        <v>814</v>
      </c>
      <c r="F1952" s="11">
        <v>175</v>
      </c>
    </row>
    <row r="1953" spans="2:6" x14ac:dyDescent="0.3">
      <c r="B1953" s="12">
        <v>1950</v>
      </c>
      <c r="C1953" s="28">
        <v>168.09494285653767</v>
      </c>
      <c r="E1953" s="14" t="s">
        <v>763</v>
      </c>
      <c r="F1953" s="11">
        <v>161</v>
      </c>
    </row>
    <row r="1954" spans="2:6" x14ac:dyDescent="0.3">
      <c r="B1954" s="12">
        <v>1951</v>
      </c>
      <c r="C1954" s="28">
        <v>162.59704818980671</v>
      </c>
      <c r="E1954" s="14" t="s">
        <v>1336</v>
      </c>
      <c r="F1954" s="11">
        <v>169</v>
      </c>
    </row>
    <row r="1955" spans="2:6" x14ac:dyDescent="0.3">
      <c r="B1955" s="12">
        <v>1952</v>
      </c>
      <c r="C1955" s="28">
        <v>164.06296000230233</v>
      </c>
      <c r="E1955" s="14" t="s">
        <v>1655</v>
      </c>
      <c r="F1955" s="11">
        <v>174</v>
      </c>
    </row>
    <row r="1956" spans="2:6" x14ac:dyDescent="0.3">
      <c r="B1956" s="12">
        <v>1953</v>
      </c>
      <c r="C1956" s="28">
        <v>165.34606682013867</v>
      </c>
      <c r="E1956" s="14" t="s">
        <v>2554</v>
      </c>
      <c r="F1956" s="11">
        <v>168</v>
      </c>
    </row>
    <row r="1957" spans="2:6" x14ac:dyDescent="0.3">
      <c r="B1957" s="12">
        <v>1954</v>
      </c>
      <c r="C1957" s="28">
        <v>154.25811833267718</v>
      </c>
      <c r="E1957" s="14" t="s">
        <v>319</v>
      </c>
      <c r="F1957" s="11">
        <v>166</v>
      </c>
    </row>
    <row r="1958" spans="2:6" x14ac:dyDescent="0.3">
      <c r="B1958" s="12">
        <v>1955</v>
      </c>
      <c r="C1958" s="28">
        <v>158.53813030944355</v>
      </c>
      <c r="E1958" s="14" t="s">
        <v>2657</v>
      </c>
      <c r="F1958" s="11">
        <v>179</v>
      </c>
    </row>
    <row r="1959" spans="2:6" x14ac:dyDescent="0.3">
      <c r="B1959" s="12">
        <v>1956</v>
      </c>
      <c r="C1959" s="28">
        <v>150.99646306065583</v>
      </c>
      <c r="E1959" s="14" t="s">
        <v>3121</v>
      </c>
      <c r="F1959" s="11">
        <v>175</v>
      </c>
    </row>
    <row r="1960" spans="2:6" x14ac:dyDescent="0.3">
      <c r="B1960" s="12">
        <v>1957</v>
      </c>
      <c r="C1960" s="28">
        <v>148.56578622036949</v>
      </c>
      <c r="E1960" s="14" t="s">
        <v>4408</v>
      </c>
      <c r="F1960" s="11">
        <v>157</v>
      </c>
    </row>
    <row r="1961" spans="2:6" x14ac:dyDescent="0.3">
      <c r="B1961" s="12">
        <v>1958</v>
      </c>
      <c r="C1961" s="28">
        <v>160.3096979416982</v>
      </c>
      <c r="E1961" s="14" t="s">
        <v>4485</v>
      </c>
      <c r="F1961" s="11">
        <v>176</v>
      </c>
    </row>
    <row r="1962" spans="2:6" x14ac:dyDescent="0.3">
      <c r="B1962" s="12">
        <v>1959</v>
      </c>
      <c r="C1962" s="28">
        <v>158.48607942023338</v>
      </c>
      <c r="E1962" s="14" t="s">
        <v>4694</v>
      </c>
      <c r="F1962" s="11">
        <v>166</v>
      </c>
    </row>
    <row r="1963" spans="2:6" x14ac:dyDescent="0.3">
      <c r="B1963" s="12">
        <v>1960</v>
      </c>
      <c r="C1963" s="28">
        <v>163.11452089022421</v>
      </c>
      <c r="E1963" s="14" t="s">
        <v>119</v>
      </c>
      <c r="F1963" s="11">
        <v>184</v>
      </c>
    </row>
    <row r="1964" spans="2:6" x14ac:dyDescent="0.3">
      <c r="B1964" s="12">
        <v>1961</v>
      </c>
      <c r="C1964" s="28">
        <v>159.97981885275462</v>
      </c>
      <c r="E1964" s="14" t="s">
        <v>1142</v>
      </c>
      <c r="F1964" s="11">
        <v>180</v>
      </c>
    </row>
    <row r="1965" spans="2:6" x14ac:dyDescent="0.3">
      <c r="B1965" s="12">
        <v>1962</v>
      </c>
      <c r="C1965" s="28">
        <v>159.10358083348439</v>
      </c>
      <c r="E1965" s="14" t="s">
        <v>218</v>
      </c>
      <c r="F1965" s="11">
        <v>166</v>
      </c>
    </row>
    <row r="1966" spans="2:6" x14ac:dyDescent="0.3">
      <c r="B1966" s="12">
        <v>1963</v>
      </c>
      <c r="C1966" s="28">
        <v>151.72760783157597</v>
      </c>
      <c r="E1966" s="14" t="s">
        <v>2766</v>
      </c>
      <c r="F1966" s="11">
        <v>183</v>
      </c>
    </row>
    <row r="1967" spans="2:6" x14ac:dyDescent="0.3">
      <c r="B1967" s="12">
        <v>1964</v>
      </c>
      <c r="C1967" s="28">
        <v>159.27016710223674</v>
      </c>
      <c r="E1967" s="14" t="s">
        <v>3634</v>
      </c>
      <c r="F1967" s="11">
        <v>165</v>
      </c>
    </row>
    <row r="1968" spans="2:6" x14ac:dyDescent="0.3">
      <c r="B1968" s="12">
        <v>1965</v>
      </c>
      <c r="C1968" s="28">
        <v>147.66162062638784</v>
      </c>
      <c r="E1968" s="14" t="s">
        <v>1879</v>
      </c>
      <c r="F1968" s="11">
        <v>169</v>
      </c>
    </row>
    <row r="1969" spans="2:6" x14ac:dyDescent="0.3">
      <c r="B1969" s="12">
        <v>1966</v>
      </c>
      <c r="C1969" s="28">
        <v>166.9652462783618</v>
      </c>
      <c r="E1969" s="14" t="s">
        <v>1880</v>
      </c>
      <c r="F1969" s="11">
        <v>159</v>
      </c>
    </row>
    <row r="1970" spans="2:6" x14ac:dyDescent="0.3">
      <c r="B1970" s="12">
        <v>1967</v>
      </c>
      <c r="C1970" s="28">
        <v>154.55103133705649</v>
      </c>
      <c r="E1970" s="14" t="s">
        <v>1881</v>
      </c>
      <c r="F1970" s="11">
        <v>158</v>
      </c>
    </row>
    <row r="1971" spans="2:6" x14ac:dyDescent="0.3">
      <c r="B1971" s="12">
        <v>1968</v>
      </c>
      <c r="C1971" s="28">
        <v>160.4439291519185</v>
      </c>
      <c r="E1971" s="14" t="s">
        <v>1882</v>
      </c>
      <c r="F1971" s="11">
        <v>153</v>
      </c>
    </row>
    <row r="1972" spans="2:6" x14ac:dyDescent="0.3">
      <c r="B1972" s="12">
        <v>1969</v>
      </c>
      <c r="C1972" s="28">
        <v>161.30192494589809</v>
      </c>
      <c r="E1972" s="14" t="s">
        <v>1883</v>
      </c>
      <c r="F1972" s="11">
        <v>172</v>
      </c>
    </row>
    <row r="1973" spans="2:6" x14ac:dyDescent="0.3">
      <c r="B1973" s="12">
        <v>1970</v>
      </c>
      <c r="C1973" s="28">
        <v>160.30151547454042</v>
      </c>
      <c r="E1973" s="14" t="s">
        <v>1884</v>
      </c>
      <c r="F1973" s="11">
        <v>170</v>
      </c>
    </row>
    <row r="1974" spans="2:6" x14ac:dyDescent="0.3">
      <c r="B1974" s="12">
        <v>1971</v>
      </c>
      <c r="C1974" s="28">
        <v>175.7247172415756</v>
      </c>
      <c r="E1974" s="14" t="s">
        <v>3905</v>
      </c>
      <c r="F1974" s="11">
        <v>167</v>
      </c>
    </row>
    <row r="1975" spans="2:6" x14ac:dyDescent="0.3">
      <c r="B1975" s="12">
        <v>1972</v>
      </c>
      <c r="C1975" s="28">
        <v>165.38916755139707</v>
      </c>
      <c r="E1975" s="14" t="s">
        <v>169</v>
      </c>
      <c r="F1975" s="11">
        <v>168</v>
      </c>
    </row>
    <row r="1976" spans="2:6" x14ac:dyDescent="0.3">
      <c r="B1976" s="12">
        <v>1973</v>
      </c>
      <c r="C1976" s="28">
        <v>159.19502892775645</v>
      </c>
      <c r="E1976" s="14" t="s">
        <v>4337</v>
      </c>
      <c r="F1976" s="11">
        <v>170</v>
      </c>
    </row>
    <row r="1977" spans="2:6" x14ac:dyDescent="0.3">
      <c r="B1977" s="12">
        <v>1974</v>
      </c>
      <c r="C1977" s="28">
        <v>162.51039825843327</v>
      </c>
      <c r="E1977" s="14" t="s">
        <v>233</v>
      </c>
      <c r="F1977" s="11">
        <v>173</v>
      </c>
    </row>
    <row r="1978" spans="2:6" x14ac:dyDescent="0.3">
      <c r="B1978" s="12">
        <v>1975</v>
      </c>
      <c r="C1978" s="28">
        <v>161.67212091760041</v>
      </c>
      <c r="E1978" s="14" t="s">
        <v>450</v>
      </c>
      <c r="F1978" s="11">
        <v>160</v>
      </c>
    </row>
    <row r="1979" spans="2:6" x14ac:dyDescent="0.3">
      <c r="B1979" s="12">
        <v>1976</v>
      </c>
      <c r="C1979" s="28">
        <v>165.97454815198046</v>
      </c>
      <c r="E1979" s="14" t="s">
        <v>2481</v>
      </c>
      <c r="F1979" s="11">
        <v>155</v>
      </c>
    </row>
    <row r="1980" spans="2:6" x14ac:dyDescent="0.3">
      <c r="B1980" s="12">
        <v>1977</v>
      </c>
      <c r="C1980" s="28">
        <v>162.73712972167712</v>
      </c>
      <c r="E1980" s="14" t="s">
        <v>1302</v>
      </c>
      <c r="F1980" s="11">
        <v>166</v>
      </c>
    </row>
    <row r="1981" spans="2:6" x14ac:dyDescent="0.3">
      <c r="B1981" s="12">
        <v>1978</v>
      </c>
      <c r="C1981" s="28">
        <v>173.68063952759823</v>
      </c>
      <c r="E1981" s="14" t="s">
        <v>3782</v>
      </c>
      <c r="F1981" s="11">
        <v>166</v>
      </c>
    </row>
    <row r="1982" spans="2:6" x14ac:dyDescent="0.3">
      <c r="B1982" s="12">
        <v>1979</v>
      </c>
      <c r="C1982" s="28">
        <v>155.23618568112809</v>
      </c>
      <c r="E1982" s="14" t="s">
        <v>1569</v>
      </c>
      <c r="F1982" s="11">
        <v>183</v>
      </c>
    </row>
    <row r="1983" spans="2:6" x14ac:dyDescent="0.3">
      <c r="B1983" s="12">
        <v>1980</v>
      </c>
      <c r="C1983" s="28">
        <v>163.99966789499982</v>
      </c>
      <c r="E1983" s="14" t="s">
        <v>1584</v>
      </c>
      <c r="F1983" s="11">
        <v>153</v>
      </c>
    </row>
    <row r="1984" spans="2:6" x14ac:dyDescent="0.3">
      <c r="B1984" s="12">
        <v>1981</v>
      </c>
      <c r="C1984" s="28">
        <v>176.15380006606685</v>
      </c>
      <c r="E1984" s="14" t="s">
        <v>1803</v>
      </c>
      <c r="F1984" s="11">
        <v>175</v>
      </c>
    </row>
    <row r="1985" spans="2:6" x14ac:dyDescent="0.3">
      <c r="B1985" s="12">
        <v>1982</v>
      </c>
      <c r="C1985" s="28">
        <v>161.02038184813526</v>
      </c>
      <c r="E1985" s="14" t="s">
        <v>1119</v>
      </c>
      <c r="F1985" s="11">
        <v>178</v>
      </c>
    </row>
    <row r="1986" spans="2:6" x14ac:dyDescent="0.3">
      <c r="B1986" s="12">
        <v>1983</v>
      </c>
      <c r="C1986" s="28">
        <v>144.18171937431626</v>
      </c>
      <c r="E1986" s="14" t="s">
        <v>1871</v>
      </c>
      <c r="F1986" s="11">
        <v>168</v>
      </c>
    </row>
    <row r="1987" spans="2:6" x14ac:dyDescent="0.3">
      <c r="B1987" s="12">
        <v>1984</v>
      </c>
      <c r="C1987" s="28">
        <v>162.1345819505251</v>
      </c>
      <c r="E1987" s="14" t="s">
        <v>1733</v>
      </c>
      <c r="F1987" s="11">
        <v>161</v>
      </c>
    </row>
    <row r="1988" spans="2:6" x14ac:dyDescent="0.3">
      <c r="B1988" s="12">
        <v>1985</v>
      </c>
      <c r="C1988" s="28">
        <v>149.47974795236365</v>
      </c>
      <c r="E1988" s="14" t="s">
        <v>1076</v>
      </c>
      <c r="F1988" s="11">
        <v>170</v>
      </c>
    </row>
    <row r="1989" spans="2:6" x14ac:dyDescent="0.3">
      <c r="B1989" s="12">
        <v>1986</v>
      </c>
      <c r="C1989" s="28">
        <v>168.26888263733127</v>
      </c>
      <c r="E1989" s="14" t="s">
        <v>2898</v>
      </c>
      <c r="F1989" s="11">
        <v>180</v>
      </c>
    </row>
    <row r="1990" spans="2:6" x14ac:dyDescent="0.3">
      <c r="B1990" s="12">
        <v>1987</v>
      </c>
      <c r="C1990" s="28">
        <v>160.20796623827681</v>
      </c>
      <c r="E1990" s="14" t="s">
        <v>3113</v>
      </c>
      <c r="F1990" s="11">
        <v>158</v>
      </c>
    </row>
    <row r="1991" spans="2:6" x14ac:dyDescent="0.3">
      <c r="B1991" s="12">
        <v>1988</v>
      </c>
      <c r="C1991" s="28">
        <v>161.95696421539375</v>
      </c>
      <c r="E1991" s="14" t="s">
        <v>3270</v>
      </c>
      <c r="F1991" s="11">
        <v>157</v>
      </c>
    </row>
    <row r="1992" spans="2:6" x14ac:dyDescent="0.3">
      <c r="B1992" s="12">
        <v>1989</v>
      </c>
      <c r="C1992" s="28">
        <v>158.78702750051889</v>
      </c>
      <c r="E1992" s="14" t="s">
        <v>3380</v>
      </c>
      <c r="F1992" s="11">
        <v>157</v>
      </c>
    </row>
    <row r="1993" spans="2:6" x14ac:dyDescent="0.3">
      <c r="B1993" s="12">
        <v>1990</v>
      </c>
      <c r="C1993" s="28">
        <v>157.04210006233578</v>
      </c>
      <c r="E1993" s="14" t="s">
        <v>1159</v>
      </c>
      <c r="F1993" s="11">
        <v>165</v>
      </c>
    </row>
    <row r="1994" spans="2:6" x14ac:dyDescent="0.3">
      <c r="B1994" s="12">
        <v>1991</v>
      </c>
      <c r="C1994" s="28">
        <v>161.26782433244338</v>
      </c>
      <c r="E1994" s="14" t="s">
        <v>3707</v>
      </c>
      <c r="F1994" s="11">
        <v>168</v>
      </c>
    </row>
    <row r="1995" spans="2:6" x14ac:dyDescent="0.3">
      <c r="B1995" s="12">
        <v>1992</v>
      </c>
      <c r="C1995" s="28">
        <v>154.98692391458735</v>
      </c>
      <c r="E1995" s="14" t="s">
        <v>4640</v>
      </c>
      <c r="F1995" s="11">
        <v>170</v>
      </c>
    </row>
    <row r="1996" spans="2:6" x14ac:dyDescent="0.3">
      <c r="B1996" s="12">
        <v>1993</v>
      </c>
      <c r="C1996" s="28">
        <v>161.26369554500982</v>
      </c>
      <c r="E1996" s="14" t="s">
        <v>2566</v>
      </c>
      <c r="F1996" s="11">
        <v>167</v>
      </c>
    </row>
    <row r="1997" spans="2:6" x14ac:dyDescent="0.3">
      <c r="B1997" s="12">
        <v>1994</v>
      </c>
      <c r="C1997" s="28">
        <v>156.28165843879714</v>
      </c>
      <c r="E1997" s="14" t="s">
        <v>4402</v>
      </c>
      <c r="F1997" s="11">
        <v>166</v>
      </c>
    </row>
    <row r="1998" spans="2:6" x14ac:dyDescent="0.3">
      <c r="B1998" s="12">
        <v>1995</v>
      </c>
      <c r="C1998" s="28">
        <v>159.13848708773622</v>
      </c>
      <c r="E1998" s="14" t="s">
        <v>4492</v>
      </c>
      <c r="F1998" s="11">
        <v>163</v>
      </c>
    </row>
    <row r="1999" spans="2:6" x14ac:dyDescent="0.3">
      <c r="B1999" s="12">
        <v>1996</v>
      </c>
      <c r="C1999" s="28">
        <v>163.05042769608016</v>
      </c>
      <c r="E1999" s="14" t="s">
        <v>1270</v>
      </c>
      <c r="F1999" s="11">
        <v>164</v>
      </c>
    </row>
    <row r="2000" spans="2:6" x14ac:dyDescent="0.3">
      <c r="B2000" s="12">
        <v>1997</v>
      </c>
      <c r="C2000" s="28">
        <v>167.13088444649372</v>
      </c>
      <c r="E2000" s="14" t="s">
        <v>4401</v>
      </c>
      <c r="F2000" s="11">
        <v>180</v>
      </c>
    </row>
    <row r="2001" spans="2:6" x14ac:dyDescent="0.3">
      <c r="B2001" s="12">
        <v>1998</v>
      </c>
      <c r="C2001" s="28">
        <v>162.01910801903477</v>
      </c>
      <c r="E2001" s="14" t="s">
        <v>829</v>
      </c>
      <c r="F2001" s="11">
        <v>162</v>
      </c>
    </row>
    <row r="2002" spans="2:6" x14ac:dyDescent="0.3">
      <c r="B2002" s="12">
        <v>1999</v>
      </c>
      <c r="C2002" s="28">
        <v>155.41309794264095</v>
      </c>
      <c r="E2002" s="14" t="s">
        <v>2442</v>
      </c>
      <c r="F2002" s="11">
        <v>160</v>
      </c>
    </row>
    <row r="2003" spans="2:6" x14ac:dyDescent="0.3">
      <c r="B2003" s="12">
        <v>2000</v>
      </c>
      <c r="C2003" s="28">
        <v>150.75873077626764</v>
      </c>
      <c r="E2003" s="14" t="s">
        <v>2314</v>
      </c>
      <c r="F2003" s="11">
        <v>163</v>
      </c>
    </row>
    <row r="2004" spans="2:6" x14ac:dyDescent="0.3">
      <c r="B2004" s="12">
        <v>2001</v>
      </c>
      <c r="C2004" s="28">
        <v>159.27048830116178</v>
      </c>
      <c r="E2004" s="14" t="s">
        <v>1889</v>
      </c>
      <c r="F2004" s="11">
        <v>178</v>
      </c>
    </row>
    <row r="2005" spans="2:6" x14ac:dyDescent="0.3">
      <c r="B2005" s="12">
        <v>2002</v>
      </c>
      <c r="C2005" s="28">
        <v>157.2926744062699</v>
      </c>
      <c r="E2005" s="14" t="s">
        <v>2382</v>
      </c>
      <c r="F2005" s="11">
        <v>167</v>
      </c>
    </row>
    <row r="2006" spans="2:6" x14ac:dyDescent="0.3">
      <c r="B2006" s="12">
        <v>2003</v>
      </c>
      <c r="C2006" s="28">
        <v>157.45732861785135</v>
      </c>
      <c r="E2006" s="14" t="s">
        <v>4934</v>
      </c>
      <c r="F2006" s="11">
        <v>165</v>
      </c>
    </row>
    <row r="2007" spans="2:6" x14ac:dyDescent="0.3">
      <c r="B2007" s="12">
        <v>2004</v>
      </c>
      <c r="C2007" s="28">
        <v>147.73265613148797</v>
      </c>
      <c r="E2007" s="14" t="s">
        <v>2384</v>
      </c>
      <c r="F2007" s="11">
        <v>165</v>
      </c>
    </row>
    <row r="2008" spans="2:6" x14ac:dyDescent="0.3">
      <c r="B2008" s="12">
        <v>2005</v>
      </c>
      <c r="C2008" s="28">
        <v>171.22605742560896</v>
      </c>
      <c r="E2008" s="14" t="s">
        <v>3505</v>
      </c>
      <c r="F2008" s="11">
        <v>173</v>
      </c>
    </row>
    <row r="2009" spans="2:6" x14ac:dyDescent="0.3">
      <c r="B2009" s="12">
        <v>2006</v>
      </c>
      <c r="C2009" s="28">
        <v>157.66994832975917</v>
      </c>
      <c r="E2009" s="14" t="s">
        <v>4746</v>
      </c>
      <c r="F2009" s="11">
        <v>158</v>
      </c>
    </row>
    <row r="2010" spans="2:6" x14ac:dyDescent="0.3">
      <c r="B2010" s="12">
        <v>2007</v>
      </c>
      <c r="C2010" s="28">
        <v>166.36506818888651</v>
      </c>
      <c r="E2010" s="14" t="s">
        <v>1345</v>
      </c>
      <c r="F2010" s="11">
        <v>165</v>
      </c>
    </row>
    <row r="2011" spans="2:6" x14ac:dyDescent="0.3">
      <c r="B2011" s="12">
        <v>2008</v>
      </c>
      <c r="C2011" s="28">
        <v>159.04281097631159</v>
      </c>
      <c r="E2011" s="14" t="s">
        <v>3470</v>
      </c>
      <c r="F2011" s="11">
        <v>178</v>
      </c>
    </row>
    <row r="2012" spans="2:6" x14ac:dyDescent="0.3">
      <c r="B2012" s="12">
        <v>2009</v>
      </c>
      <c r="C2012" s="28">
        <v>163.66173887041495</v>
      </c>
      <c r="E2012" s="14" t="s">
        <v>1893</v>
      </c>
      <c r="F2012" s="11">
        <v>176</v>
      </c>
    </row>
    <row r="2013" spans="2:6" x14ac:dyDescent="0.3">
      <c r="B2013" s="12">
        <v>2010</v>
      </c>
      <c r="C2013" s="28">
        <v>161.16099497277713</v>
      </c>
      <c r="E2013" s="14" t="s">
        <v>3376</v>
      </c>
      <c r="F2013" s="11">
        <v>166</v>
      </c>
    </row>
    <row r="2014" spans="2:6" x14ac:dyDescent="0.3">
      <c r="B2014" s="12">
        <v>2011</v>
      </c>
      <c r="C2014" s="28">
        <v>162.65146223705432</v>
      </c>
      <c r="E2014" s="14" t="s">
        <v>4542</v>
      </c>
      <c r="F2014" s="11">
        <v>181</v>
      </c>
    </row>
    <row r="2015" spans="2:6" x14ac:dyDescent="0.3">
      <c r="B2015" s="12">
        <v>2012</v>
      </c>
      <c r="C2015" s="28">
        <v>159.68466313052954</v>
      </c>
      <c r="E2015" s="14" t="s">
        <v>3811</v>
      </c>
      <c r="F2015" s="11">
        <v>174</v>
      </c>
    </row>
    <row r="2016" spans="2:6" x14ac:dyDescent="0.3">
      <c r="B2016" s="12">
        <v>2013</v>
      </c>
      <c r="C2016" s="28">
        <v>157.08621297735564</v>
      </c>
      <c r="E2016" s="14" t="s">
        <v>4222</v>
      </c>
      <c r="F2016" s="11">
        <v>171</v>
      </c>
    </row>
    <row r="2017" spans="2:6" x14ac:dyDescent="0.3">
      <c r="B2017" s="12">
        <v>2014</v>
      </c>
      <c r="C2017" s="28">
        <v>159.5013728225008</v>
      </c>
      <c r="E2017" s="14" t="s">
        <v>1063</v>
      </c>
      <c r="F2017" s="11">
        <v>173</v>
      </c>
    </row>
    <row r="2018" spans="2:6" x14ac:dyDescent="0.3">
      <c r="B2018" s="12">
        <v>2015</v>
      </c>
      <c r="C2018" s="28">
        <v>153.40794939662194</v>
      </c>
      <c r="E2018" s="14" t="s">
        <v>97</v>
      </c>
      <c r="F2018" s="11">
        <v>171</v>
      </c>
    </row>
    <row r="2019" spans="2:6" x14ac:dyDescent="0.3">
      <c r="B2019" s="12">
        <v>2016</v>
      </c>
      <c r="C2019" s="28">
        <v>157.30463599442567</v>
      </c>
      <c r="E2019" s="14" t="s">
        <v>1894</v>
      </c>
      <c r="F2019" s="11">
        <v>163</v>
      </c>
    </row>
    <row r="2020" spans="2:6" x14ac:dyDescent="0.3">
      <c r="B2020" s="12">
        <v>2017</v>
      </c>
      <c r="C2020" s="28">
        <v>168.84032154886845</v>
      </c>
      <c r="E2020" s="14" t="s">
        <v>1640</v>
      </c>
      <c r="F2020" s="11">
        <v>190</v>
      </c>
    </row>
    <row r="2021" spans="2:6" x14ac:dyDescent="0.3">
      <c r="B2021" s="12">
        <v>2018</v>
      </c>
      <c r="C2021" s="28">
        <v>156.49295692754043</v>
      </c>
      <c r="E2021" s="14" t="s">
        <v>3559</v>
      </c>
      <c r="F2021" s="11">
        <v>159</v>
      </c>
    </row>
    <row r="2022" spans="2:6" x14ac:dyDescent="0.3">
      <c r="B2022" s="12">
        <v>2019</v>
      </c>
      <c r="C2022" s="28">
        <v>158.95148134949901</v>
      </c>
      <c r="E2022" s="14" t="s">
        <v>3235</v>
      </c>
      <c r="F2022" s="11">
        <v>160</v>
      </c>
    </row>
    <row r="2023" spans="2:6" x14ac:dyDescent="0.3">
      <c r="B2023" s="12">
        <v>2020</v>
      </c>
      <c r="C2023" s="28">
        <v>157.56971053122857</v>
      </c>
      <c r="E2023" s="14" t="s">
        <v>848</v>
      </c>
      <c r="F2023" s="11">
        <v>173</v>
      </c>
    </row>
    <row r="2024" spans="2:6" x14ac:dyDescent="0.3">
      <c r="B2024" s="12">
        <v>2021</v>
      </c>
      <c r="C2024" s="28">
        <v>157.15750403660078</v>
      </c>
      <c r="E2024" s="14" t="s">
        <v>2621</v>
      </c>
      <c r="F2024" s="11">
        <v>173</v>
      </c>
    </row>
    <row r="2025" spans="2:6" x14ac:dyDescent="0.3">
      <c r="B2025" s="12">
        <v>2022</v>
      </c>
      <c r="C2025" s="28">
        <v>164.67702216268864</v>
      </c>
      <c r="E2025" s="14" t="s">
        <v>1196</v>
      </c>
      <c r="F2025" s="11">
        <v>180</v>
      </c>
    </row>
    <row r="2026" spans="2:6" x14ac:dyDescent="0.3">
      <c r="B2026" s="12">
        <v>2023</v>
      </c>
      <c r="C2026" s="28">
        <v>149.6516204731922</v>
      </c>
      <c r="E2026" s="14" t="s">
        <v>1258</v>
      </c>
      <c r="F2026" s="11">
        <v>169</v>
      </c>
    </row>
    <row r="2027" spans="2:6" x14ac:dyDescent="0.3">
      <c r="B2027" s="12">
        <v>2024</v>
      </c>
      <c r="C2027" s="28">
        <v>161.34830577951979</v>
      </c>
      <c r="E2027" s="14" t="s">
        <v>1925</v>
      </c>
      <c r="F2027" s="11">
        <v>169</v>
      </c>
    </row>
    <row r="2028" spans="2:6" x14ac:dyDescent="0.3">
      <c r="B2028" s="12">
        <v>2025</v>
      </c>
      <c r="C2028" s="28">
        <v>158.37748524796723</v>
      </c>
      <c r="E2028" s="14" t="s">
        <v>3715</v>
      </c>
      <c r="F2028" s="11">
        <v>180</v>
      </c>
    </row>
    <row r="2029" spans="2:6" x14ac:dyDescent="0.3">
      <c r="B2029" s="12">
        <v>2026</v>
      </c>
      <c r="C2029" s="28">
        <v>167.31769002390624</v>
      </c>
      <c r="E2029" s="14" t="s">
        <v>2363</v>
      </c>
      <c r="F2029" s="11">
        <v>183</v>
      </c>
    </row>
    <row r="2030" spans="2:6" x14ac:dyDescent="0.3">
      <c r="B2030" s="12">
        <v>2027</v>
      </c>
      <c r="C2030" s="28">
        <v>165.00365538233913</v>
      </c>
      <c r="E2030" s="14" t="s">
        <v>2433</v>
      </c>
      <c r="F2030" s="11">
        <v>168</v>
      </c>
    </row>
    <row r="2031" spans="2:6" x14ac:dyDescent="0.3">
      <c r="B2031" s="12">
        <v>2028</v>
      </c>
      <c r="C2031" s="28">
        <v>169.47499454761547</v>
      </c>
      <c r="E2031" s="14" t="s">
        <v>4872</v>
      </c>
      <c r="F2031" s="11">
        <v>177</v>
      </c>
    </row>
    <row r="2032" spans="2:6" x14ac:dyDescent="0.3">
      <c r="B2032" s="12">
        <v>2029</v>
      </c>
      <c r="C2032" s="28">
        <v>155.73042870957329</v>
      </c>
      <c r="E2032" s="14" t="s">
        <v>1200</v>
      </c>
      <c r="F2032" s="11">
        <v>168</v>
      </c>
    </row>
    <row r="2033" spans="2:6" x14ac:dyDescent="0.3">
      <c r="B2033" s="12">
        <v>2030</v>
      </c>
      <c r="C2033" s="28">
        <v>161.29457040062576</v>
      </c>
      <c r="E2033" s="14" t="s">
        <v>3292</v>
      </c>
      <c r="F2033" s="11">
        <v>163</v>
      </c>
    </row>
    <row r="2034" spans="2:6" x14ac:dyDescent="0.3">
      <c r="B2034" s="12">
        <v>2031</v>
      </c>
      <c r="C2034" s="28">
        <v>164.22585463609428</v>
      </c>
      <c r="E2034" s="14" t="s">
        <v>4669</v>
      </c>
      <c r="F2034" s="11">
        <v>179</v>
      </c>
    </row>
    <row r="2035" spans="2:6" x14ac:dyDescent="0.3">
      <c r="B2035" s="12">
        <v>2032</v>
      </c>
      <c r="C2035" s="28">
        <v>176.32751432462064</v>
      </c>
      <c r="E2035" s="14" t="s">
        <v>4723</v>
      </c>
      <c r="F2035" s="11">
        <v>174</v>
      </c>
    </row>
    <row r="2036" spans="2:6" x14ac:dyDescent="0.3">
      <c r="B2036" s="12">
        <v>2033</v>
      </c>
      <c r="C2036" s="28">
        <v>158.33841068916095</v>
      </c>
      <c r="E2036" s="14" t="s">
        <v>3865</v>
      </c>
      <c r="F2036" s="11">
        <v>183</v>
      </c>
    </row>
    <row r="2037" spans="2:6" x14ac:dyDescent="0.3">
      <c r="B2037" s="12">
        <v>2034</v>
      </c>
      <c r="C2037" s="28">
        <v>162.41879044614532</v>
      </c>
      <c r="E2037" s="14" t="s">
        <v>4064</v>
      </c>
      <c r="F2037" s="11">
        <v>172</v>
      </c>
    </row>
    <row r="2038" spans="2:6" x14ac:dyDescent="0.3">
      <c r="B2038" s="12">
        <v>2035</v>
      </c>
      <c r="C2038" s="28">
        <v>171.74116257993734</v>
      </c>
      <c r="E2038" s="14" t="s">
        <v>590</v>
      </c>
      <c r="F2038" s="11">
        <v>185</v>
      </c>
    </row>
    <row r="2039" spans="2:6" x14ac:dyDescent="0.3">
      <c r="B2039" s="12">
        <v>2036</v>
      </c>
      <c r="C2039" s="28">
        <v>170.47741219490749</v>
      </c>
      <c r="E2039" s="14" t="s">
        <v>1443</v>
      </c>
      <c r="F2039" s="11">
        <v>172</v>
      </c>
    </row>
    <row r="2040" spans="2:6" x14ac:dyDescent="0.3">
      <c r="B2040" s="12">
        <v>2037</v>
      </c>
      <c r="C2040" s="28">
        <v>153.7187248381808</v>
      </c>
      <c r="E2040" s="14" t="s">
        <v>2155</v>
      </c>
      <c r="F2040" s="11">
        <v>183</v>
      </c>
    </row>
    <row r="2041" spans="2:6" x14ac:dyDescent="0.3">
      <c r="B2041" s="12">
        <v>2038</v>
      </c>
      <c r="C2041" s="28">
        <v>157.06255705433153</v>
      </c>
      <c r="E2041" s="14" t="s">
        <v>2303</v>
      </c>
      <c r="F2041" s="11">
        <v>174</v>
      </c>
    </row>
    <row r="2042" spans="2:6" x14ac:dyDescent="0.3">
      <c r="B2042" s="12">
        <v>2039</v>
      </c>
      <c r="C2042" s="28">
        <v>168.85401069787594</v>
      </c>
      <c r="E2042" s="14" t="s">
        <v>3666</v>
      </c>
      <c r="F2042" s="11">
        <v>176</v>
      </c>
    </row>
    <row r="2043" spans="2:6" x14ac:dyDescent="0.3">
      <c r="B2043" s="12">
        <v>2040</v>
      </c>
      <c r="C2043" s="28">
        <v>173.8691441987911</v>
      </c>
      <c r="E2043" s="14" t="s">
        <v>3979</v>
      </c>
      <c r="F2043" s="11">
        <v>167</v>
      </c>
    </row>
    <row r="2044" spans="2:6" x14ac:dyDescent="0.3">
      <c r="B2044" s="12">
        <v>2041</v>
      </c>
      <c r="C2044" s="28">
        <v>173.17379154517761</v>
      </c>
      <c r="E2044" s="14" t="s">
        <v>175</v>
      </c>
      <c r="F2044" s="11">
        <v>166</v>
      </c>
    </row>
    <row r="2045" spans="2:6" x14ac:dyDescent="0.3">
      <c r="B2045" s="12">
        <v>2042</v>
      </c>
      <c r="C2045" s="28">
        <v>155.24193070330656</v>
      </c>
      <c r="E2045" s="14" t="s">
        <v>3012</v>
      </c>
      <c r="F2045" s="11">
        <v>168</v>
      </c>
    </row>
    <row r="2046" spans="2:6" x14ac:dyDescent="0.3">
      <c r="B2046" s="12">
        <v>2043</v>
      </c>
      <c r="C2046" s="28">
        <v>161.02531502180688</v>
      </c>
      <c r="E2046" s="14" t="s">
        <v>3125</v>
      </c>
      <c r="F2046" s="11">
        <v>178</v>
      </c>
    </row>
    <row r="2047" spans="2:6" x14ac:dyDescent="0.3">
      <c r="B2047" s="12">
        <v>2044</v>
      </c>
      <c r="C2047" s="28">
        <v>168.46415331056613</v>
      </c>
      <c r="E2047" s="14" t="s">
        <v>999</v>
      </c>
      <c r="F2047" s="11">
        <v>176</v>
      </c>
    </row>
    <row r="2048" spans="2:6" x14ac:dyDescent="0.3">
      <c r="B2048" s="12">
        <v>2045</v>
      </c>
      <c r="C2048" s="28">
        <v>167.75584601807788</v>
      </c>
      <c r="E2048" s="14" t="s">
        <v>2710</v>
      </c>
      <c r="F2048" s="11">
        <v>170</v>
      </c>
    </row>
    <row r="2049" spans="2:6" x14ac:dyDescent="0.3">
      <c r="B2049" s="12">
        <v>2046</v>
      </c>
      <c r="C2049" s="28">
        <v>164.4458092119049</v>
      </c>
      <c r="E2049" s="14" t="s">
        <v>1139</v>
      </c>
      <c r="F2049" s="11">
        <v>162</v>
      </c>
    </row>
    <row r="2050" spans="2:6" x14ac:dyDescent="0.3">
      <c r="B2050" s="12">
        <v>2047</v>
      </c>
      <c r="C2050" s="28">
        <v>171.47885952645507</v>
      </c>
      <c r="E2050" s="14" t="s">
        <v>3618</v>
      </c>
      <c r="F2050" s="11">
        <v>162</v>
      </c>
    </row>
    <row r="2051" spans="2:6" x14ac:dyDescent="0.3">
      <c r="B2051" s="12">
        <v>2048</v>
      </c>
      <c r="C2051" s="28">
        <v>156.90878320048185</v>
      </c>
      <c r="E2051" s="14" t="s">
        <v>1914</v>
      </c>
      <c r="F2051" s="11">
        <v>161</v>
      </c>
    </row>
    <row r="2052" spans="2:6" x14ac:dyDescent="0.3">
      <c r="B2052" s="12">
        <v>2049</v>
      </c>
      <c r="C2052" s="28">
        <v>165.57481384743417</v>
      </c>
      <c r="E2052" s="14" t="s">
        <v>160</v>
      </c>
      <c r="F2052" s="11">
        <v>167</v>
      </c>
    </row>
    <row r="2053" spans="2:6" x14ac:dyDescent="0.3">
      <c r="B2053" s="12">
        <v>2050</v>
      </c>
      <c r="C2053" s="28">
        <v>153.48111070461323</v>
      </c>
      <c r="E2053" s="14" t="s">
        <v>2560</v>
      </c>
      <c r="F2053" s="11">
        <v>172</v>
      </c>
    </row>
    <row r="2054" spans="2:6" x14ac:dyDescent="0.3">
      <c r="B2054" s="12">
        <v>2051</v>
      </c>
      <c r="C2054" s="28">
        <v>161.19029528444997</v>
      </c>
      <c r="E2054" s="14" t="s">
        <v>2301</v>
      </c>
      <c r="F2054" s="11">
        <v>188</v>
      </c>
    </row>
    <row r="2055" spans="2:6" x14ac:dyDescent="0.3">
      <c r="B2055" s="12">
        <v>2052</v>
      </c>
      <c r="C2055" s="28">
        <v>157.71600472613946</v>
      </c>
      <c r="E2055" s="14" t="s">
        <v>4574</v>
      </c>
      <c r="F2055" s="11">
        <v>185</v>
      </c>
    </row>
    <row r="2056" spans="2:6" x14ac:dyDescent="0.3">
      <c r="B2056" s="12">
        <v>2053</v>
      </c>
      <c r="C2056" s="28">
        <v>161.70783296054955</v>
      </c>
      <c r="E2056" s="14" t="s">
        <v>4530</v>
      </c>
      <c r="F2056" s="11">
        <v>195</v>
      </c>
    </row>
    <row r="2057" spans="2:6" x14ac:dyDescent="0.3">
      <c r="B2057" s="12">
        <v>2054</v>
      </c>
      <c r="C2057" s="28">
        <v>152.52914975533039</v>
      </c>
      <c r="E2057" s="14" t="s">
        <v>373</v>
      </c>
      <c r="F2057" s="11">
        <v>163</v>
      </c>
    </row>
    <row r="2058" spans="2:6" x14ac:dyDescent="0.3">
      <c r="B2058" s="12">
        <v>2055</v>
      </c>
      <c r="C2058" s="28">
        <v>163.14132993118363</v>
      </c>
      <c r="E2058" s="14" t="s">
        <v>1203</v>
      </c>
      <c r="F2058" s="11">
        <v>184</v>
      </c>
    </row>
    <row r="2059" spans="2:6" x14ac:dyDescent="0.3">
      <c r="B2059" s="12">
        <v>2056</v>
      </c>
      <c r="C2059" s="28">
        <v>163.4086314176883</v>
      </c>
      <c r="E2059" s="14" t="s">
        <v>4584</v>
      </c>
      <c r="F2059" s="11">
        <v>169</v>
      </c>
    </row>
    <row r="2060" spans="2:6" x14ac:dyDescent="0.3">
      <c r="B2060" s="12">
        <v>2057</v>
      </c>
      <c r="C2060" s="28">
        <v>153.94265866721955</v>
      </c>
      <c r="E2060" s="14" t="s">
        <v>3166</v>
      </c>
      <c r="F2060" s="11">
        <v>172</v>
      </c>
    </row>
    <row r="2061" spans="2:6" x14ac:dyDescent="0.3">
      <c r="B2061" s="12">
        <v>2058</v>
      </c>
      <c r="C2061" s="28">
        <v>162.36922648168675</v>
      </c>
      <c r="E2061" s="14" t="s">
        <v>1236</v>
      </c>
      <c r="F2061" s="11">
        <v>175</v>
      </c>
    </row>
    <row r="2062" spans="2:6" x14ac:dyDescent="0.3">
      <c r="B2062" s="12">
        <v>2059</v>
      </c>
      <c r="C2062" s="28">
        <v>161.97024940579971</v>
      </c>
      <c r="E2062" s="14" t="s">
        <v>1191</v>
      </c>
      <c r="F2062" s="11">
        <v>159</v>
      </c>
    </row>
    <row r="2063" spans="2:6" x14ac:dyDescent="0.3">
      <c r="B2063" s="12">
        <v>2060</v>
      </c>
      <c r="C2063" s="28">
        <v>155.46612202319275</v>
      </c>
      <c r="E2063" s="14" t="s">
        <v>1650</v>
      </c>
      <c r="F2063" s="11">
        <v>175</v>
      </c>
    </row>
    <row r="2064" spans="2:6" x14ac:dyDescent="0.3">
      <c r="B2064" s="12">
        <v>2061</v>
      </c>
      <c r="C2064" s="28">
        <v>163.13494275494324</v>
      </c>
      <c r="E2064" s="14" t="s">
        <v>1842</v>
      </c>
      <c r="F2064" s="11">
        <v>170</v>
      </c>
    </row>
    <row r="2065" spans="2:6" x14ac:dyDescent="0.3">
      <c r="B2065" s="12">
        <v>2062</v>
      </c>
      <c r="C2065" s="28">
        <v>157.51026900737475</v>
      </c>
      <c r="E2065" s="14" t="s">
        <v>521</v>
      </c>
      <c r="F2065" s="11">
        <v>196</v>
      </c>
    </row>
    <row r="2066" spans="2:6" x14ac:dyDescent="0.3">
      <c r="B2066" s="12">
        <v>2063</v>
      </c>
      <c r="C2066" s="28">
        <v>157.92581937937493</v>
      </c>
      <c r="E2066" s="14" t="s">
        <v>872</v>
      </c>
      <c r="F2066" s="11">
        <v>170</v>
      </c>
    </row>
    <row r="2067" spans="2:6" x14ac:dyDescent="0.3">
      <c r="B2067" s="12">
        <v>2064</v>
      </c>
      <c r="C2067" s="28">
        <v>152.01962157888386</v>
      </c>
      <c r="E2067" s="14" t="s">
        <v>950</v>
      </c>
      <c r="F2067" s="11">
        <v>161</v>
      </c>
    </row>
    <row r="2068" spans="2:6" x14ac:dyDescent="0.3">
      <c r="B2068" s="12">
        <v>2065</v>
      </c>
      <c r="C2068" s="28">
        <v>161.65219557015732</v>
      </c>
      <c r="E2068" s="14" t="s">
        <v>4125</v>
      </c>
      <c r="F2068" s="11">
        <v>192</v>
      </c>
    </row>
    <row r="2069" spans="2:6" x14ac:dyDescent="0.3">
      <c r="B2069" s="12">
        <v>2066</v>
      </c>
      <c r="C2069" s="28">
        <v>165.06395698570137</v>
      </c>
      <c r="E2069" s="14" t="s">
        <v>4299</v>
      </c>
      <c r="F2069" s="11">
        <v>165</v>
      </c>
    </row>
    <row r="2070" spans="2:6" x14ac:dyDescent="0.3">
      <c r="B2070" s="12">
        <v>2067</v>
      </c>
      <c r="C2070" s="28">
        <v>158.69012553075476</v>
      </c>
      <c r="E2070" s="14" t="s">
        <v>3538</v>
      </c>
      <c r="F2070" s="11">
        <v>170</v>
      </c>
    </row>
    <row r="2071" spans="2:6" x14ac:dyDescent="0.3">
      <c r="B2071" s="12">
        <v>2068</v>
      </c>
      <c r="C2071" s="28">
        <v>152.8712763104879</v>
      </c>
      <c r="E2071" s="14" t="s">
        <v>4051</v>
      </c>
      <c r="F2071" s="11">
        <v>179</v>
      </c>
    </row>
    <row r="2072" spans="2:6" x14ac:dyDescent="0.3">
      <c r="B2072" s="12">
        <v>2069</v>
      </c>
      <c r="C2072" s="28">
        <v>164.15586862995767</v>
      </c>
      <c r="E2072" s="14" t="s">
        <v>4114</v>
      </c>
      <c r="F2072" s="11">
        <v>172</v>
      </c>
    </row>
    <row r="2073" spans="2:6" x14ac:dyDescent="0.3">
      <c r="B2073" s="12">
        <v>2070</v>
      </c>
      <c r="C2073" s="28">
        <v>156.01723792911724</v>
      </c>
      <c r="E2073" s="14" t="s">
        <v>687</v>
      </c>
      <c r="F2073" s="11">
        <v>164</v>
      </c>
    </row>
    <row r="2074" spans="2:6" x14ac:dyDescent="0.3">
      <c r="B2074" s="12">
        <v>2071</v>
      </c>
      <c r="C2074" s="28">
        <v>163.51022081530616</v>
      </c>
      <c r="E2074" s="14" t="s">
        <v>3531</v>
      </c>
      <c r="F2074" s="11">
        <v>172</v>
      </c>
    </row>
    <row r="2075" spans="2:6" x14ac:dyDescent="0.3">
      <c r="B2075" s="12">
        <v>2072</v>
      </c>
      <c r="C2075" s="28">
        <v>156.12016953072199</v>
      </c>
      <c r="E2075" s="14" t="s">
        <v>248</v>
      </c>
      <c r="F2075" s="11">
        <v>162</v>
      </c>
    </row>
    <row r="2076" spans="2:6" x14ac:dyDescent="0.3">
      <c r="B2076" s="12">
        <v>2073</v>
      </c>
      <c r="C2076" s="28">
        <v>164.21307716284693</v>
      </c>
      <c r="E2076" s="14" t="s">
        <v>1927</v>
      </c>
      <c r="F2076" s="11">
        <v>184</v>
      </c>
    </row>
    <row r="2077" spans="2:6" x14ac:dyDescent="0.3">
      <c r="B2077" s="12">
        <v>2074</v>
      </c>
      <c r="C2077" s="28">
        <v>163.03614147105222</v>
      </c>
      <c r="E2077" s="14" t="s">
        <v>1792</v>
      </c>
      <c r="F2077" s="11">
        <v>165</v>
      </c>
    </row>
    <row r="2078" spans="2:6" x14ac:dyDescent="0.3">
      <c r="B2078" s="12">
        <v>2075</v>
      </c>
      <c r="C2078" s="28">
        <v>174.52554540566166</v>
      </c>
      <c r="E2078" s="14" t="s">
        <v>1290</v>
      </c>
      <c r="F2078" s="11">
        <v>173</v>
      </c>
    </row>
    <row r="2079" spans="2:6" x14ac:dyDescent="0.3">
      <c r="B2079" s="12">
        <v>2076</v>
      </c>
      <c r="C2079" s="28">
        <v>163.30490436598205</v>
      </c>
      <c r="E2079" s="14" t="s">
        <v>2709</v>
      </c>
      <c r="F2079" s="11">
        <v>150</v>
      </c>
    </row>
    <row r="2080" spans="2:6" x14ac:dyDescent="0.3">
      <c r="B2080" s="12">
        <v>2077</v>
      </c>
      <c r="C2080" s="28">
        <v>161.4987892314908</v>
      </c>
      <c r="E2080" s="14" t="s">
        <v>3391</v>
      </c>
      <c r="F2080" s="11">
        <v>187</v>
      </c>
    </row>
    <row r="2081" spans="2:6" x14ac:dyDescent="0.3">
      <c r="B2081" s="12">
        <v>2078</v>
      </c>
      <c r="C2081" s="28">
        <v>165.65655077033057</v>
      </c>
      <c r="E2081" s="14" t="s">
        <v>3608</v>
      </c>
      <c r="F2081" s="11">
        <v>158</v>
      </c>
    </row>
    <row r="2082" spans="2:6" x14ac:dyDescent="0.3">
      <c r="B2082" s="12">
        <v>2079</v>
      </c>
      <c r="C2082" s="28">
        <v>168.56939170301095</v>
      </c>
      <c r="E2082" s="14" t="s">
        <v>382</v>
      </c>
      <c r="F2082" s="11">
        <v>176</v>
      </c>
    </row>
    <row r="2083" spans="2:6" x14ac:dyDescent="0.3">
      <c r="B2083" s="12">
        <v>2080</v>
      </c>
      <c r="C2083" s="28">
        <v>156.50685226897753</v>
      </c>
      <c r="E2083" s="14" t="s">
        <v>4593</v>
      </c>
      <c r="F2083" s="11">
        <v>154</v>
      </c>
    </row>
    <row r="2084" spans="2:6" x14ac:dyDescent="0.3">
      <c r="B2084" s="12">
        <v>2081</v>
      </c>
      <c r="C2084" s="28">
        <v>164.58039030079831</v>
      </c>
      <c r="E2084" s="14" t="s">
        <v>1123</v>
      </c>
      <c r="F2084" s="11">
        <v>166</v>
      </c>
    </row>
    <row r="2085" spans="2:6" x14ac:dyDescent="0.3">
      <c r="B2085" s="12">
        <v>2082</v>
      </c>
      <c r="C2085" s="28">
        <v>154.13831524039051</v>
      </c>
      <c r="E2085" s="14" t="s">
        <v>1249</v>
      </c>
      <c r="F2085" s="11">
        <v>150</v>
      </c>
    </row>
    <row r="2086" spans="2:6" x14ac:dyDescent="0.3">
      <c r="B2086" s="12">
        <v>2083</v>
      </c>
      <c r="C2086" s="28">
        <v>176.61712404481835</v>
      </c>
      <c r="E2086" s="14" t="s">
        <v>1260</v>
      </c>
      <c r="F2086" s="11">
        <v>192</v>
      </c>
    </row>
    <row r="2087" spans="2:6" x14ac:dyDescent="0.3">
      <c r="B2087" s="12">
        <v>2084</v>
      </c>
      <c r="C2087" s="28">
        <v>168.09235125239678</v>
      </c>
      <c r="E2087" s="14" t="s">
        <v>1617</v>
      </c>
      <c r="F2087" s="11">
        <v>177</v>
      </c>
    </row>
    <row r="2088" spans="2:6" x14ac:dyDescent="0.3">
      <c r="B2088" s="12">
        <v>2085</v>
      </c>
      <c r="C2088" s="28">
        <v>166.18607076272309</v>
      </c>
      <c r="E2088" s="14" t="s">
        <v>1626</v>
      </c>
      <c r="F2088" s="11">
        <v>163</v>
      </c>
    </row>
    <row r="2089" spans="2:6" x14ac:dyDescent="0.3">
      <c r="B2089" s="12">
        <v>2086</v>
      </c>
      <c r="C2089" s="28">
        <v>150.28429147357588</v>
      </c>
      <c r="E2089" s="14" t="s">
        <v>2196</v>
      </c>
      <c r="F2089" s="11">
        <v>168</v>
      </c>
    </row>
    <row r="2090" spans="2:6" x14ac:dyDescent="0.3">
      <c r="B2090" s="12">
        <v>2087</v>
      </c>
      <c r="C2090" s="28">
        <v>165.85188002687349</v>
      </c>
      <c r="E2090" s="14" t="s">
        <v>2411</v>
      </c>
      <c r="F2090" s="11">
        <v>183</v>
      </c>
    </row>
    <row r="2091" spans="2:6" x14ac:dyDescent="0.3">
      <c r="B2091" s="12">
        <v>2088</v>
      </c>
      <c r="C2091" s="28">
        <v>153.05475196301671</v>
      </c>
      <c r="E2091" s="14" t="s">
        <v>1446</v>
      </c>
      <c r="F2091" s="11">
        <v>165</v>
      </c>
    </row>
    <row r="2092" spans="2:6" x14ac:dyDescent="0.3">
      <c r="B2092" s="12">
        <v>2089</v>
      </c>
      <c r="C2092" s="28">
        <v>163.6574091482324</v>
      </c>
      <c r="E2092" s="14" t="s">
        <v>2931</v>
      </c>
      <c r="F2092" s="11">
        <v>170</v>
      </c>
    </row>
    <row r="2093" spans="2:6" x14ac:dyDescent="0.3">
      <c r="B2093" s="12">
        <v>2090</v>
      </c>
      <c r="C2093" s="28">
        <v>150.83738938147363</v>
      </c>
      <c r="E2093" s="14" t="s">
        <v>3588</v>
      </c>
      <c r="F2093" s="11">
        <v>161</v>
      </c>
    </row>
    <row r="2094" spans="2:6" x14ac:dyDescent="0.3">
      <c r="B2094" s="12">
        <v>2091</v>
      </c>
      <c r="C2094" s="28">
        <v>164.69249230141986</v>
      </c>
      <c r="E2094" s="14" t="s">
        <v>3877</v>
      </c>
      <c r="F2094" s="11">
        <v>178</v>
      </c>
    </row>
    <row r="2095" spans="2:6" x14ac:dyDescent="0.3">
      <c r="B2095" s="12">
        <v>2092</v>
      </c>
      <c r="C2095" s="28">
        <v>166.66365353913574</v>
      </c>
      <c r="E2095" s="14" t="s">
        <v>4106</v>
      </c>
      <c r="F2095" s="11">
        <v>167</v>
      </c>
    </row>
    <row r="2096" spans="2:6" x14ac:dyDescent="0.3">
      <c r="B2096" s="12">
        <v>2093</v>
      </c>
      <c r="C2096" s="28">
        <v>170.0139568258729</v>
      </c>
      <c r="E2096" s="14" t="s">
        <v>3804</v>
      </c>
      <c r="F2096" s="11">
        <v>177</v>
      </c>
    </row>
    <row r="2097" spans="2:6" x14ac:dyDescent="0.3">
      <c r="B2097" s="12">
        <v>2094</v>
      </c>
      <c r="C2097" s="28">
        <v>161.73238446293644</v>
      </c>
      <c r="E2097" s="14" t="s">
        <v>1382</v>
      </c>
      <c r="F2097" s="11">
        <v>165</v>
      </c>
    </row>
    <row r="2098" spans="2:6" x14ac:dyDescent="0.3">
      <c r="B2098" s="12">
        <v>2095</v>
      </c>
      <c r="C2098" s="28">
        <v>146.72261203648725</v>
      </c>
      <c r="E2098" s="14" t="s">
        <v>2541</v>
      </c>
      <c r="F2098" s="11">
        <v>175</v>
      </c>
    </row>
    <row r="2099" spans="2:6" x14ac:dyDescent="0.3">
      <c r="B2099" s="12">
        <v>2096</v>
      </c>
      <c r="C2099" s="28">
        <v>174.63052686662266</v>
      </c>
      <c r="E2099" s="14" t="s">
        <v>3805</v>
      </c>
      <c r="F2099" s="11">
        <v>165</v>
      </c>
    </row>
    <row r="2100" spans="2:6" x14ac:dyDescent="0.3">
      <c r="B2100" s="12">
        <v>2097</v>
      </c>
      <c r="C2100" s="28">
        <v>167.54395559410037</v>
      </c>
      <c r="E2100" s="14" t="s">
        <v>4559</v>
      </c>
      <c r="F2100" s="11">
        <v>160</v>
      </c>
    </row>
    <row r="2101" spans="2:6" x14ac:dyDescent="0.3">
      <c r="B2101" s="12">
        <v>2098</v>
      </c>
      <c r="C2101" s="28">
        <v>163.25051481589702</v>
      </c>
      <c r="E2101" s="14" t="s">
        <v>3568</v>
      </c>
      <c r="F2101" s="11">
        <v>173</v>
      </c>
    </row>
    <row r="2102" spans="2:6" x14ac:dyDescent="0.3">
      <c r="B2102" s="12">
        <v>2099</v>
      </c>
      <c r="C2102" s="28">
        <v>169.01366609490185</v>
      </c>
      <c r="E2102" s="14" t="s">
        <v>2831</v>
      </c>
      <c r="F2102" s="11">
        <v>156</v>
      </c>
    </row>
    <row r="2103" spans="2:6" x14ac:dyDescent="0.3">
      <c r="B2103" s="12">
        <v>2100</v>
      </c>
      <c r="C2103" s="28">
        <v>169.76214108365119</v>
      </c>
      <c r="E2103" s="14" t="s">
        <v>1907</v>
      </c>
      <c r="F2103" s="11">
        <v>170</v>
      </c>
    </row>
    <row r="2104" spans="2:6" x14ac:dyDescent="0.3">
      <c r="B2104" s="12">
        <v>2101</v>
      </c>
      <c r="C2104" s="28">
        <v>169.48818505120263</v>
      </c>
      <c r="E2104" s="14" t="s">
        <v>550</v>
      </c>
      <c r="F2104" s="11">
        <v>157</v>
      </c>
    </row>
    <row r="2105" spans="2:6" x14ac:dyDescent="0.3">
      <c r="B2105" s="12">
        <v>2102</v>
      </c>
      <c r="C2105" s="28">
        <v>162.26232228268023</v>
      </c>
      <c r="E2105" s="14" t="s">
        <v>1878</v>
      </c>
      <c r="F2105" s="11">
        <v>177</v>
      </c>
    </row>
    <row r="2106" spans="2:6" x14ac:dyDescent="0.3">
      <c r="B2106" s="12">
        <v>2103</v>
      </c>
      <c r="C2106" s="28">
        <v>145.1814051429379</v>
      </c>
      <c r="E2106" s="14" t="s">
        <v>2781</v>
      </c>
      <c r="F2106" s="11">
        <v>170</v>
      </c>
    </row>
    <row r="2107" spans="2:6" x14ac:dyDescent="0.3">
      <c r="B2107" s="12">
        <v>2104</v>
      </c>
      <c r="C2107" s="28">
        <v>169.65657477025744</v>
      </c>
      <c r="E2107" s="14" t="s">
        <v>1828</v>
      </c>
      <c r="F2107" s="11">
        <v>169</v>
      </c>
    </row>
    <row r="2108" spans="2:6" x14ac:dyDescent="0.3">
      <c r="B2108" s="12">
        <v>2105</v>
      </c>
      <c r="C2108" s="28">
        <v>154.45668129126571</v>
      </c>
      <c r="E2108" s="14" t="s">
        <v>2316</v>
      </c>
      <c r="F2108" s="11">
        <v>190</v>
      </c>
    </row>
    <row r="2109" spans="2:6" x14ac:dyDescent="0.3">
      <c r="B2109" s="12">
        <v>2106</v>
      </c>
      <c r="C2109" s="28">
        <v>171.77491540524258</v>
      </c>
      <c r="E2109" s="14" t="s">
        <v>1483</v>
      </c>
      <c r="F2109" s="11">
        <v>160</v>
      </c>
    </row>
    <row r="2110" spans="2:6" x14ac:dyDescent="0.3">
      <c r="B2110" s="12">
        <v>2107</v>
      </c>
      <c r="C2110" s="28">
        <v>160.13019372589073</v>
      </c>
      <c r="E2110" s="14" t="s">
        <v>4363</v>
      </c>
      <c r="F2110" s="11">
        <v>166</v>
      </c>
    </row>
    <row r="2111" spans="2:6" x14ac:dyDescent="0.3">
      <c r="B2111" s="12">
        <v>2108</v>
      </c>
      <c r="C2111" s="28">
        <v>152.16258076858236</v>
      </c>
      <c r="E2111" s="14" t="s">
        <v>3555</v>
      </c>
      <c r="F2111" s="11">
        <v>171</v>
      </c>
    </row>
    <row r="2112" spans="2:6" x14ac:dyDescent="0.3">
      <c r="B2112" s="12">
        <v>2109</v>
      </c>
      <c r="C2112" s="28">
        <v>156.28514199511375</v>
      </c>
      <c r="E2112" s="14" t="s">
        <v>2506</v>
      </c>
      <c r="F2112" s="11">
        <v>171</v>
      </c>
    </row>
    <row r="2113" spans="2:6" x14ac:dyDescent="0.3">
      <c r="B2113" s="12">
        <v>2110</v>
      </c>
      <c r="C2113" s="28">
        <v>167.67047416443637</v>
      </c>
      <c r="E2113" s="14" t="s">
        <v>1223</v>
      </c>
      <c r="F2113" s="11">
        <v>168</v>
      </c>
    </row>
    <row r="2114" spans="2:6" x14ac:dyDescent="0.3">
      <c r="B2114" s="12">
        <v>2111</v>
      </c>
      <c r="C2114" s="28">
        <v>167.21167698711665</v>
      </c>
      <c r="E2114" s="14" t="s">
        <v>3240</v>
      </c>
      <c r="F2114" s="11">
        <v>171</v>
      </c>
    </row>
    <row r="2115" spans="2:6" x14ac:dyDescent="0.3">
      <c r="B2115" s="12">
        <v>2112</v>
      </c>
      <c r="C2115" s="28">
        <v>157.61967436707667</v>
      </c>
      <c r="E2115" s="14" t="s">
        <v>1936</v>
      </c>
      <c r="F2115" s="11">
        <v>174</v>
      </c>
    </row>
    <row r="2116" spans="2:6" x14ac:dyDescent="0.3">
      <c r="B2116" s="12">
        <v>2113</v>
      </c>
      <c r="C2116" s="28">
        <v>170.29410400746235</v>
      </c>
      <c r="E2116" s="14" t="s">
        <v>4194</v>
      </c>
      <c r="F2116" s="11">
        <v>165</v>
      </c>
    </row>
    <row r="2117" spans="2:6" x14ac:dyDescent="0.3">
      <c r="B2117" s="12">
        <v>2114</v>
      </c>
      <c r="C2117" s="28">
        <v>157.81164205785859</v>
      </c>
      <c r="E2117" s="14" t="s">
        <v>2610</v>
      </c>
      <c r="F2117" s="11">
        <v>157</v>
      </c>
    </row>
    <row r="2118" spans="2:6" x14ac:dyDescent="0.3">
      <c r="B2118" s="12">
        <v>2115</v>
      </c>
      <c r="C2118" s="28">
        <v>153.1233956876967</v>
      </c>
      <c r="E2118" s="14" t="s">
        <v>1544</v>
      </c>
      <c r="F2118" s="11">
        <v>178</v>
      </c>
    </row>
    <row r="2119" spans="2:6" x14ac:dyDescent="0.3">
      <c r="B2119" s="12">
        <v>2116</v>
      </c>
      <c r="C2119" s="28">
        <v>165.05300676728686</v>
      </c>
      <c r="E2119" s="14" t="s">
        <v>2938</v>
      </c>
      <c r="F2119" s="11">
        <v>170</v>
      </c>
    </row>
    <row r="2120" spans="2:6" x14ac:dyDescent="0.3">
      <c r="B2120" s="12">
        <v>2117</v>
      </c>
      <c r="C2120" s="28">
        <v>156.78033301792351</v>
      </c>
      <c r="E2120" s="14" t="s">
        <v>568</v>
      </c>
      <c r="F2120" s="11">
        <v>170</v>
      </c>
    </row>
    <row r="2121" spans="2:6" x14ac:dyDescent="0.3">
      <c r="B2121" s="12">
        <v>2118</v>
      </c>
      <c r="C2121" s="28">
        <v>172.52381918194865</v>
      </c>
      <c r="E2121" s="14" t="s">
        <v>1006</v>
      </c>
      <c r="F2121" s="11">
        <v>168</v>
      </c>
    </row>
    <row r="2122" spans="2:6" x14ac:dyDescent="0.3">
      <c r="B2122" s="12">
        <v>2119</v>
      </c>
      <c r="C2122" s="28">
        <v>164.70365033128357</v>
      </c>
      <c r="E2122" s="14" t="s">
        <v>2857</v>
      </c>
      <c r="F2122" s="11">
        <v>155</v>
      </c>
    </row>
    <row r="2123" spans="2:6" x14ac:dyDescent="0.3">
      <c r="B2123" s="12">
        <v>2120</v>
      </c>
      <c r="C2123" s="28">
        <v>165.1289065796386</v>
      </c>
      <c r="E2123" s="14" t="s">
        <v>2148</v>
      </c>
      <c r="F2123" s="11">
        <v>173</v>
      </c>
    </row>
    <row r="2124" spans="2:6" x14ac:dyDescent="0.3">
      <c r="B2124" s="12">
        <v>2121</v>
      </c>
      <c r="C2124" s="28">
        <v>165.24328473407286</v>
      </c>
      <c r="E2124" s="14" t="s">
        <v>1713</v>
      </c>
      <c r="F2124" s="11">
        <v>166</v>
      </c>
    </row>
    <row r="2125" spans="2:6" x14ac:dyDescent="0.3">
      <c r="B2125" s="12">
        <v>2122</v>
      </c>
      <c r="C2125" s="28">
        <v>165.6593385207284</v>
      </c>
      <c r="E2125" s="14" t="s">
        <v>2237</v>
      </c>
      <c r="F2125" s="11">
        <v>172</v>
      </c>
    </row>
    <row r="2126" spans="2:6" x14ac:dyDescent="0.3">
      <c r="B2126" s="12">
        <v>2123</v>
      </c>
      <c r="C2126" s="28">
        <v>173.56647955497093</v>
      </c>
      <c r="E2126" s="14" t="s">
        <v>2821</v>
      </c>
      <c r="F2126" s="11">
        <v>168</v>
      </c>
    </row>
    <row r="2127" spans="2:6" x14ac:dyDescent="0.3">
      <c r="B2127" s="12">
        <v>2124</v>
      </c>
      <c r="C2127" s="28">
        <v>168.74877456303238</v>
      </c>
      <c r="E2127" s="14" t="s">
        <v>2098</v>
      </c>
      <c r="F2127" s="11">
        <v>176</v>
      </c>
    </row>
    <row r="2128" spans="2:6" x14ac:dyDescent="0.3">
      <c r="B2128" s="12">
        <v>2125</v>
      </c>
      <c r="C2128" s="28">
        <v>146.80065635356669</v>
      </c>
      <c r="E2128" s="14" t="s">
        <v>1413</v>
      </c>
      <c r="F2128" s="11">
        <v>176</v>
      </c>
    </row>
    <row r="2129" spans="2:6" x14ac:dyDescent="0.3">
      <c r="B2129" s="12">
        <v>2126</v>
      </c>
      <c r="C2129" s="28">
        <v>160.19194187637464</v>
      </c>
      <c r="E2129" s="14" t="s">
        <v>191</v>
      </c>
      <c r="F2129" s="11">
        <v>169</v>
      </c>
    </row>
    <row r="2130" spans="2:6" x14ac:dyDescent="0.3">
      <c r="B2130" s="12">
        <v>2127</v>
      </c>
      <c r="C2130" s="28">
        <v>151.82273791951505</v>
      </c>
      <c r="E2130" s="14" t="s">
        <v>864</v>
      </c>
      <c r="F2130" s="11">
        <v>181</v>
      </c>
    </row>
    <row r="2131" spans="2:6" x14ac:dyDescent="0.3">
      <c r="B2131" s="12">
        <v>2128</v>
      </c>
      <c r="C2131" s="28">
        <v>147.62149546170102</v>
      </c>
      <c r="E2131" s="14" t="s">
        <v>4850</v>
      </c>
      <c r="F2131" s="11">
        <v>165</v>
      </c>
    </row>
    <row r="2132" spans="2:6" x14ac:dyDescent="0.3">
      <c r="B2132" s="12">
        <v>2129</v>
      </c>
      <c r="C2132" s="28">
        <v>147.15915277687492</v>
      </c>
      <c r="E2132" s="14" t="s">
        <v>2408</v>
      </c>
      <c r="F2132" s="11">
        <v>184</v>
      </c>
    </row>
    <row r="2133" spans="2:6" x14ac:dyDescent="0.3">
      <c r="B2133" s="12">
        <v>2130</v>
      </c>
      <c r="C2133" s="28">
        <v>149.41108512026182</v>
      </c>
      <c r="E2133" s="14" t="s">
        <v>1928</v>
      </c>
      <c r="F2133" s="11">
        <v>183</v>
      </c>
    </row>
    <row r="2134" spans="2:6" x14ac:dyDescent="0.3">
      <c r="B2134" s="12">
        <v>2131</v>
      </c>
      <c r="C2134" s="28">
        <v>166.48333286581897</v>
      </c>
      <c r="E2134" s="14" t="s">
        <v>718</v>
      </c>
      <c r="F2134" s="11">
        <v>175</v>
      </c>
    </row>
    <row r="2135" spans="2:6" x14ac:dyDescent="0.3">
      <c r="B2135" s="12">
        <v>2132</v>
      </c>
      <c r="C2135" s="28">
        <v>165.95103170355321</v>
      </c>
      <c r="E2135" s="14" t="s">
        <v>2836</v>
      </c>
      <c r="F2135" s="11">
        <v>172</v>
      </c>
    </row>
    <row r="2136" spans="2:6" x14ac:dyDescent="0.3">
      <c r="B2136" s="12">
        <v>2133</v>
      </c>
      <c r="C2136" s="28">
        <v>160.05487620470058</v>
      </c>
      <c r="E2136" s="14" t="s">
        <v>4787</v>
      </c>
      <c r="F2136" s="11">
        <v>154</v>
      </c>
    </row>
    <row r="2137" spans="2:6" x14ac:dyDescent="0.3">
      <c r="B2137" s="12">
        <v>2134</v>
      </c>
      <c r="C2137" s="28">
        <v>166.95059368589489</v>
      </c>
      <c r="E2137" s="14" t="s">
        <v>4791</v>
      </c>
      <c r="F2137" s="11">
        <v>172</v>
      </c>
    </row>
    <row r="2138" spans="2:6" x14ac:dyDescent="0.3">
      <c r="B2138" s="12">
        <v>2135</v>
      </c>
      <c r="C2138" s="28">
        <v>168.83334517765107</v>
      </c>
      <c r="E2138" s="14" t="s">
        <v>4665</v>
      </c>
      <c r="F2138" s="11">
        <v>167</v>
      </c>
    </row>
    <row r="2139" spans="2:6" x14ac:dyDescent="0.3">
      <c r="B2139" s="12">
        <v>2136</v>
      </c>
      <c r="C2139" s="28">
        <v>161.64042935038603</v>
      </c>
      <c r="E2139" s="14" t="s">
        <v>2975</v>
      </c>
      <c r="F2139" s="11">
        <v>167</v>
      </c>
    </row>
    <row r="2140" spans="2:6" x14ac:dyDescent="0.3">
      <c r="B2140" s="12">
        <v>2137</v>
      </c>
      <c r="C2140" s="28">
        <v>151.44423478295107</v>
      </c>
      <c r="E2140" s="14" t="s">
        <v>4261</v>
      </c>
      <c r="F2140" s="11">
        <v>173</v>
      </c>
    </row>
    <row r="2141" spans="2:6" x14ac:dyDescent="0.3">
      <c r="B2141" s="12">
        <v>2138</v>
      </c>
      <c r="C2141" s="28">
        <v>162.4515951769701</v>
      </c>
      <c r="E2141" s="14" t="s">
        <v>1958</v>
      </c>
      <c r="F2141" s="11">
        <v>168</v>
      </c>
    </row>
    <row r="2142" spans="2:6" x14ac:dyDescent="0.3">
      <c r="B2142" s="12">
        <v>2139</v>
      </c>
      <c r="C2142" s="28">
        <v>158.40341927809831</v>
      </c>
      <c r="E2142" s="14" t="s">
        <v>1959</v>
      </c>
      <c r="F2142" s="11">
        <v>164</v>
      </c>
    </row>
    <row r="2143" spans="2:6" x14ac:dyDescent="0.3">
      <c r="B2143" s="12">
        <v>2140</v>
      </c>
      <c r="C2143" s="28">
        <v>162.7857004086417</v>
      </c>
      <c r="E2143" s="14" t="s">
        <v>3168</v>
      </c>
      <c r="F2143" s="11">
        <v>160</v>
      </c>
    </row>
    <row r="2144" spans="2:6" x14ac:dyDescent="0.3">
      <c r="B2144" s="12">
        <v>2141</v>
      </c>
      <c r="C2144" s="28">
        <v>164.7100069337784</v>
      </c>
      <c r="E2144" s="14" t="s">
        <v>1788</v>
      </c>
      <c r="F2144" s="11">
        <v>166</v>
      </c>
    </row>
    <row r="2145" spans="2:6" x14ac:dyDescent="0.3">
      <c r="B2145" s="12">
        <v>2142</v>
      </c>
      <c r="C2145" s="28">
        <v>158.88864250519754</v>
      </c>
      <c r="E2145" s="14" t="s">
        <v>1994</v>
      </c>
      <c r="F2145" s="11">
        <v>159</v>
      </c>
    </row>
    <row r="2146" spans="2:6" x14ac:dyDescent="0.3">
      <c r="B2146" s="12">
        <v>2143</v>
      </c>
      <c r="C2146" s="28">
        <v>155.64818374168351</v>
      </c>
      <c r="E2146" s="14" t="s">
        <v>2683</v>
      </c>
      <c r="F2146" s="11">
        <v>163</v>
      </c>
    </row>
    <row r="2147" spans="2:6" x14ac:dyDescent="0.3">
      <c r="B2147" s="12">
        <v>2144</v>
      </c>
      <c r="C2147" s="28">
        <v>160.60780000642097</v>
      </c>
      <c r="E2147" s="14" t="s">
        <v>3287</v>
      </c>
      <c r="F2147" s="11">
        <v>183</v>
      </c>
    </row>
    <row r="2148" spans="2:6" x14ac:dyDescent="0.3">
      <c r="B2148" s="12">
        <v>2145</v>
      </c>
      <c r="C2148" s="28">
        <v>161.08029757606303</v>
      </c>
      <c r="E2148" s="14" t="s">
        <v>23</v>
      </c>
      <c r="F2148" s="11">
        <v>169</v>
      </c>
    </row>
    <row r="2149" spans="2:6" x14ac:dyDescent="0.3">
      <c r="B2149" s="12">
        <v>2146</v>
      </c>
      <c r="C2149" s="28">
        <v>152.71538626901159</v>
      </c>
      <c r="E2149" s="14" t="s">
        <v>397</v>
      </c>
      <c r="F2149" s="11">
        <v>179</v>
      </c>
    </row>
    <row r="2150" spans="2:6" x14ac:dyDescent="0.3">
      <c r="B2150" s="12">
        <v>2147</v>
      </c>
      <c r="C2150" s="28">
        <v>172.32402202321663</v>
      </c>
      <c r="E2150" s="14" t="s">
        <v>720</v>
      </c>
      <c r="F2150" s="11">
        <v>173</v>
      </c>
    </row>
    <row r="2151" spans="2:6" x14ac:dyDescent="0.3">
      <c r="B2151" s="12">
        <v>2148</v>
      </c>
      <c r="C2151" s="28">
        <v>160.20079305863666</v>
      </c>
      <c r="E2151" s="14" t="s">
        <v>4383</v>
      </c>
      <c r="F2151" s="11">
        <v>165</v>
      </c>
    </row>
    <row r="2152" spans="2:6" x14ac:dyDescent="0.3">
      <c r="B2152" s="12">
        <v>2149</v>
      </c>
      <c r="C2152" s="28">
        <v>161.03684625754474</v>
      </c>
      <c r="E2152" s="14" t="s">
        <v>3642</v>
      </c>
      <c r="F2152" s="11">
        <v>170</v>
      </c>
    </row>
    <row r="2153" spans="2:6" x14ac:dyDescent="0.3">
      <c r="B2153" s="12">
        <v>2150</v>
      </c>
      <c r="C2153" s="28">
        <v>159.22733722002366</v>
      </c>
      <c r="E2153" s="14" t="s">
        <v>1343</v>
      </c>
      <c r="F2153" s="11">
        <v>175</v>
      </c>
    </row>
    <row r="2154" spans="2:6" x14ac:dyDescent="0.3">
      <c r="B2154" s="12">
        <v>2151</v>
      </c>
      <c r="C2154" s="28">
        <v>159.20279423836706</v>
      </c>
      <c r="E2154" s="14" t="s">
        <v>3255</v>
      </c>
      <c r="F2154" s="11">
        <v>172</v>
      </c>
    </row>
    <row r="2155" spans="2:6" x14ac:dyDescent="0.3">
      <c r="B2155" s="12">
        <v>2152</v>
      </c>
      <c r="C2155" s="28">
        <v>161.51259951291692</v>
      </c>
      <c r="E2155" s="14" t="s">
        <v>4281</v>
      </c>
      <c r="F2155" s="11">
        <v>159</v>
      </c>
    </row>
    <row r="2156" spans="2:6" x14ac:dyDescent="0.3">
      <c r="B2156" s="12">
        <v>2153</v>
      </c>
      <c r="C2156" s="28">
        <v>160.86305912351617</v>
      </c>
      <c r="E2156" s="14" t="s">
        <v>1499</v>
      </c>
      <c r="F2156" s="11">
        <v>180</v>
      </c>
    </row>
    <row r="2157" spans="2:6" x14ac:dyDescent="0.3">
      <c r="B2157" s="12">
        <v>2154</v>
      </c>
      <c r="C2157" s="28">
        <v>148.73862180532782</v>
      </c>
      <c r="E2157" s="14" t="s">
        <v>3648</v>
      </c>
      <c r="F2157" s="11">
        <v>180</v>
      </c>
    </row>
    <row r="2158" spans="2:6" x14ac:dyDescent="0.3">
      <c r="B2158" s="12">
        <v>2155</v>
      </c>
      <c r="C2158" s="28">
        <v>165.27281574077625</v>
      </c>
      <c r="E2158" s="14" t="s">
        <v>20</v>
      </c>
      <c r="F2158" s="11">
        <v>180</v>
      </c>
    </row>
    <row r="2159" spans="2:6" x14ac:dyDescent="0.3">
      <c r="B2159" s="12">
        <v>2156</v>
      </c>
      <c r="C2159" s="28">
        <v>162.25417339904581</v>
      </c>
      <c r="E2159" s="14" t="s">
        <v>1054</v>
      </c>
      <c r="F2159" s="11">
        <v>168</v>
      </c>
    </row>
    <row r="2160" spans="2:6" x14ac:dyDescent="0.3">
      <c r="B2160" s="12">
        <v>2157</v>
      </c>
      <c r="C2160" s="28">
        <v>166.32949403035957</v>
      </c>
      <c r="E2160" s="14" t="s">
        <v>1901</v>
      </c>
      <c r="F2160" s="11">
        <v>169</v>
      </c>
    </row>
    <row r="2161" spans="2:6" x14ac:dyDescent="0.3">
      <c r="B2161" s="12">
        <v>2158</v>
      </c>
      <c r="C2161" s="28">
        <v>165.61652605361766</v>
      </c>
      <c r="E2161" s="14" t="s">
        <v>2116</v>
      </c>
      <c r="F2161" s="11">
        <v>180</v>
      </c>
    </row>
    <row r="2162" spans="2:6" x14ac:dyDescent="0.3">
      <c r="B2162" s="12">
        <v>2159</v>
      </c>
      <c r="C2162" s="28">
        <v>163.98143943530289</v>
      </c>
      <c r="E2162" s="14" t="s">
        <v>2753</v>
      </c>
      <c r="F2162" s="11">
        <v>171</v>
      </c>
    </row>
    <row r="2163" spans="2:6" x14ac:dyDescent="0.3">
      <c r="B2163" s="12">
        <v>2160</v>
      </c>
      <c r="C2163" s="28">
        <v>153.56816275333912</v>
      </c>
      <c r="E2163" s="14" t="s">
        <v>3857</v>
      </c>
      <c r="F2163" s="11">
        <v>164</v>
      </c>
    </row>
    <row r="2164" spans="2:6" x14ac:dyDescent="0.3">
      <c r="B2164" s="12">
        <v>2161</v>
      </c>
      <c r="C2164" s="28">
        <v>164.89740755047907</v>
      </c>
      <c r="E2164" s="14" t="s">
        <v>3238</v>
      </c>
      <c r="F2164" s="11">
        <v>180</v>
      </c>
    </row>
    <row r="2165" spans="2:6" x14ac:dyDescent="0.3">
      <c r="B2165" s="12">
        <v>2162</v>
      </c>
      <c r="C2165" s="28">
        <v>170.49095210885528</v>
      </c>
      <c r="E2165" s="14" t="s">
        <v>1469</v>
      </c>
      <c r="F2165" s="11">
        <v>160</v>
      </c>
    </row>
    <row r="2166" spans="2:6" x14ac:dyDescent="0.3">
      <c r="B2166" s="12">
        <v>2163</v>
      </c>
      <c r="C2166" s="28">
        <v>183.97161822549504</v>
      </c>
      <c r="E2166" s="14" t="s">
        <v>2435</v>
      </c>
      <c r="F2166" s="11">
        <v>174</v>
      </c>
    </row>
    <row r="2167" spans="2:6" x14ac:dyDescent="0.3">
      <c r="B2167" s="12">
        <v>2164</v>
      </c>
      <c r="C2167" s="28">
        <v>165.68816795332799</v>
      </c>
      <c r="E2167" s="14" t="s">
        <v>2527</v>
      </c>
      <c r="F2167" s="11">
        <v>170</v>
      </c>
    </row>
    <row r="2168" spans="2:6" x14ac:dyDescent="0.3">
      <c r="B2168" s="12">
        <v>2165</v>
      </c>
      <c r="C2168" s="28">
        <v>154.47025094018201</v>
      </c>
      <c r="E2168" s="14" t="s">
        <v>3115</v>
      </c>
      <c r="F2168" s="11">
        <v>192</v>
      </c>
    </row>
    <row r="2169" spans="2:6" x14ac:dyDescent="0.3">
      <c r="B2169" s="12">
        <v>2166</v>
      </c>
      <c r="C2169" s="28">
        <v>156.65494912402198</v>
      </c>
      <c r="E2169" s="14" t="s">
        <v>1787</v>
      </c>
      <c r="F2169" s="11">
        <v>170</v>
      </c>
    </row>
    <row r="2170" spans="2:6" x14ac:dyDescent="0.3">
      <c r="B2170" s="12">
        <v>2167</v>
      </c>
      <c r="C2170" s="28">
        <v>166.36984376986032</v>
      </c>
      <c r="E2170" s="14" t="s">
        <v>4319</v>
      </c>
      <c r="F2170" s="11">
        <v>172</v>
      </c>
    </row>
    <row r="2171" spans="2:6" x14ac:dyDescent="0.3">
      <c r="B2171" s="12">
        <v>2168</v>
      </c>
      <c r="C2171" s="28">
        <v>162.13960654818356</v>
      </c>
      <c r="E2171" s="14" t="s">
        <v>4305</v>
      </c>
      <c r="F2171" s="11">
        <v>155</v>
      </c>
    </row>
    <row r="2172" spans="2:6" x14ac:dyDescent="0.3">
      <c r="B2172" s="12">
        <v>2169</v>
      </c>
      <c r="C2172" s="28">
        <v>163.21598329395943</v>
      </c>
      <c r="E2172" s="14" t="s">
        <v>491</v>
      </c>
      <c r="F2172" s="11">
        <v>180</v>
      </c>
    </row>
    <row r="2173" spans="2:6" x14ac:dyDescent="0.3">
      <c r="B2173" s="12">
        <v>2170</v>
      </c>
      <c r="C2173" s="28">
        <v>156.7400173610061</v>
      </c>
      <c r="E2173" s="14" t="s">
        <v>1969</v>
      </c>
      <c r="F2173" s="11">
        <v>163</v>
      </c>
    </row>
    <row r="2174" spans="2:6" x14ac:dyDescent="0.3">
      <c r="B2174" s="12">
        <v>2171</v>
      </c>
      <c r="C2174" s="28">
        <v>162.33400016423883</v>
      </c>
      <c r="E2174" s="14" t="s">
        <v>640</v>
      </c>
      <c r="F2174" s="11">
        <v>163</v>
      </c>
    </row>
    <row r="2175" spans="2:6" x14ac:dyDescent="0.3">
      <c r="B2175" s="12">
        <v>2172</v>
      </c>
      <c r="C2175" s="28">
        <v>149.92668974738962</v>
      </c>
      <c r="E2175" s="14" t="s">
        <v>2190</v>
      </c>
      <c r="F2175" s="11">
        <v>168</v>
      </c>
    </row>
    <row r="2176" spans="2:6" x14ac:dyDescent="0.3">
      <c r="B2176" s="12">
        <v>2173</v>
      </c>
      <c r="C2176" s="28">
        <v>164.59046014616379</v>
      </c>
      <c r="E2176" s="14" t="s">
        <v>2973</v>
      </c>
      <c r="F2176" s="11">
        <v>165</v>
      </c>
    </row>
    <row r="2177" spans="2:6" x14ac:dyDescent="0.3">
      <c r="B2177" s="12">
        <v>2174</v>
      </c>
      <c r="C2177" s="28">
        <v>166.2436681810708</v>
      </c>
      <c r="E2177" s="14" t="s">
        <v>1512</v>
      </c>
      <c r="F2177" s="11">
        <v>167</v>
      </c>
    </row>
    <row r="2178" spans="2:6" x14ac:dyDescent="0.3">
      <c r="B2178" s="12">
        <v>2175</v>
      </c>
      <c r="C2178" s="28">
        <v>157.20864384500422</v>
      </c>
      <c r="E2178" s="14" t="s">
        <v>4263</v>
      </c>
      <c r="F2178" s="11">
        <v>176</v>
      </c>
    </row>
    <row r="2179" spans="2:6" x14ac:dyDescent="0.3">
      <c r="B2179" s="12">
        <v>2176</v>
      </c>
      <c r="C2179" s="28">
        <v>144.4903664558766</v>
      </c>
      <c r="E2179" s="14" t="s">
        <v>2731</v>
      </c>
      <c r="F2179" s="11">
        <v>177</v>
      </c>
    </row>
    <row r="2180" spans="2:6" x14ac:dyDescent="0.3">
      <c r="B2180" s="12">
        <v>2177</v>
      </c>
      <c r="C2180" s="28">
        <v>150.21876664084601</v>
      </c>
      <c r="E2180" s="14" t="s">
        <v>2497</v>
      </c>
      <c r="F2180" s="11">
        <v>193</v>
      </c>
    </row>
    <row r="2181" spans="2:6" x14ac:dyDescent="0.3">
      <c r="B2181" s="12">
        <v>2178</v>
      </c>
      <c r="C2181" s="28">
        <v>161.23131510007565</v>
      </c>
      <c r="E2181" s="14" t="s">
        <v>3351</v>
      </c>
      <c r="F2181" s="11">
        <v>163</v>
      </c>
    </row>
    <row r="2182" spans="2:6" x14ac:dyDescent="0.3">
      <c r="B2182" s="12">
        <v>2179</v>
      </c>
      <c r="C2182" s="28">
        <v>154.08698730558555</v>
      </c>
      <c r="E2182" s="14" t="s">
        <v>837</v>
      </c>
      <c r="F2182" s="11">
        <v>163</v>
      </c>
    </row>
    <row r="2183" spans="2:6" x14ac:dyDescent="0.3">
      <c r="B2183" s="12">
        <v>2180</v>
      </c>
      <c r="C2183" s="28">
        <v>159.98439045434242</v>
      </c>
      <c r="E2183" s="14" t="s">
        <v>1821</v>
      </c>
      <c r="F2183" s="11">
        <v>158</v>
      </c>
    </row>
    <row r="2184" spans="2:6" x14ac:dyDescent="0.3">
      <c r="B2184" s="12">
        <v>2181</v>
      </c>
      <c r="C2184" s="28">
        <v>177.31508128878119</v>
      </c>
      <c r="E2184" s="14" t="s">
        <v>586</v>
      </c>
      <c r="F2184" s="11">
        <v>186</v>
      </c>
    </row>
    <row r="2185" spans="2:6" x14ac:dyDescent="0.3">
      <c r="B2185" s="12">
        <v>2182</v>
      </c>
      <c r="C2185" s="28">
        <v>168.84830617676459</v>
      </c>
      <c r="E2185" s="14" t="s">
        <v>1905</v>
      </c>
      <c r="F2185" s="11">
        <v>183</v>
      </c>
    </row>
    <row r="2186" spans="2:6" x14ac:dyDescent="0.3">
      <c r="B2186" s="12">
        <v>2183</v>
      </c>
      <c r="C2186" s="28">
        <v>155.22828497848806</v>
      </c>
      <c r="E2186" s="14" t="s">
        <v>3997</v>
      </c>
      <c r="F2186" s="11">
        <v>164</v>
      </c>
    </row>
    <row r="2187" spans="2:6" x14ac:dyDescent="0.3">
      <c r="B2187" s="12">
        <v>2184</v>
      </c>
      <c r="C2187" s="28">
        <v>168.58034258038703</v>
      </c>
      <c r="E2187" s="14" t="s">
        <v>400</v>
      </c>
      <c r="F2187" s="11">
        <v>162</v>
      </c>
    </row>
    <row r="2188" spans="2:6" x14ac:dyDescent="0.3">
      <c r="B2188" s="12">
        <v>2185</v>
      </c>
      <c r="C2188" s="28">
        <v>171.14977172220682</v>
      </c>
      <c r="E2188" s="14" t="s">
        <v>2436</v>
      </c>
      <c r="F2188" s="11">
        <v>169</v>
      </c>
    </row>
    <row r="2189" spans="2:6" x14ac:dyDescent="0.3">
      <c r="B2189" s="12">
        <v>2186</v>
      </c>
      <c r="C2189" s="28">
        <v>163.58431297553253</v>
      </c>
      <c r="E2189" s="14" t="s">
        <v>304</v>
      </c>
      <c r="F2189" s="11">
        <v>184</v>
      </c>
    </row>
    <row r="2190" spans="2:6" x14ac:dyDescent="0.3">
      <c r="B2190" s="12">
        <v>2187</v>
      </c>
      <c r="C2190" s="28">
        <v>161.29209743114853</v>
      </c>
      <c r="E2190" s="14" t="s">
        <v>1511</v>
      </c>
      <c r="F2190" s="11">
        <v>170</v>
      </c>
    </row>
    <row r="2191" spans="2:6" x14ac:dyDescent="0.3">
      <c r="B2191" s="12">
        <v>2188</v>
      </c>
      <c r="C2191" s="28">
        <v>168.12405202852366</v>
      </c>
      <c r="E2191" s="14" t="s">
        <v>1933</v>
      </c>
      <c r="F2191" s="11">
        <v>161</v>
      </c>
    </row>
    <row r="2192" spans="2:6" x14ac:dyDescent="0.3">
      <c r="B2192" s="12">
        <v>2189</v>
      </c>
      <c r="C2192" s="28">
        <v>158.44785845021877</v>
      </c>
      <c r="E2192" s="14" t="s">
        <v>2185</v>
      </c>
      <c r="F2192" s="11">
        <v>178</v>
      </c>
    </row>
    <row r="2193" spans="2:6" x14ac:dyDescent="0.3">
      <c r="B2193" s="12">
        <v>2190</v>
      </c>
      <c r="C2193" s="28">
        <v>162.48466669923181</v>
      </c>
      <c r="E2193" s="14" t="s">
        <v>2204</v>
      </c>
      <c r="F2193" s="11">
        <v>158</v>
      </c>
    </row>
    <row r="2194" spans="2:6" x14ac:dyDescent="0.3">
      <c r="B2194" s="12">
        <v>2191</v>
      </c>
      <c r="C2194" s="28">
        <v>161.37967582474474</v>
      </c>
      <c r="E2194" s="14" t="s">
        <v>4716</v>
      </c>
      <c r="F2194" s="11">
        <v>178</v>
      </c>
    </row>
    <row r="2195" spans="2:6" x14ac:dyDescent="0.3">
      <c r="B2195" s="12">
        <v>2192</v>
      </c>
      <c r="C2195" s="28">
        <v>165.78941914172412</v>
      </c>
      <c r="E2195" s="14" t="s">
        <v>3058</v>
      </c>
      <c r="F2195" s="11">
        <v>169</v>
      </c>
    </row>
    <row r="2196" spans="2:6" x14ac:dyDescent="0.3">
      <c r="B2196" s="12">
        <v>2193</v>
      </c>
      <c r="C2196" s="28">
        <v>157.5536967414871</v>
      </c>
      <c r="E2196" s="14" t="s">
        <v>3412</v>
      </c>
      <c r="F2196" s="11">
        <v>174</v>
      </c>
    </row>
    <row r="2197" spans="2:6" x14ac:dyDescent="0.3">
      <c r="B2197" s="12">
        <v>2194</v>
      </c>
      <c r="C2197" s="28">
        <v>162.06249364340817</v>
      </c>
      <c r="E2197" s="14" t="s">
        <v>4414</v>
      </c>
      <c r="F2197" s="11">
        <v>176</v>
      </c>
    </row>
    <row r="2198" spans="2:6" x14ac:dyDescent="0.3">
      <c r="B2198" s="12">
        <v>2195</v>
      </c>
      <c r="C2198" s="28">
        <v>167.79153957118058</v>
      </c>
      <c r="E2198" s="14" t="s">
        <v>791</v>
      </c>
      <c r="F2198" s="11">
        <v>184</v>
      </c>
    </row>
    <row r="2199" spans="2:6" x14ac:dyDescent="0.3">
      <c r="B2199" s="12">
        <v>2196</v>
      </c>
      <c r="C2199" s="28">
        <v>166.13200414718088</v>
      </c>
      <c r="E2199" s="14" t="s">
        <v>513</v>
      </c>
      <c r="F2199" s="11">
        <v>172</v>
      </c>
    </row>
    <row r="2200" spans="2:6" x14ac:dyDescent="0.3">
      <c r="B2200" s="12">
        <v>2197</v>
      </c>
      <c r="C2200" s="28">
        <v>150.86239947255086</v>
      </c>
      <c r="E2200" s="14" t="s">
        <v>1477</v>
      </c>
      <c r="F2200" s="11">
        <v>173</v>
      </c>
    </row>
    <row r="2201" spans="2:6" x14ac:dyDescent="0.3">
      <c r="B2201" s="12">
        <v>2198</v>
      </c>
      <c r="C2201" s="28">
        <v>165.43207565547985</v>
      </c>
      <c r="E2201" s="14" t="s">
        <v>1287</v>
      </c>
      <c r="F2201" s="11">
        <v>162</v>
      </c>
    </row>
    <row r="2202" spans="2:6" x14ac:dyDescent="0.3">
      <c r="B2202" s="12">
        <v>2199</v>
      </c>
      <c r="C2202" s="28">
        <v>159.5715452077765</v>
      </c>
      <c r="E2202" s="14" t="s">
        <v>3106</v>
      </c>
      <c r="F2202" s="11">
        <v>168</v>
      </c>
    </row>
    <row r="2203" spans="2:6" x14ac:dyDescent="0.3">
      <c r="B2203" s="12">
        <v>2200</v>
      </c>
      <c r="C2203" s="28">
        <v>165.81118973364133</v>
      </c>
      <c r="E2203" s="14" t="s">
        <v>3749</v>
      </c>
      <c r="F2203" s="11">
        <v>193</v>
      </c>
    </row>
    <row r="2204" spans="2:6" x14ac:dyDescent="0.3">
      <c r="B2204" s="12">
        <v>2201</v>
      </c>
      <c r="C2204" s="28">
        <v>153.41349039181148</v>
      </c>
      <c r="E2204" s="14" t="s">
        <v>613</v>
      </c>
      <c r="F2204" s="11">
        <v>171</v>
      </c>
    </row>
    <row r="2205" spans="2:6" x14ac:dyDescent="0.3">
      <c r="B2205" s="12">
        <v>2202</v>
      </c>
      <c r="C2205" s="28">
        <v>150.29354626125374</v>
      </c>
      <c r="E2205" s="14" t="s">
        <v>1593</v>
      </c>
      <c r="F2205" s="11">
        <v>164</v>
      </c>
    </row>
    <row r="2206" spans="2:6" x14ac:dyDescent="0.3">
      <c r="B2206" s="12">
        <v>2203</v>
      </c>
      <c r="C2206" s="28">
        <v>162.54378639512424</v>
      </c>
      <c r="E2206" s="14" t="s">
        <v>2224</v>
      </c>
      <c r="F2206" s="11">
        <v>173</v>
      </c>
    </row>
    <row r="2207" spans="2:6" x14ac:dyDescent="0.3">
      <c r="B2207" s="12">
        <v>2204</v>
      </c>
      <c r="C2207" s="28">
        <v>158.72226404712305</v>
      </c>
      <c r="E2207" s="14" t="s">
        <v>4037</v>
      </c>
      <c r="F2207" s="11">
        <v>163</v>
      </c>
    </row>
    <row r="2208" spans="2:6" x14ac:dyDescent="0.3">
      <c r="B2208" s="12">
        <v>2205</v>
      </c>
      <c r="C2208" s="28">
        <v>166.68556514044198</v>
      </c>
      <c r="E2208" s="14" t="s">
        <v>1209</v>
      </c>
      <c r="F2208" s="11">
        <v>168</v>
      </c>
    </row>
    <row r="2209" spans="2:6" x14ac:dyDescent="0.3">
      <c r="B2209" s="12">
        <v>2206</v>
      </c>
      <c r="C2209" s="28">
        <v>163.41764819982413</v>
      </c>
      <c r="E2209" s="14" t="s">
        <v>3063</v>
      </c>
      <c r="F2209" s="11">
        <v>163</v>
      </c>
    </row>
    <row r="2210" spans="2:6" x14ac:dyDescent="0.3">
      <c r="B2210" s="12">
        <v>2207</v>
      </c>
      <c r="C2210" s="28">
        <v>172.50930758274637</v>
      </c>
      <c r="E2210" s="14" t="s">
        <v>3824</v>
      </c>
      <c r="F2210" s="11">
        <v>167</v>
      </c>
    </row>
    <row r="2211" spans="2:6" x14ac:dyDescent="0.3">
      <c r="B2211" s="12">
        <v>2208</v>
      </c>
      <c r="C2211" s="28">
        <v>161.97125806758706</v>
      </c>
      <c r="E2211" s="14" t="s">
        <v>994</v>
      </c>
      <c r="F2211" s="11">
        <v>167</v>
      </c>
    </row>
    <row r="2212" spans="2:6" x14ac:dyDescent="0.3">
      <c r="B2212" s="12">
        <v>2209</v>
      </c>
      <c r="C2212" s="28">
        <v>154.98944506612642</v>
      </c>
      <c r="E2212" s="14" t="s">
        <v>3745</v>
      </c>
      <c r="F2212" s="11">
        <v>178</v>
      </c>
    </row>
    <row r="2213" spans="2:6" x14ac:dyDescent="0.3">
      <c r="B2213" s="12">
        <v>2210</v>
      </c>
      <c r="C2213" s="28">
        <v>155.72513543678161</v>
      </c>
      <c r="E2213" s="14" t="s">
        <v>1559</v>
      </c>
      <c r="F2213" s="11">
        <v>172</v>
      </c>
    </row>
    <row r="2214" spans="2:6" x14ac:dyDescent="0.3">
      <c r="B2214" s="12">
        <v>2211</v>
      </c>
      <c r="C2214" s="28">
        <v>160.2982018609957</v>
      </c>
      <c r="E2214" s="14" t="s">
        <v>3209</v>
      </c>
      <c r="F2214" s="11">
        <v>170</v>
      </c>
    </row>
    <row r="2215" spans="2:6" x14ac:dyDescent="0.3">
      <c r="B2215" s="12">
        <v>2212</v>
      </c>
      <c r="C2215" s="28">
        <v>173.47620509948288</v>
      </c>
      <c r="E2215" s="14" t="s">
        <v>1707</v>
      </c>
      <c r="F2215" s="11">
        <v>180</v>
      </c>
    </row>
    <row r="2216" spans="2:6" x14ac:dyDescent="0.3">
      <c r="B2216" s="12">
        <v>2213</v>
      </c>
      <c r="C2216" s="28">
        <v>154.15056875351286</v>
      </c>
      <c r="E2216" s="14" t="s">
        <v>3589</v>
      </c>
      <c r="F2216" s="11">
        <v>163</v>
      </c>
    </row>
    <row r="2217" spans="2:6" x14ac:dyDescent="0.3">
      <c r="B2217" s="12">
        <v>2214</v>
      </c>
      <c r="C2217" s="28">
        <v>146.18399442059788</v>
      </c>
      <c r="E2217" s="14" t="s">
        <v>1319</v>
      </c>
      <c r="F2217" s="11">
        <v>175</v>
      </c>
    </row>
    <row r="2218" spans="2:6" x14ac:dyDescent="0.3">
      <c r="B2218" s="12">
        <v>2215</v>
      </c>
      <c r="C2218" s="28">
        <v>149.11637884765702</v>
      </c>
      <c r="E2218" s="14" t="s">
        <v>1481</v>
      </c>
      <c r="F2218" s="11">
        <v>183</v>
      </c>
    </row>
    <row r="2219" spans="2:6" x14ac:dyDescent="0.3">
      <c r="B2219" s="12">
        <v>2216</v>
      </c>
      <c r="C2219" s="28">
        <v>159.26719989610893</v>
      </c>
      <c r="E2219" s="14" t="s">
        <v>1078</v>
      </c>
      <c r="F2219" s="11">
        <v>168</v>
      </c>
    </row>
    <row r="2220" spans="2:6" x14ac:dyDescent="0.3">
      <c r="B2220" s="12">
        <v>2217</v>
      </c>
      <c r="C2220" s="28">
        <v>164.00220072089377</v>
      </c>
      <c r="E2220" s="14" t="s">
        <v>3671</v>
      </c>
      <c r="F2220" s="11">
        <v>186</v>
      </c>
    </row>
    <row r="2221" spans="2:6" x14ac:dyDescent="0.3">
      <c r="B2221" s="12">
        <v>2218</v>
      </c>
      <c r="C2221" s="28">
        <v>160.22508059369829</v>
      </c>
      <c r="E2221" s="14" t="s">
        <v>2813</v>
      </c>
      <c r="F2221" s="11">
        <v>180</v>
      </c>
    </row>
    <row r="2222" spans="2:6" x14ac:dyDescent="0.3">
      <c r="B2222" s="12">
        <v>2219</v>
      </c>
      <c r="C2222" s="28">
        <v>170.31714570323356</v>
      </c>
      <c r="E2222" s="14" t="s">
        <v>204</v>
      </c>
      <c r="F2222" s="11">
        <v>172</v>
      </c>
    </row>
    <row r="2223" spans="2:6" x14ac:dyDescent="0.3">
      <c r="B2223" s="12">
        <v>2220</v>
      </c>
      <c r="C2223" s="28">
        <v>155.99487919891936</v>
      </c>
      <c r="E2223" s="14" t="s">
        <v>3419</v>
      </c>
      <c r="F2223" s="11">
        <v>190</v>
      </c>
    </row>
    <row r="2224" spans="2:6" x14ac:dyDescent="0.3">
      <c r="B2224" s="12">
        <v>2221</v>
      </c>
      <c r="C2224" s="28">
        <v>169.0001982642724</v>
      </c>
      <c r="E2224" s="14" t="s">
        <v>839</v>
      </c>
      <c r="F2224" s="11">
        <v>172</v>
      </c>
    </row>
    <row r="2225" spans="2:6" x14ac:dyDescent="0.3">
      <c r="B2225" s="12">
        <v>2222</v>
      </c>
      <c r="C2225" s="28">
        <v>162.0417315249147</v>
      </c>
      <c r="E2225" s="14" t="s">
        <v>412</v>
      </c>
      <c r="F2225" s="11">
        <v>175</v>
      </c>
    </row>
    <row r="2226" spans="2:6" x14ac:dyDescent="0.3">
      <c r="B2226" s="12">
        <v>2223</v>
      </c>
      <c r="C2226" s="28">
        <v>160.34039349362246</v>
      </c>
      <c r="E2226" s="14" t="s">
        <v>3117</v>
      </c>
      <c r="F2226" s="11">
        <v>155</v>
      </c>
    </row>
    <row r="2227" spans="2:6" x14ac:dyDescent="0.3">
      <c r="B2227" s="12">
        <v>2224</v>
      </c>
      <c r="C2227" s="28">
        <v>156.86446732728601</v>
      </c>
      <c r="E2227" s="14" t="s">
        <v>4273</v>
      </c>
      <c r="F2227" s="11">
        <v>165</v>
      </c>
    </row>
    <row r="2228" spans="2:6" x14ac:dyDescent="0.3">
      <c r="B2228" s="12">
        <v>2225</v>
      </c>
      <c r="C2228" s="28">
        <v>168.12801015563431</v>
      </c>
      <c r="E2228" s="14" t="s">
        <v>1312</v>
      </c>
      <c r="F2228" s="11">
        <v>173</v>
      </c>
    </row>
    <row r="2229" spans="2:6" x14ac:dyDescent="0.3">
      <c r="B2229" s="12">
        <v>2226</v>
      </c>
      <c r="C2229" s="28">
        <v>156.68925512239994</v>
      </c>
      <c r="E2229" s="14" t="s">
        <v>280</v>
      </c>
      <c r="F2229" s="11">
        <v>173</v>
      </c>
    </row>
    <row r="2230" spans="2:6" x14ac:dyDescent="0.3">
      <c r="B2230" s="12">
        <v>2227</v>
      </c>
      <c r="C2230" s="28">
        <v>154.7324880905517</v>
      </c>
      <c r="E2230" s="14" t="s">
        <v>2329</v>
      </c>
      <c r="F2230" s="11">
        <v>183</v>
      </c>
    </row>
    <row r="2231" spans="2:6" x14ac:dyDescent="0.3">
      <c r="B2231" s="12">
        <v>2228</v>
      </c>
      <c r="C2231" s="28">
        <v>158.41158689788014</v>
      </c>
      <c r="E2231" s="14" t="s">
        <v>3932</v>
      </c>
      <c r="F2231" s="11">
        <v>163</v>
      </c>
    </row>
    <row r="2232" spans="2:6" x14ac:dyDescent="0.3">
      <c r="B2232" s="12">
        <v>2229</v>
      </c>
      <c r="C2232" s="28">
        <v>171.02924486396003</v>
      </c>
      <c r="E2232" s="14" t="s">
        <v>2101</v>
      </c>
      <c r="F2232" s="11">
        <v>168</v>
      </c>
    </row>
    <row r="2233" spans="2:6" x14ac:dyDescent="0.3">
      <c r="B2233" s="12">
        <v>2230</v>
      </c>
      <c r="C2233" s="28">
        <v>171.30689967368866</v>
      </c>
      <c r="E2233" s="14" t="s">
        <v>3621</v>
      </c>
      <c r="F2233" s="11">
        <v>171</v>
      </c>
    </row>
    <row r="2234" spans="2:6" x14ac:dyDescent="0.3">
      <c r="B2234" s="12">
        <v>2231</v>
      </c>
      <c r="C2234" s="28">
        <v>166.87154169704567</v>
      </c>
      <c r="E2234" s="14" t="s">
        <v>2624</v>
      </c>
      <c r="F2234" s="11">
        <v>183</v>
      </c>
    </row>
    <row r="2235" spans="2:6" x14ac:dyDescent="0.3">
      <c r="B2235" s="12">
        <v>2232</v>
      </c>
      <c r="C2235" s="28">
        <v>163.82311815256</v>
      </c>
      <c r="E2235" s="14" t="s">
        <v>4458</v>
      </c>
      <c r="F2235" s="11">
        <v>173</v>
      </c>
    </row>
    <row r="2236" spans="2:6" x14ac:dyDescent="0.3">
      <c r="B2236" s="12">
        <v>2233</v>
      </c>
      <c r="C2236" s="28">
        <v>170.73300732564201</v>
      </c>
      <c r="E2236" s="14" t="s">
        <v>1904</v>
      </c>
      <c r="F2236" s="11">
        <v>178</v>
      </c>
    </row>
    <row r="2237" spans="2:6" x14ac:dyDescent="0.3">
      <c r="B2237" s="12">
        <v>2234</v>
      </c>
      <c r="C2237" s="28">
        <v>164.27117188124504</v>
      </c>
      <c r="E2237" s="14" t="s">
        <v>2832</v>
      </c>
      <c r="F2237" s="11">
        <v>168</v>
      </c>
    </row>
    <row r="2238" spans="2:6" x14ac:dyDescent="0.3">
      <c r="B2238" s="12">
        <v>2235</v>
      </c>
      <c r="C2238" s="28">
        <v>167.85691518200062</v>
      </c>
      <c r="E2238" s="14" t="s">
        <v>3654</v>
      </c>
      <c r="F2238" s="11">
        <v>179</v>
      </c>
    </row>
    <row r="2239" spans="2:6" x14ac:dyDescent="0.3">
      <c r="B2239" s="12">
        <v>2236</v>
      </c>
      <c r="C2239" s="28">
        <v>156.83408163500164</v>
      </c>
      <c r="E2239" s="14" t="s">
        <v>4018</v>
      </c>
      <c r="F2239" s="11">
        <v>173</v>
      </c>
    </row>
    <row r="2240" spans="2:6" x14ac:dyDescent="0.3">
      <c r="B2240" s="12">
        <v>2237</v>
      </c>
      <c r="C2240" s="28">
        <v>165.04380503924992</v>
      </c>
      <c r="E2240" s="14" t="s">
        <v>4365</v>
      </c>
      <c r="F2240" s="11">
        <v>164</v>
      </c>
    </row>
    <row r="2241" spans="2:6" x14ac:dyDescent="0.3">
      <c r="B2241" s="12">
        <v>2238</v>
      </c>
      <c r="C2241" s="28">
        <v>160.50856872016999</v>
      </c>
      <c r="E2241" s="14" t="s">
        <v>371</v>
      </c>
      <c r="F2241" s="11">
        <v>170</v>
      </c>
    </row>
    <row r="2242" spans="2:6" x14ac:dyDescent="0.3">
      <c r="B2242" s="12">
        <v>2239</v>
      </c>
      <c r="C2242" s="28">
        <v>156.81384680937788</v>
      </c>
      <c r="E2242" s="14" t="s">
        <v>1740</v>
      </c>
      <c r="F2242" s="11">
        <v>161</v>
      </c>
    </row>
    <row r="2243" spans="2:6" x14ac:dyDescent="0.3">
      <c r="B2243" s="12">
        <v>2240</v>
      </c>
      <c r="C2243" s="28">
        <v>163.11192088677072</v>
      </c>
      <c r="E2243" s="14" t="s">
        <v>806</v>
      </c>
      <c r="F2243" s="11">
        <v>168</v>
      </c>
    </row>
    <row r="2244" spans="2:6" x14ac:dyDescent="0.3">
      <c r="B2244" s="12">
        <v>2241</v>
      </c>
      <c r="C2244" s="28">
        <v>168.12058963534992</v>
      </c>
      <c r="E2244" s="14" t="s">
        <v>196</v>
      </c>
      <c r="F2244" s="11">
        <v>178</v>
      </c>
    </row>
    <row r="2245" spans="2:6" x14ac:dyDescent="0.3">
      <c r="B2245" s="12">
        <v>2242</v>
      </c>
      <c r="C2245" s="28">
        <v>159.48341886293787</v>
      </c>
      <c r="E2245" s="14" t="s">
        <v>1114</v>
      </c>
      <c r="F2245" s="11">
        <v>178</v>
      </c>
    </row>
    <row r="2246" spans="2:6" x14ac:dyDescent="0.3">
      <c r="B2246" s="12">
        <v>2243</v>
      </c>
      <c r="C2246" s="28">
        <v>158.24978988096987</v>
      </c>
      <c r="E2246" s="14" t="s">
        <v>4874</v>
      </c>
      <c r="F2246" s="11">
        <v>173</v>
      </c>
    </row>
    <row r="2247" spans="2:6" x14ac:dyDescent="0.3">
      <c r="B2247" s="12">
        <v>2244</v>
      </c>
      <c r="C2247" s="28">
        <v>157.41982662982196</v>
      </c>
      <c r="E2247" s="14" t="s">
        <v>1728</v>
      </c>
      <c r="F2247" s="11">
        <v>175</v>
      </c>
    </row>
    <row r="2248" spans="2:6" x14ac:dyDescent="0.3">
      <c r="B2248" s="12">
        <v>2245</v>
      </c>
      <c r="C2248" s="28">
        <v>160.47706728402386</v>
      </c>
      <c r="E2248" s="14" t="s">
        <v>3766</v>
      </c>
      <c r="F2248" s="11">
        <v>173</v>
      </c>
    </row>
    <row r="2249" spans="2:6" x14ac:dyDescent="0.3">
      <c r="B2249" s="12">
        <v>2246</v>
      </c>
      <c r="C2249" s="28">
        <v>161.44914539452949</v>
      </c>
      <c r="E2249" s="14" t="s">
        <v>4573</v>
      </c>
      <c r="F2249" s="11">
        <v>170</v>
      </c>
    </row>
    <row r="2250" spans="2:6" x14ac:dyDescent="0.3">
      <c r="B2250" s="12">
        <v>2247</v>
      </c>
      <c r="C2250" s="28">
        <v>162.06846357178171</v>
      </c>
      <c r="E2250" s="14" t="s">
        <v>1373</v>
      </c>
      <c r="F2250" s="11">
        <v>166</v>
      </c>
    </row>
    <row r="2251" spans="2:6" x14ac:dyDescent="0.3">
      <c r="B2251" s="12">
        <v>2248</v>
      </c>
      <c r="C2251" s="28">
        <v>149.15011605758582</v>
      </c>
      <c r="E2251" s="14" t="s">
        <v>4849</v>
      </c>
      <c r="F2251" s="11">
        <v>163</v>
      </c>
    </row>
    <row r="2252" spans="2:6" x14ac:dyDescent="0.3">
      <c r="B2252" s="12">
        <v>2249</v>
      </c>
      <c r="C2252" s="28">
        <v>166.21783469111125</v>
      </c>
      <c r="E2252" s="14" t="s">
        <v>1471</v>
      </c>
      <c r="F2252" s="11">
        <v>154</v>
      </c>
    </row>
    <row r="2253" spans="2:6" x14ac:dyDescent="0.3">
      <c r="B2253" s="12">
        <v>2250</v>
      </c>
      <c r="C2253" s="28">
        <v>160.82556384125644</v>
      </c>
      <c r="E2253" s="14" t="s">
        <v>2625</v>
      </c>
      <c r="F2253" s="11">
        <v>170</v>
      </c>
    </row>
    <row r="2254" spans="2:6" x14ac:dyDescent="0.3">
      <c r="B2254" s="12">
        <v>2251</v>
      </c>
      <c r="C2254" s="28">
        <v>160.3562471267457</v>
      </c>
      <c r="E2254" s="14" t="s">
        <v>2730</v>
      </c>
      <c r="F2254" s="11">
        <v>167</v>
      </c>
    </row>
    <row r="2255" spans="2:6" x14ac:dyDescent="0.3">
      <c r="B2255" s="12">
        <v>2252</v>
      </c>
      <c r="C2255" s="28">
        <v>157.96308112601665</v>
      </c>
      <c r="E2255" s="14" t="s">
        <v>3876</v>
      </c>
      <c r="F2255" s="11">
        <v>172</v>
      </c>
    </row>
    <row r="2256" spans="2:6" x14ac:dyDescent="0.3">
      <c r="B2256" s="12">
        <v>2253</v>
      </c>
      <c r="C2256" s="28">
        <v>155.48444607656006</v>
      </c>
      <c r="E2256" s="14" t="s">
        <v>4560</v>
      </c>
      <c r="F2256" s="11">
        <v>164</v>
      </c>
    </row>
    <row r="2257" spans="2:6" x14ac:dyDescent="0.3">
      <c r="B2257" s="12">
        <v>2254</v>
      </c>
      <c r="C2257" s="28">
        <v>164.37684135550182</v>
      </c>
      <c r="E2257" s="14" t="s">
        <v>4430</v>
      </c>
      <c r="F2257" s="11">
        <v>157</v>
      </c>
    </row>
    <row r="2258" spans="2:6" x14ac:dyDescent="0.3">
      <c r="B2258" s="12">
        <v>2255</v>
      </c>
      <c r="C2258" s="28">
        <v>169.5163751543956</v>
      </c>
      <c r="E2258" s="14" t="s">
        <v>510</v>
      </c>
      <c r="F2258" s="11">
        <v>159</v>
      </c>
    </row>
    <row r="2259" spans="2:6" x14ac:dyDescent="0.3">
      <c r="B2259" s="12">
        <v>2256</v>
      </c>
      <c r="C2259" s="28">
        <v>157.131342694822</v>
      </c>
      <c r="E2259" s="14" t="s">
        <v>298</v>
      </c>
      <c r="F2259" s="11">
        <v>178</v>
      </c>
    </row>
    <row r="2260" spans="2:6" x14ac:dyDescent="0.3">
      <c r="B2260" s="12">
        <v>2257</v>
      </c>
      <c r="C2260" s="28">
        <v>160.41381876763597</v>
      </c>
      <c r="E2260" s="14" t="s">
        <v>1606</v>
      </c>
      <c r="F2260" s="11">
        <v>173</v>
      </c>
    </row>
    <row r="2261" spans="2:6" x14ac:dyDescent="0.3">
      <c r="B2261" s="12">
        <v>2258</v>
      </c>
      <c r="C2261" s="28">
        <v>171.24639363583509</v>
      </c>
      <c r="E2261" s="14" t="s">
        <v>1800</v>
      </c>
      <c r="F2261" s="11">
        <v>182</v>
      </c>
    </row>
    <row r="2262" spans="2:6" x14ac:dyDescent="0.3">
      <c r="B2262" s="12">
        <v>2259</v>
      </c>
      <c r="C2262" s="28">
        <v>159.14952684531173</v>
      </c>
      <c r="E2262" s="14" t="s">
        <v>3933</v>
      </c>
      <c r="F2262" s="11">
        <v>174</v>
      </c>
    </row>
    <row r="2263" spans="2:6" x14ac:dyDescent="0.3">
      <c r="B2263" s="12">
        <v>2260</v>
      </c>
      <c r="C2263" s="28">
        <v>172.69662114828662</v>
      </c>
      <c r="E2263" s="14" t="s">
        <v>2711</v>
      </c>
      <c r="F2263" s="11">
        <v>169</v>
      </c>
    </row>
    <row r="2264" spans="2:6" x14ac:dyDescent="0.3">
      <c r="B2264" s="12">
        <v>2261</v>
      </c>
      <c r="C2264" s="28">
        <v>160.37270882717937</v>
      </c>
      <c r="E2264" s="14" t="s">
        <v>2867</v>
      </c>
      <c r="F2264" s="11">
        <v>159</v>
      </c>
    </row>
    <row r="2265" spans="2:6" x14ac:dyDescent="0.3">
      <c r="B2265" s="12">
        <v>2262</v>
      </c>
      <c r="C2265" s="28">
        <v>162.89106639283543</v>
      </c>
      <c r="E2265" s="14" t="s">
        <v>3480</v>
      </c>
      <c r="F2265" s="11">
        <v>179</v>
      </c>
    </row>
    <row r="2266" spans="2:6" x14ac:dyDescent="0.3">
      <c r="B2266" s="12">
        <v>2263</v>
      </c>
      <c r="C2266" s="28">
        <v>144.96454687998502</v>
      </c>
      <c r="E2266" s="14" t="s">
        <v>1326</v>
      </c>
      <c r="F2266" s="11">
        <v>160</v>
      </c>
    </row>
    <row r="2267" spans="2:6" x14ac:dyDescent="0.3">
      <c r="B2267" s="12">
        <v>2264</v>
      </c>
      <c r="C2267" s="28">
        <v>173.77252351966428</v>
      </c>
      <c r="E2267" s="14" t="s">
        <v>3832</v>
      </c>
      <c r="F2267" s="11">
        <v>165</v>
      </c>
    </row>
    <row r="2268" spans="2:6" x14ac:dyDescent="0.3">
      <c r="B2268" s="12">
        <v>2265</v>
      </c>
      <c r="C2268" s="28">
        <v>158.99068778059276</v>
      </c>
      <c r="E2268" s="14" t="s">
        <v>1441</v>
      </c>
      <c r="F2268" s="11">
        <v>176</v>
      </c>
    </row>
    <row r="2269" spans="2:6" x14ac:dyDescent="0.3">
      <c r="B2269" s="12">
        <v>2266</v>
      </c>
      <c r="C2269" s="28">
        <v>176.29249283775394</v>
      </c>
      <c r="E2269" s="14" t="s">
        <v>2663</v>
      </c>
      <c r="F2269" s="11">
        <v>160</v>
      </c>
    </row>
    <row r="2270" spans="2:6" x14ac:dyDescent="0.3">
      <c r="B2270" s="12">
        <v>2267</v>
      </c>
      <c r="C2270" s="28">
        <v>160.40972027412533</v>
      </c>
      <c r="E2270" s="14" t="s">
        <v>2841</v>
      </c>
      <c r="F2270" s="11">
        <v>152</v>
      </c>
    </row>
    <row r="2271" spans="2:6" x14ac:dyDescent="0.3">
      <c r="B2271" s="12">
        <v>2268</v>
      </c>
      <c r="C2271" s="28">
        <v>147.61939470649159</v>
      </c>
      <c r="E2271" s="14" t="s">
        <v>849</v>
      </c>
      <c r="F2271" s="11">
        <v>170</v>
      </c>
    </row>
    <row r="2272" spans="2:6" x14ac:dyDescent="0.3">
      <c r="B2272" s="12">
        <v>2269</v>
      </c>
      <c r="C2272" s="28">
        <v>165.82355278414224</v>
      </c>
      <c r="E2272" s="14" t="s">
        <v>4961</v>
      </c>
      <c r="F2272" s="11">
        <v>169</v>
      </c>
    </row>
    <row r="2273" spans="2:6" x14ac:dyDescent="0.3">
      <c r="B2273" s="12">
        <v>2270</v>
      </c>
      <c r="C2273" s="28">
        <v>154.33214924235011</v>
      </c>
      <c r="E2273" s="14" t="s">
        <v>1774</v>
      </c>
      <c r="F2273" s="11">
        <v>175</v>
      </c>
    </row>
    <row r="2274" spans="2:6" x14ac:dyDescent="0.3">
      <c r="B2274" s="12">
        <v>2271</v>
      </c>
      <c r="C2274" s="28">
        <v>171.67565317405825</v>
      </c>
      <c r="E2274" s="14" t="s">
        <v>3128</v>
      </c>
      <c r="F2274" s="11">
        <v>165</v>
      </c>
    </row>
    <row r="2275" spans="2:6" x14ac:dyDescent="0.3">
      <c r="B2275" s="12">
        <v>2272</v>
      </c>
      <c r="C2275" s="28">
        <v>163.64785340806964</v>
      </c>
      <c r="E2275" s="14" t="s">
        <v>2120</v>
      </c>
      <c r="F2275" s="11">
        <v>183</v>
      </c>
    </row>
    <row r="2276" spans="2:6" x14ac:dyDescent="0.3">
      <c r="B2276" s="12">
        <v>2273</v>
      </c>
      <c r="C2276" s="28">
        <v>155.3308196817332</v>
      </c>
      <c r="E2276" s="14" t="s">
        <v>531</v>
      </c>
      <c r="F2276" s="11">
        <v>171</v>
      </c>
    </row>
    <row r="2277" spans="2:6" x14ac:dyDescent="0.3">
      <c r="B2277" s="12">
        <v>2274</v>
      </c>
      <c r="C2277" s="28">
        <v>157.00092610315937</v>
      </c>
      <c r="E2277" s="14" t="s">
        <v>685</v>
      </c>
      <c r="F2277" s="11">
        <v>168</v>
      </c>
    </row>
    <row r="2278" spans="2:6" x14ac:dyDescent="0.3">
      <c r="B2278" s="12">
        <v>2275</v>
      </c>
      <c r="C2278" s="28">
        <v>170.48988793778875</v>
      </c>
      <c r="E2278" s="14" t="s">
        <v>1096</v>
      </c>
      <c r="F2278" s="11">
        <v>185</v>
      </c>
    </row>
    <row r="2279" spans="2:6" x14ac:dyDescent="0.3">
      <c r="B2279" s="12">
        <v>2276</v>
      </c>
      <c r="C2279" s="28">
        <v>158.87569285797929</v>
      </c>
      <c r="E2279" s="14" t="s">
        <v>1496</v>
      </c>
      <c r="F2279" s="11">
        <v>163</v>
      </c>
    </row>
    <row r="2280" spans="2:6" x14ac:dyDescent="0.3">
      <c r="B2280" s="12">
        <v>2277</v>
      </c>
      <c r="C2280" s="28">
        <v>170.5450761168768</v>
      </c>
      <c r="E2280" s="14" t="s">
        <v>1915</v>
      </c>
      <c r="F2280" s="11">
        <v>159</v>
      </c>
    </row>
    <row r="2281" spans="2:6" x14ac:dyDescent="0.3">
      <c r="B2281" s="12">
        <v>2278</v>
      </c>
      <c r="C2281" s="28">
        <v>164.58936135793212</v>
      </c>
      <c r="E2281" s="14" t="s">
        <v>2669</v>
      </c>
      <c r="F2281" s="11">
        <v>178</v>
      </c>
    </row>
    <row r="2282" spans="2:6" x14ac:dyDescent="0.3">
      <c r="B2282" s="12">
        <v>2279</v>
      </c>
      <c r="C2282" s="28">
        <v>167.55179648426667</v>
      </c>
      <c r="E2282" s="14" t="s">
        <v>2943</v>
      </c>
      <c r="F2282" s="11">
        <v>188</v>
      </c>
    </row>
    <row r="2283" spans="2:6" x14ac:dyDescent="0.3">
      <c r="B2283" s="12">
        <v>2280</v>
      </c>
      <c r="C2283" s="28">
        <v>157.70249010086778</v>
      </c>
      <c r="E2283" s="14" t="s">
        <v>3727</v>
      </c>
      <c r="F2283" s="11">
        <v>178</v>
      </c>
    </row>
    <row r="2284" spans="2:6" x14ac:dyDescent="0.3">
      <c r="B2284" s="12">
        <v>2281</v>
      </c>
      <c r="C2284" s="28">
        <v>163.04042922984371</v>
      </c>
      <c r="E2284" s="14" t="s">
        <v>2006</v>
      </c>
      <c r="F2284" s="11">
        <v>193</v>
      </c>
    </row>
    <row r="2285" spans="2:6" x14ac:dyDescent="0.3">
      <c r="B2285" s="12">
        <v>2282</v>
      </c>
      <c r="C2285" s="28">
        <v>164.14569521905966</v>
      </c>
      <c r="E2285" s="14" t="s">
        <v>4244</v>
      </c>
      <c r="F2285" s="11">
        <v>165</v>
      </c>
    </row>
    <row r="2286" spans="2:6" x14ac:dyDescent="0.3">
      <c r="B2286" s="12">
        <v>2283</v>
      </c>
      <c r="C2286" s="28">
        <v>158.15266845790831</v>
      </c>
      <c r="E2286" s="14" t="s">
        <v>300</v>
      </c>
      <c r="F2286" s="11">
        <v>167</v>
      </c>
    </row>
    <row r="2287" spans="2:6" x14ac:dyDescent="0.3">
      <c r="B2287" s="12">
        <v>2284</v>
      </c>
      <c r="C2287" s="28">
        <v>159.45743165760985</v>
      </c>
      <c r="E2287" s="14" t="s">
        <v>203</v>
      </c>
      <c r="F2287" s="11">
        <v>150</v>
      </c>
    </row>
    <row r="2288" spans="2:6" x14ac:dyDescent="0.3">
      <c r="B2288" s="12">
        <v>2285</v>
      </c>
      <c r="C2288" s="28">
        <v>160.20802915565292</v>
      </c>
      <c r="E2288" s="14" t="s">
        <v>422</v>
      </c>
      <c r="F2288" s="11">
        <v>174</v>
      </c>
    </row>
    <row r="2289" spans="2:6" x14ac:dyDescent="0.3">
      <c r="B2289" s="12">
        <v>2286</v>
      </c>
      <c r="C2289" s="28">
        <v>163.23237477538439</v>
      </c>
      <c r="E2289" s="14" t="s">
        <v>646</v>
      </c>
      <c r="F2289" s="11">
        <v>178</v>
      </c>
    </row>
    <row r="2290" spans="2:6" x14ac:dyDescent="0.3">
      <c r="B2290" s="12">
        <v>2287</v>
      </c>
      <c r="C2290" s="28">
        <v>171.24244465186439</v>
      </c>
      <c r="E2290" s="14" t="s">
        <v>2144</v>
      </c>
      <c r="F2290" s="11">
        <v>161</v>
      </c>
    </row>
    <row r="2291" spans="2:6" x14ac:dyDescent="0.3">
      <c r="B2291" s="12">
        <v>2288</v>
      </c>
      <c r="C2291" s="28">
        <v>163.46257085272234</v>
      </c>
      <c r="E2291" s="14" t="s">
        <v>3655</v>
      </c>
      <c r="F2291" s="11">
        <v>188</v>
      </c>
    </row>
    <row r="2292" spans="2:6" x14ac:dyDescent="0.3">
      <c r="B2292" s="12">
        <v>2289</v>
      </c>
      <c r="C2292" s="28">
        <v>167.54418570762846</v>
      </c>
      <c r="E2292" s="14" t="s">
        <v>4027</v>
      </c>
      <c r="F2292" s="11">
        <v>163</v>
      </c>
    </row>
    <row r="2293" spans="2:6" x14ac:dyDescent="0.3">
      <c r="B2293" s="12">
        <v>2290</v>
      </c>
      <c r="C2293" s="28">
        <v>161.88023049756941</v>
      </c>
      <c r="E2293" s="14" t="s">
        <v>4636</v>
      </c>
      <c r="F2293" s="11">
        <v>178</v>
      </c>
    </row>
    <row r="2294" spans="2:6" x14ac:dyDescent="0.3">
      <c r="B2294" s="12">
        <v>2291</v>
      </c>
      <c r="C2294" s="28">
        <v>178.71471298934839</v>
      </c>
      <c r="E2294" s="14" t="s">
        <v>3651</v>
      </c>
      <c r="F2294" s="11">
        <v>175</v>
      </c>
    </row>
    <row r="2295" spans="2:6" x14ac:dyDescent="0.3">
      <c r="B2295" s="12">
        <v>2292</v>
      </c>
      <c r="C2295" s="28">
        <v>167.7783613274805</v>
      </c>
      <c r="E2295" s="14" t="s">
        <v>4761</v>
      </c>
      <c r="F2295" s="11">
        <v>180</v>
      </c>
    </row>
    <row r="2296" spans="2:6" x14ac:dyDescent="0.3">
      <c r="B2296" s="12">
        <v>2293</v>
      </c>
      <c r="C2296" s="28">
        <v>162.25031386536918</v>
      </c>
      <c r="E2296" s="14" t="s">
        <v>58</v>
      </c>
      <c r="F2296" s="11">
        <v>170</v>
      </c>
    </row>
    <row r="2297" spans="2:6" x14ac:dyDescent="0.3">
      <c r="B2297" s="12">
        <v>2294</v>
      </c>
      <c r="C2297" s="28">
        <v>167.1756208370642</v>
      </c>
      <c r="E2297" s="14" t="s">
        <v>4724</v>
      </c>
      <c r="F2297" s="11">
        <v>178</v>
      </c>
    </row>
    <row r="2298" spans="2:6" x14ac:dyDescent="0.3">
      <c r="B2298" s="12">
        <v>2295</v>
      </c>
      <c r="C2298" s="28">
        <v>139.37926793007449</v>
      </c>
      <c r="E2298" s="14" t="s">
        <v>809</v>
      </c>
      <c r="F2298" s="11">
        <v>167</v>
      </c>
    </row>
    <row r="2299" spans="2:6" x14ac:dyDescent="0.3">
      <c r="B2299" s="12">
        <v>2296</v>
      </c>
      <c r="C2299" s="28">
        <v>157.98787326392835</v>
      </c>
      <c r="E2299" s="14" t="s">
        <v>4000</v>
      </c>
      <c r="F2299" s="11">
        <v>170</v>
      </c>
    </row>
    <row r="2300" spans="2:6" x14ac:dyDescent="0.3">
      <c r="B2300" s="12">
        <v>2297</v>
      </c>
      <c r="C2300" s="28">
        <v>171.28455548785388</v>
      </c>
      <c r="E2300" s="14" t="s">
        <v>2326</v>
      </c>
      <c r="F2300" s="11">
        <v>162</v>
      </c>
    </row>
    <row r="2301" spans="2:6" x14ac:dyDescent="0.3">
      <c r="B2301" s="12">
        <v>2298</v>
      </c>
      <c r="C2301" s="28">
        <v>170.35959733491842</v>
      </c>
      <c r="E2301" s="14" t="s">
        <v>1472</v>
      </c>
      <c r="F2301" s="11">
        <v>173</v>
      </c>
    </row>
    <row r="2302" spans="2:6" x14ac:dyDescent="0.3">
      <c r="B2302" s="12">
        <v>2299</v>
      </c>
      <c r="C2302" s="28">
        <v>162.69587585997948</v>
      </c>
      <c r="E2302" s="14" t="s">
        <v>915</v>
      </c>
      <c r="F2302" s="11">
        <v>164</v>
      </c>
    </row>
    <row r="2303" spans="2:6" x14ac:dyDescent="0.3">
      <c r="B2303" s="12">
        <v>2300</v>
      </c>
      <c r="C2303" s="28">
        <v>148.3462296254533</v>
      </c>
      <c r="E2303" s="14" t="s">
        <v>3973</v>
      </c>
      <c r="F2303" s="11">
        <v>180</v>
      </c>
    </row>
    <row r="2304" spans="2:6" x14ac:dyDescent="0.3">
      <c r="B2304" s="12">
        <v>2301</v>
      </c>
      <c r="C2304" s="28">
        <v>150.24229902357672</v>
      </c>
      <c r="E2304" s="14" t="s">
        <v>3301</v>
      </c>
      <c r="F2304" s="11">
        <v>177</v>
      </c>
    </row>
    <row r="2305" spans="2:6" x14ac:dyDescent="0.3">
      <c r="B2305" s="12">
        <v>2302</v>
      </c>
      <c r="C2305" s="28">
        <v>166.32385275234574</v>
      </c>
      <c r="E2305" s="14" t="s">
        <v>1476</v>
      </c>
      <c r="F2305" s="11">
        <v>182</v>
      </c>
    </row>
    <row r="2306" spans="2:6" x14ac:dyDescent="0.3">
      <c r="B2306" s="12">
        <v>2303</v>
      </c>
      <c r="C2306" s="28">
        <v>157.72684799086133</v>
      </c>
      <c r="E2306" s="14" t="s">
        <v>4642</v>
      </c>
      <c r="F2306" s="11">
        <v>191</v>
      </c>
    </row>
    <row r="2307" spans="2:6" x14ac:dyDescent="0.3">
      <c r="B2307" s="12">
        <v>2304</v>
      </c>
      <c r="C2307" s="28">
        <v>168.5517482333122</v>
      </c>
      <c r="E2307" s="14" t="s">
        <v>1718</v>
      </c>
      <c r="F2307" s="11">
        <v>183</v>
      </c>
    </row>
    <row r="2308" spans="2:6" x14ac:dyDescent="0.3">
      <c r="B2308" s="12">
        <v>2305</v>
      </c>
      <c r="C2308" s="28">
        <v>172.3871434463243</v>
      </c>
      <c r="E2308" s="14" t="s">
        <v>3122</v>
      </c>
      <c r="F2308" s="11">
        <v>167</v>
      </c>
    </row>
    <row r="2309" spans="2:6" x14ac:dyDescent="0.3">
      <c r="B2309" s="12">
        <v>2306</v>
      </c>
      <c r="C2309" s="28">
        <v>166.18008566775347</v>
      </c>
      <c r="E2309" s="14" t="s">
        <v>3991</v>
      </c>
      <c r="F2309" s="11">
        <v>183</v>
      </c>
    </row>
    <row r="2310" spans="2:6" x14ac:dyDescent="0.3">
      <c r="B2310" s="12">
        <v>2307</v>
      </c>
      <c r="C2310" s="28">
        <v>162.05189554255409</v>
      </c>
      <c r="E2310" s="14" t="s">
        <v>1609</v>
      </c>
      <c r="F2310" s="11">
        <v>177</v>
      </c>
    </row>
    <row r="2311" spans="2:6" x14ac:dyDescent="0.3">
      <c r="B2311" s="12">
        <v>2308</v>
      </c>
      <c r="C2311" s="28">
        <v>170.23825292867019</v>
      </c>
      <c r="E2311" s="14" t="s">
        <v>2732</v>
      </c>
      <c r="F2311" s="11">
        <v>169</v>
      </c>
    </row>
    <row r="2312" spans="2:6" x14ac:dyDescent="0.3">
      <c r="B2312" s="12">
        <v>2309</v>
      </c>
      <c r="C2312" s="28">
        <v>167.28599688356672</v>
      </c>
      <c r="E2312" s="14" t="s">
        <v>441</v>
      </c>
      <c r="F2312" s="11">
        <v>164</v>
      </c>
    </row>
    <row r="2313" spans="2:6" x14ac:dyDescent="0.3">
      <c r="B2313" s="12">
        <v>2310</v>
      </c>
      <c r="C2313" s="28">
        <v>158.38518352879873</v>
      </c>
      <c r="E2313" s="14" t="s">
        <v>3184</v>
      </c>
      <c r="F2313" s="11">
        <v>165</v>
      </c>
    </row>
    <row r="2314" spans="2:6" x14ac:dyDescent="0.3">
      <c r="B2314" s="12">
        <v>2311</v>
      </c>
      <c r="C2314" s="28">
        <v>149.15443731082186</v>
      </c>
      <c r="E2314" s="14" t="s">
        <v>2209</v>
      </c>
      <c r="F2314" s="11">
        <v>171</v>
      </c>
    </row>
    <row r="2315" spans="2:6" x14ac:dyDescent="0.3">
      <c r="B2315" s="12">
        <v>2312</v>
      </c>
      <c r="C2315" s="28">
        <v>186.40954809981702</v>
      </c>
      <c r="E2315" s="14" t="s">
        <v>2630</v>
      </c>
      <c r="F2315" s="11">
        <v>183</v>
      </c>
    </row>
    <row r="2316" spans="2:6" x14ac:dyDescent="0.3">
      <c r="B2316" s="12">
        <v>2313</v>
      </c>
      <c r="C2316" s="28">
        <v>163.21618856482675</v>
      </c>
      <c r="E2316" s="14" t="s">
        <v>3751</v>
      </c>
      <c r="F2316" s="11">
        <v>173</v>
      </c>
    </row>
    <row r="2317" spans="2:6" x14ac:dyDescent="0.3">
      <c r="B2317" s="12">
        <v>2314</v>
      </c>
      <c r="C2317" s="28">
        <v>155.42441961408949</v>
      </c>
      <c r="E2317" s="14" t="s">
        <v>104</v>
      </c>
      <c r="F2317" s="11">
        <v>180</v>
      </c>
    </row>
    <row r="2318" spans="2:6" x14ac:dyDescent="0.3">
      <c r="B2318" s="12">
        <v>2315</v>
      </c>
      <c r="C2318" s="28">
        <v>153.36592260597465</v>
      </c>
      <c r="E2318" s="14" t="s">
        <v>4089</v>
      </c>
      <c r="F2318" s="11">
        <v>165</v>
      </c>
    </row>
    <row r="2319" spans="2:6" x14ac:dyDescent="0.3">
      <c r="B2319" s="12">
        <v>2316</v>
      </c>
      <c r="C2319" s="28">
        <v>169.21593712405826</v>
      </c>
      <c r="E2319" s="14" t="s">
        <v>438</v>
      </c>
      <c r="F2319" s="11">
        <v>160</v>
      </c>
    </row>
    <row r="2320" spans="2:6" x14ac:dyDescent="0.3">
      <c r="B2320" s="12">
        <v>2317</v>
      </c>
      <c r="C2320" s="28">
        <v>162.44145288262786</v>
      </c>
      <c r="E2320" s="14" t="s">
        <v>2743</v>
      </c>
      <c r="F2320" s="11">
        <v>162</v>
      </c>
    </row>
    <row r="2321" spans="2:6" x14ac:dyDescent="0.3">
      <c r="B2321" s="12">
        <v>2318</v>
      </c>
      <c r="C2321" s="28">
        <v>167.50455271689714</v>
      </c>
      <c r="E2321" s="14" t="s">
        <v>3383</v>
      </c>
      <c r="F2321" s="11">
        <v>175</v>
      </c>
    </row>
    <row r="2322" spans="2:6" x14ac:dyDescent="0.3">
      <c r="B2322" s="12">
        <v>2319</v>
      </c>
      <c r="C2322" s="28">
        <v>157.12674639804811</v>
      </c>
      <c r="E2322" s="14" t="s">
        <v>1579</v>
      </c>
      <c r="F2322" s="11">
        <v>179</v>
      </c>
    </row>
    <row r="2323" spans="2:6" x14ac:dyDescent="0.3">
      <c r="B2323" s="12">
        <v>2320</v>
      </c>
      <c r="C2323" s="28">
        <v>169.3761202328796</v>
      </c>
      <c r="E2323" s="14" t="s">
        <v>152</v>
      </c>
      <c r="F2323" s="11">
        <v>175</v>
      </c>
    </row>
    <row r="2324" spans="2:6" x14ac:dyDescent="0.3">
      <c r="B2324" s="12">
        <v>2321</v>
      </c>
      <c r="C2324" s="28">
        <v>173.39109926620316</v>
      </c>
      <c r="E2324" s="14" t="s">
        <v>4152</v>
      </c>
      <c r="F2324" s="11">
        <v>168</v>
      </c>
    </row>
    <row r="2325" spans="2:6" x14ac:dyDescent="0.3">
      <c r="B2325" s="12">
        <v>2322</v>
      </c>
      <c r="C2325" s="28">
        <v>174.57915669191235</v>
      </c>
      <c r="E2325" s="14" t="s">
        <v>2039</v>
      </c>
      <c r="F2325" s="11">
        <v>167</v>
      </c>
    </row>
    <row r="2326" spans="2:6" x14ac:dyDescent="0.3">
      <c r="B2326" s="12">
        <v>2323</v>
      </c>
      <c r="C2326" s="28">
        <v>158.27183941961087</v>
      </c>
      <c r="E2326" s="14" t="s">
        <v>3096</v>
      </c>
      <c r="F2326" s="11">
        <v>182</v>
      </c>
    </row>
    <row r="2327" spans="2:6" x14ac:dyDescent="0.3">
      <c r="B2327" s="12">
        <v>2324</v>
      </c>
      <c r="C2327" s="28">
        <v>160.21056138287798</v>
      </c>
      <c r="E2327" s="14" t="s">
        <v>1129</v>
      </c>
      <c r="F2327" s="11">
        <v>160</v>
      </c>
    </row>
    <row r="2328" spans="2:6" x14ac:dyDescent="0.3">
      <c r="B2328" s="12">
        <v>2325</v>
      </c>
      <c r="C2328" s="28">
        <v>144.29820589859548</v>
      </c>
      <c r="E2328" s="14" t="s">
        <v>4028</v>
      </c>
      <c r="F2328" s="11">
        <v>150</v>
      </c>
    </row>
    <row r="2329" spans="2:6" x14ac:dyDescent="0.3">
      <c r="B2329" s="12">
        <v>2326</v>
      </c>
      <c r="C2329" s="28">
        <v>162.79678742233352</v>
      </c>
      <c r="E2329" s="14" t="s">
        <v>360</v>
      </c>
      <c r="F2329" s="11">
        <v>169</v>
      </c>
    </row>
    <row r="2330" spans="2:6" x14ac:dyDescent="0.3">
      <c r="B2330" s="12">
        <v>2327</v>
      </c>
      <c r="C2330" s="28">
        <v>165.95712934110568</v>
      </c>
      <c r="E2330" s="14" t="s">
        <v>410</v>
      </c>
      <c r="F2330" s="11">
        <v>182</v>
      </c>
    </row>
    <row r="2331" spans="2:6" x14ac:dyDescent="0.3">
      <c r="B2331" s="12">
        <v>2328</v>
      </c>
      <c r="C2331" s="28">
        <v>157.39946762427638</v>
      </c>
      <c r="E2331" s="14" t="s">
        <v>4837</v>
      </c>
      <c r="F2331" s="11">
        <v>163</v>
      </c>
    </row>
    <row r="2332" spans="2:6" x14ac:dyDescent="0.3">
      <c r="B2332" s="12">
        <v>2329</v>
      </c>
      <c r="C2332" s="28">
        <v>172.96813044638759</v>
      </c>
      <c r="E2332" s="14" t="s">
        <v>3032</v>
      </c>
      <c r="F2332" s="11">
        <v>173</v>
      </c>
    </row>
    <row r="2333" spans="2:6" x14ac:dyDescent="0.3">
      <c r="B2333" s="12">
        <v>2330</v>
      </c>
      <c r="C2333" s="28">
        <v>159.37297261019529</v>
      </c>
      <c r="E2333" s="14" t="s">
        <v>2051</v>
      </c>
      <c r="F2333" s="11">
        <v>157</v>
      </c>
    </row>
    <row r="2334" spans="2:6" x14ac:dyDescent="0.3">
      <c r="B2334" s="12">
        <v>2331</v>
      </c>
      <c r="C2334" s="28">
        <v>157.14106367887831</v>
      </c>
      <c r="E2334" s="14" t="s">
        <v>578</v>
      </c>
      <c r="F2334" s="11">
        <v>155</v>
      </c>
    </row>
    <row r="2335" spans="2:6" x14ac:dyDescent="0.3">
      <c r="B2335" s="12">
        <v>2332</v>
      </c>
      <c r="C2335" s="28">
        <v>156.78893858217566</v>
      </c>
      <c r="E2335" s="14" t="s">
        <v>2052</v>
      </c>
      <c r="F2335" s="11">
        <v>161</v>
      </c>
    </row>
    <row r="2336" spans="2:6" x14ac:dyDescent="0.3">
      <c r="B2336" s="12">
        <v>2333</v>
      </c>
      <c r="C2336" s="28">
        <v>168.17200782913281</v>
      </c>
      <c r="E2336" s="14" t="s">
        <v>2054</v>
      </c>
      <c r="F2336" s="11">
        <v>168</v>
      </c>
    </row>
    <row r="2337" spans="2:6" x14ac:dyDescent="0.3">
      <c r="B2337" s="12">
        <v>2334</v>
      </c>
      <c r="C2337" s="28">
        <v>170.56439927747752</v>
      </c>
      <c r="E2337" s="14" t="s">
        <v>2053</v>
      </c>
      <c r="F2337" s="11">
        <v>172</v>
      </c>
    </row>
    <row r="2338" spans="2:6" x14ac:dyDescent="0.3">
      <c r="B2338" s="12">
        <v>2335</v>
      </c>
      <c r="C2338" s="28">
        <v>167.99095797022568</v>
      </c>
      <c r="E2338" s="14" t="s">
        <v>2055</v>
      </c>
      <c r="F2338" s="11">
        <v>185</v>
      </c>
    </row>
    <row r="2339" spans="2:6" x14ac:dyDescent="0.3">
      <c r="B2339" s="12">
        <v>2336</v>
      </c>
      <c r="C2339" s="28">
        <v>163.69284931724351</v>
      </c>
      <c r="E2339" s="14" t="s">
        <v>2056</v>
      </c>
      <c r="F2339" s="11">
        <v>153</v>
      </c>
    </row>
    <row r="2340" spans="2:6" x14ac:dyDescent="0.3">
      <c r="B2340" s="12">
        <v>2337</v>
      </c>
      <c r="C2340" s="28">
        <v>158.41801126614669</v>
      </c>
      <c r="E2340" s="14" t="s">
        <v>2057</v>
      </c>
      <c r="F2340" s="11">
        <v>153</v>
      </c>
    </row>
    <row r="2341" spans="2:6" x14ac:dyDescent="0.3">
      <c r="B2341" s="12">
        <v>2338</v>
      </c>
      <c r="C2341" s="28">
        <v>154.02627612902847</v>
      </c>
      <c r="E2341" s="14" t="s">
        <v>2058</v>
      </c>
      <c r="F2341" s="11">
        <v>153</v>
      </c>
    </row>
    <row r="2342" spans="2:6" x14ac:dyDescent="0.3">
      <c r="B2342" s="12">
        <v>2339</v>
      </c>
      <c r="C2342" s="28">
        <v>163.87692143407972</v>
      </c>
      <c r="E2342" s="14" t="s">
        <v>2059</v>
      </c>
      <c r="F2342" s="11">
        <v>170</v>
      </c>
    </row>
    <row r="2343" spans="2:6" x14ac:dyDescent="0.3">
      <c r="B2343" s="12">
        <v>2340</v>
      </c>
      <c r="C2343" s="28">
        <v>153.38717762133268</v>
      </c>
      <c r="E2343" s="14" t="s">
        <v>2060</v>
      </c>
      <c r="F2343" s="11">
        <v>163</v>
      </c>
    </row>
    <row r="2344" spans="2:6" x14ac:dyDescent="0.3">
      <c r="B2344" s="12">
        <v>2341</v>
      </c>
      <c r="C2344" s="28">
        <v>152.24755354676142</v>
      </c>
      <c r="E2344" s="14" t="s">
        <v>2061</v>
      </c>
      <c r="F2344" s="11">
        <v>160</v>
      </c>
    </row>
    <row r="2345" spans="2:6" x14ac:dyDescent="0.3">
      <c r="B2345" s="12">
        <v>2342</v>
      </c>
      <c r="C2345" s="28">
        <v>154.72713809759333</v>
      </c>
      <c r="E2345" s="14" t="s">
        <v>2063</v>
      </c>
      <c r="F2345" s="11">
        <v>179</v>
      </c>
    </row>
    <row r="2346" spans="2:6" x14ac:dyDescent="0.3">
      <c r="B2346" s="12">
        <v>2343</v>
      </c>
      <c r="C2346" s="28">
        <v>172.71771238079728</v>
      </c>
      <c r="E2346" s="14" t="s">
        <v>2062</v>
      </c>
      <c r="F2346" s="11">
        <v>165</v>
      </c>
    </row>
    <row r="2347" spans="2:6" x14ac:dyDescent="0.3">
      <c r="B2347" s="12">
        <v>2344</v>
      </c>
      <c r="C2347" s="28">
        <v>167.40897821949278</v>
      </c>
      <c r="E2347" s="14" t="s">
        <v>2064</v>
      </c>
      <c r="F2347" s="11">
        <v>167</v>
      </c>
    </row>
    <row r="2348" spans="2:6" x14ac:dyDescent="0.3">
      <c r="B2348" s="12">
        <v>2345</v>
      </c>
      <c r="C2348" s="28">
        <v>159.98955763164761</v>
      </c>
      <c r="E2348" s="14" t="s">
        <v>2065</v>
      </c>
      <c r="F2348" s="11">
        <v>156</v>
      </c>
    </row>
    <row r="2349" spans="2:6" x14ac:dyDescent="0.3">
      <c r="B2349" s="12">
        <v>2346</v>
      </c>
      <c r="C2349" s="28">
        <v>160.99410414321304</v>
      </c>
      <c r="E2349" s="14" t="s">
        <v>2066</v>
      </c>
      <c r="F2349" s="11">
        <v>161</v>
      </c>
    </row>
    <row r="2350" spans="2:6" x14ac:dyDescent="0.3">
      <c r="B2350" s="12">
        <v>2347</v>
      </c>
      <c r="C2350" s="28">
        <v>174.27223590046279</v>
      </c>
      <c r="E2350" s="14" t="s">
        <v>2068</v>
      </c>
      <c r="F2350" s="11">
        <v>179</v>
      </c>
    </row>
    <row r="2351" spans="2:6" x14ac:dyDescent="0.3">
      <c r="B2351" s="12">
        <v>2348</v>
      </c>
      <c r="C2351" s="28">
        <v>162.80436624845422</v>
      </c>
      <c r="E2351" s="14" t="s">
        <v>2069</v>
      </c>
      <c r="F2351" s="11">
        <v>160</v>
      </c>
    </row>
    <row r="2352" spans="2:6" x14ac:dyDescent="0.3">
      <c r="B2352" s="12">
        <v>2349</v>
      </c>
      <c r="C2352" s="28">
        <v>170.4638181327723</v>
      </c>
      <c r="E2352" s="14" t="s">
        <v>2067</v>
      </c>
      <c r="F2352" s="11">
        <v>150</v>
      </c>
    </row>
    <row r="2353" spans="2:6" x14ac:dyDescent="0.3">
      <c r="B2353" s="12">
        <v>2350</v>
      </c>
      <c r="C2353" s="28">
        <v>151.1703608393795</v>
      </c>
      <c r="E2353" s="14" t="s">
        <v>2070</v>
      </c>
      <c r="F2353" s="11">
        <v>169</v>
      </c>
    </row>
    <row r="2354" spans="2:6" x14ac:dyDescent="0.3">
      <c r="B2354" s="12">
        <v>2351</v>
      </c>
      <c r="C2354" s="28">
        <v>158.07879737403508</v>
      </c>
      <c r="E2354" s="14" t="s">
        <v>3438</v>
      </c>
      <c r="F2354" s="11">
        <v>175</v>
      </c>
    </row>
    <row r="2355" spans="2:6" x14ac:dyDescent="0.3">
      <c r="B2355" s="12">
        <v>2352</v>
      </c>
      <c r="C2355" s="28">
        <v>164.94604596858838</v>
      </c>
      <c r="E2355" s="14" t="s">
        <v>2071</v>
      </c>
      <c r="F2355" s="11">
        <v>163</v>
      </c>
    </row>
    <row r="2356" spans="2:6" x14ac:dyDescent="0.3">
      <c r="B2356" s="12">
        <v>2353</v>
      </c>
      <c r="C2356" s="28">
        <v>172.02046396636723</v>
      </c>
      <c r="E2356" s="14" t="s">
        <v>2073</v>
      </c>
      <c r="F2356" s="11">
        <v>175</v>
      </c>
    </row>
    <row r="2357" spans="2:6" x14ac:dyDescent="0.3">
      <c r="B2357" s="12">
        <v>2354</v>
      </c>
      <c r="C2357" s="28">
        <v>162.39667038384633</v>
      </c>
      <c r="E2357" s="14" t="s">
        <v>2072</v>
      </c>
      <c r="F2357" s="11">
        <v>163</v>
      </c>
    </row>
    <row r="2358" spans="2:6" x14ac:dyDescent="0.3">
      <c r="B2358" s="12">
        <v>2355</v>
      </c>
      <c r="C2358" s="28">
        <v>165.64668756835903</v>
      </c>
      <c r="E2358" s="14" t="s">
        <v>2074</v>
      </c>
      <c r="F2358" s="11">
        <v>164</v>
      </c>
    </row>
    <row r="2359" spans="2:6" x14ac:dyDescent="0.3">
      <c r="B2359" s="12">
        <v>2356</v>
      </c>
      <c r="C2359" s="28">
        <v>161.94561026222618</v>
      </c>
      <c r="E2359" s="14" t="s">
        <v>2075</v>
      </c>
      <c r="F2359" s="11">
        <v>155</v>
      </c>
    </row>
    <row r="2360" spans="2:6" x14ac:dyDescent="0.3">
      <c r="B2360" s="12">
        <v>2357</v>
      </c>
      <c r="C2360" s="28">
        <v>162.55414678059216</v>
      </c>
      <c r="E2360" s="14" t="s">
        <v>2076</v>
      </c>
      <c r="F2360" s="11">
        <v>161</v>
      </c>
    </row>
    <row r="2361" spans="2:6" x14ac:dyDescent="0.3">
      <c r="B2361" s="12">
        <v>2358</v>
      </c>
      <c r="C2361" s="28">
        <v>167.33904281782793</v>
      </c>
      <c r="E2361" s="14" t="s">
        <v>2077</v>
      </c>
      <c r="F2361" s="11">
        <v>187</v>
      </c>
    </row>
    <row r="2362" spans="2:6" x14ac:dyDescent="0.3">
      <c r="B2362" s="12">
        <v>2359</v>
      </c>
      <c r="C2362" s="28">
        <v>171.90687453215358</v>
      </c>
      <c r="E2362" s="14" t="s">
        <v>2078</v>
      </c>
      <c r="F2362" s="11">
        <v>165</v>
      </c>
    </row>
    <row r="2363" spans="2:6" x14ac:dyDescent="0.3">
      <c r="B2363" s="12">
        <v>2360</v>
      </c>
      <c r="C2363" s="28">
        <v>163.55102961641128</v>
      </c>
      <c r="E2363" s="14" t="s">
        <v>2079</v>
      </c>
      <c r="F2363" s="11">
        <v>159</v>
      </c>
    </row>
    <row r="2364" spans="2:6" x14ac:dyDescent="0.3">
      <c r="B2364" s="12">
        <v>2361</v>
      </c>
      <c r="C2364" s="28">
        <v>170.25913684181998</v>
      </c>
      <c r="E2364" s="14" t="s">
        <v>2080</v>
      </c>
      <c r="F2364" s="11">
        <v>174</v>
      </c>
    </row>
    <row r="2365" spans="2:6" x14ac:dyDescent="0.3">
      <c r="B2365" s="12">
        <v>2362</v>
      </c>
      <c r="C2365" s="28">
        <v>145.06585013533109</v>
      </c>
      <c r="E2365" s="14" t="s">
        <v>2081</v>
      </c>
      <c r="F2365" s="11">
        <v>192</v>
      </c>
    </row>
    <row r="2366" spans="2:6" x14ac:dyDescent="0.3">
      <c r="B2366" s="12">
        <v>2363</v>
      </c>
      <c r="C2366" s="28">
        <v>159.76480125323519</v>
      </c>
      <c r="E2366" s="14" t="s">
        <v>875</v>
      </c>
      <c r="F2366" s="11">
        <v>188</v>
      </c>
    </row>
    <row r="2367" spans="2:6" x14ac:dyDescent="0.3">
      <c r="B2367" s="12">
        <v>2364</v>
      </c>
      <c r="C2367" s="28">
        <v>162.67452974649149</v>
      </c>
      <c r="E2367" s="14" t="s">
        <v>2794</v>
      </c>
      <c r="F2367" s="11">
        <v>168</v>
      </c>
    </row>
    <row r="2368" spans="2:6" x14ac:dyDescent="0.3">
      <c r="B2368" s="12">
        <v>2365</v>
      </c>
      <c r="C2368" s="28">
        <v>172.16445620334383</v>
      </c>
      <c r="E2368" s="14" t="s">
        <v>832</v>
      </c>
      <c r="F2368" s="11">
        <v>161</v>
      </c>
    </row>
    <row r="2369" spans="2:6" x14ac:dyDescent="0.3">
      <c r="B2369" s="12">
        <v>2366</v>
      </c>
      <c r="C2369" s="28">
        <v>152.43321737914954</v>
      </c>
      <c r="E2369" s="14" t="s">
        <v>1685</v>
      </c>
      <c r="F2369" s="11">
        <v>193</v>
      </c>
    </row>
    <row r="2370" spans="2:6" x14ac:dyDescent="0.3">
      <c r="B2370" s="12">
        <v>2367</v>
      </c>
      <c r="C2370" s="28">
        <v>156.05926794669483</v>
      </c>
      <c r="E2370" s="14" t="s">
        <v>4725</v>
      </c>
      <c r="F2370" s="11">
        <v>178</v>
      </c>
    </row>
    <row r="2371" spans="2:6" x14ac:dyDescent="0.3">
      <c r="B2371" s="12">
        <v>2368</v>
      </c>
      <c r="C2371" s="28">
        <v>151.74539012233186</v>
      </c>
      <c r="E2371" s="14" t="s">
        <v>4031</v>
      </c>
      <c r="F2371" s="11">
        <v>182</v>
      </c>
    </row>
    <row r="2372" spans="2:6" x14ac:dyDescent="0.3">
      <c r="B2372" s="12">
        <v>2369</v>
      </c>
      <c r="C2372" s="28">
        <v>163.41104268871945</v>
      </c>
      <c r="E2372" s="14" t="s">
        <v>604</v>
      </c>
      <c r="F2372" s="11">
        <v>187</v>
      </c>
    </row>
    <row r="2373" spans="2:6" x14ac:dyDescent="0.3">
      <c r="B2373" s="12">
        <v>2370</v>
      </c>
      <c r="C2373" s="28">
        <v>155.05035044282192</v>
      </c>
      <c r="E2373" s="14" t="s">
        <v>1367</v>
      </c>
      <c r="F2373" s="11">
        <v>164</v>
      </c>
    </row>
    <row r="2374" spans="2:6" x14ac:dyDescent="0.3">
      <c r="B2374" s="12">
        <v>2371</v>
      </c>
      <c r="C2374" s="28">
        <v>164.1698380898612</v>
      </c>
      <c r="E2374" s="14" t="s">
        <v>3611</v>
      </c>
      <c r="F2374" s="11">
        <v>163</v>
      </c>
    </row>
    <row r="2375" spans="2:6" x14ac:dyDescent="0.3">
      <c r="B2375" s="12">
        <v>2372</v>
      </c>
      <c r="C2375" s="28">
        <v>167.88119329075343</v>
      </c>
      <c r="E2375" s="14" t="s">
        <v>112</v>
      </c>
      <c r="F2375" s="11">
        <v>185</v>
      </c>
    </row>
    <row r="2376" spans="2:6" x14ac:dyDescent="0.3">
      <c r="B2376" s="12">
        <v>2373</v>
      </c>
      <c r="C2376" s="28">
        <v>151.39830428637816</v>
      </c>
      <c r="E2376" s="14" t="s">
        <v>3544</v>
      </c>
      <c r="F2376" s="11">
        <v>165</v>
      </c>
    </row>
    <row r="2377" spans="2:6" x14ac:dyDescent="0.3">
      <c r="B2377" s="12">
        <v>2374</v>
      </c>
      <c r="C2377" s="28">
        <v>166.36834120102654</v>
      </c>
      <c r="E2377" s="14" t="s">
        <v>100</v>
      </c>
      <c r="F2377" s="11">
        <v>178</v>
      </c>
    </row>
    <row r="2378" spans="2:6" x14ac:dyDescent="0.3">
      <c r="B2378" s="12">
        <v>2375</v>
      </c>
      <c r="C2378" s="28">
        <v>167.9079762150005</v>
      </c>
      <c r="E2378" s="14" t="s">
        <v>2191</v>
      </c>
      <c r="F2378" s="11">
        <v>179</v>
      </c>
    </row>
    <row r="2379" spans="2:6" x14ac:dyDescent="0.3">
      <c r="B2379" s="12">
        <v>2376</v>
      </c>
      <c r="C2379" s="28">
        <v>170.45140183883228</v>
      </c>
      <c r="E2379" s="14" t="s">
        <v>4391</v>
      </c>
      <c r="F2379" s="11">
        <v>174</v>
      </c>
    </row>
    <row r="2380" spans="2:6" x14ac:dyDescent="0.3">
      <c r="B2380" s="12">
        <v>2377</v>
      </c>
      <c r="C2380" s="28">
        <v>155.7065417178523</v>
      </c>
      <c r="E2380" s="14" t="s">
        <v>4121</v>
      </c>
      <c r="F2380" s="11">
        <v>183</v>
      </c>
    </row>
    <row r="2381" spans="2:6" x14ac:dyDescent="0.3">
      <c r="B2381" s="12">
        <v>2378</v>
      </c>
      <c r="C2381" s="28">
        <v>154.48818006501682</v>
      </c>
      <c r="E2381" s="14" t="s">
        <v>4639</v>
      </c>
      <c r="F2381" s="11">
        <v>184</v>
      </c>
    </row>
    <row r="2382" spans="2:6" x14ac:dyDescent="0.3">
      <c r="B2382" s="12">
        <v>2379</v>
      </c>
      <c r="C2382" s="28">
        <v>155.90253750478524</v>
      </c>
      <c r="E2382" s="14" t="s">
        <v>4714</v>
      </c>
      <c r="F2382" s="11">
        <v>178</v>
      </c>
    </row>
    <row r="2383" spans="2:6" x14ac:dyDescent="0.3">
      <c r="B2383" s="12">
        <v>2380</v>
      </c>
      <c r="C2383" s="28">
        <v>175.10164388415231</v>
      </c>
      <c r="E2383" s="14" t="s">
        <v>1272</v>
      </c>
      <c r="F2383" s="11">
        <v>165</v>
      </c>
    </row>
    <row r="2384" spans="2:6" x14ac:dyDescent="0.3">
      <c r="B2384" s="12">
        <v>2381</v>
      </c>
      <c r="C2384" s="28">
        <v>164.87681101646524</v>
      </c>
      <c r="E2384" s="14" t="s">
        <v>2714</v>
      </c>
      <c r="F2384" s="11">
        <v>170</v>
      </c>
    </row>
    <row r="2385" spans="2:6" x14ac:dyDescent="0.3">
      <c r="B2385" s="12">
        <v>2382</v>
      </c>
      <c r="C2385" s="28">
        <v>165.86812294169695</v>
      </c>
      <c r="E2385" s="14" t="s">
        <v>3303</v>
      </c>
      <c r="F2385" s="11">
        <v>162</v>
      </c>
    </row>
    <row r="2386" spans="2:6" x14ac:dyDescent="0.3">
      <c r="B2386" s="12">
        <v>2383</v>
      </c>
      <c r="C2386" s="28">
        <v>158.71365547496555</v>
      </c>
      <c r="E2386" s="14" t="s">
        <v>4193</v>
      </c>
      <c r="F2386" s="11">
        <v>163</v>
      </c>
    </row>
    <row r="2387" spans="2:6" x14ac:dyDescent="0.3">
      <c r="B2387" s="12">
        <v>2384</v>
      </c>
      <c r="C2387" s="28">
        <v>171.39679125390182</v>
      </c>
      <c r="E2387" s="14" t="s">
        <v>2315</v>
      </c>
      <c r="F2387" s="11">
        <v>173</v>
      </c>
    </row>
    <row r="2388" spans="2:6" x14ac:dyDescent="0.3">
      <c r="B2388" s="12">
        <v>2385</v>
      </c>
      <c r="C2388" s="28">
        <v>150.93927676223186</v>
      </c>
      <c r="E2388" s="14" t="s">
        <v>123</v>
      </c>
      <c r="F2388" s="11">
        <v>173</v>
      </c>
    </row>
    <row r="2389" spans="2:6" x14ac:dyDescent="0.3">
      <c r="B2389" s="12">
        <v>2386</v>
      </c>
      <c r="C2389" s="28">
        <v>169.93325204881742</v>
      </c>
      <c r="E2389" s="14" t="s">
        <v>1105</v>
      </c>
      <c r="F2389" s="11">
        <v>173</v>
      </c>
    </row>
    <row r="2390" spans="2:6" x14ac:dyDescent="0.3">
      <c r="B2390" s="12">
        <v>2387</v>
      </c>
      <c r="C2390" s="28">
        <v>159.63178122483993</v>
      </c>
      <c r="E2390" s="14" t="s">
        <v>1414</v>
      </c>
      <c r="F2390" s="11">
        <v>168</v>
      </c>
    </row>
    <row r="2391" spans="2:6" x14ac:dyDescent="0.3">
      <c r="B2391" s="12">
        <v>2388</v>
      </c>
      <c r="C2391" s="28">
        <v>156.04574205932019</v>
      </c>
      <c r="E2391" s="14" t="s">
        <v>4790</v>
      </c>
      <c r="F2391" s="11">
        <v>165</v>
      </c>
    </row>
    <row r="2392" spans="2:6" x14ac:dyDescent="0.3">
      <c r="B2392" s="12">
        <v>2389</v>
      </c>
      <c r="C2392" s="28">
        <v>164.2120116921943</v>
      </c>
      <c r="E2392" s="14" t="s">
        <v>857</v>
      </c>
      <c r="F2392" s="11">
        <v>176</v>
      </c>
    </row>
    <row r="2393" spans="2:6" x14ac:dyDescent="0.3">
      <c r="B2393" s="12">
        <v>2390</v>
      </c>
      <c r="C2393" s="28">
        <v>150.7950735175302</v>
      </c>
      <c r="E2393" s="14" t="s">
        <v>2085</v>
      </c>
      <c r="F2393" s="11">
        <v>158</v>
      </c>
    </row>
    <row r="2394" spans="2:6" x14ac:dyDescent="0.3">
      <c r="B2394" s="12">
        <v>2391</v>
      </c>
      <c r="C2394" s="28">
        <v>164.66931726229481</v>
      </c>
      <c r="E2394" s="14" t="s">
        <v>4520</v>
      </c>
      <c r="F2394" s="11">
        <v>170</v>
      </c>
    </row>
    <row r="2395" spans="2:6" x14ac:dyDescent="0.3">
      <c r="B2395" s="12">
        <v>2392</v>
      </c>
      <c r="C2395" s="28">
        <v>161.30497193240788</v>
      </c>
      <c r="E2395" s="14" t="s">
        <v>1862</v>
      </c>
      <c r="F2395" s="11">
        <v>173</v>
      </c>
    </row>
    <row r="2396" spans="2:6" x14ac:dyDescent="0.3">
      <c r="B2396" s="12">
        <v>2393</v>
      </c>
      <c r="C2396" s="28">
        <v>152.16770346762522</v>
      </c>
      <c r="E2396" s="14" t="s">
        <v>534</v>
      </c>
      <c r="F2396" s="11">
        <v>158</v>
      </c>
    </row>
    <row r="2397" spans="2:6" x14ac:dyDescent="0.3">
      <c r="B2397" s="12">
        <v>2394</v>
      </c>
      <c r="C2397" s="28">
        <v>170.71018998476271</v>
      </c>
      <c r="E2397" s="14" t="s">
        <v>2154</v>
      </c>
      <c r="F2397" s="11">
        <v>170</v>
      </c>
    </row>
    <row r="2398" spans="2:6" x14ac:dyDescent="0.3">
      <c r="B2398" s="12">
        <v>2395</v>
      </c>
      <c r="C2398" s="28">
        <v>152.76403774746763</v>
      </c>
      <c r="E2398" s="14" t="s">
        <v>4075</v>
      </c>
      <c r="F2398" s="11">
        <v>168</v>
      </c>
    </row>
    <row r="2399" spans="2:6" x14ac:dyDescent="0.3">
      <c r="B2399" s="12">
        <v>2396</v>
      </c>
      <c r="C2399" s="28">
        <v>163.27525996753332</v>
      </c>
      <c r="E2399" s="14" t="s">
        <v>1940</v>
      </c>
      <c r="F2399" s="11">
        <v>153</v>
      </c>
    </row>
    <row r="2400" spans="2:6" x14ac:dyDescent="0.3">
      <c r="B2400" s="12">
        <v>2397</v>
      </c>
      <c r="C2400" s="28">
        <v>172.582012589919</v>
      </c>
      <c r="E2400" s="14" t="s">
        <v>2111</v>
      </c>
      <c r="F2400" s="11">
        <v>174</v>
      </c>
    </row>
    <row r="2401" spans="2:6" x14ac:dyDescent="0.3">
      <c r="B2401" s="12">
        <v>2398</v>
      </c>
      <c r="C2401" s="28">
        <v>156.09438775282391</v>
      </c>
      <c r="E2401" s="14" t="s">
        <v>234</v>
      </c>
      <c r="F2401" s="11">
        <v>166</v>
      </c>
    </row>
    <row r="2402" spans="2:6" x14ac:dyDescent="0.3">
      <c r="B2402" s="12">
        <v>2399</v>
      </c>
      <c r="C2402" s="28">
        <v>158.3532055416446</v>
      </c>
      <c r="E2402" s="14" t="s">
        <v>4889</v>
      </c>
      <c r="F2402" s="11">
        <v>159</v>
      </c>
    </row>
    <row r="2403" spans="2:6" x14ac:dyDescent="0.3">
      <c r="B2403" s="12">
        <v>2400</v>
      </c>
      <c r="C2403" s="28">
        <v>157.37577005966756</v>
      </c>
      <c r="E2403" s="14" t="s">
        <v>3040</v>
      </c>
      <c r="F2403" s="11">
        <v>165</v>
      </c>
    </row>
    <row r="2404" spans="2:6" x14ac:dyDescent="0.3">
      <c r="B2404" s="12">
        <v>2401</v>
      </c>
      <c r="C2404" s="28">
        <v>179.6848982152529</v>
      </c>
      <c r="E2404" s="14" t="s">
        <v>1087</v>
      </c>
      <c r="F2404" s="11">
        <v>167</v>
      </c>
    </row>
    <row r="2405" spans="2:6" x14ac:dyDescent="0.3">
      <c r="B2405" s="12">
        <v>2402</v>
      </c>
      <c r="C2405" s="28">
        <v>157.5639351846896</v>
      </c>
      <c r="E2405" s="14" t="s">
        <v>4713</v>
      </c>
      <c r="F2405" s="11">
        <v>166</v>
      </c>
    </row>
    <row r="2406" spans="2:6" x14ac:dyDescent="0.3">
      <c r="B2406" s="12">
        <v>2403</v>
      </c>
      <c r="C2406" s="28">
        <v>163.24360828547336</v>
      </c>
      <c r="E2406" s="14" t="s">
        <v>2127</v>
      </c>
      <c r="F2406" s="11">
        <v>170</v>
      </c>
    </row>
    <row r="2407" spans="2:6" x14ac:dyDescent="0.3">
      <c r="B2407" s="12">
        <v>2404</v>
      </c>
      <c r="C2407" s="28">
        <v>160.39703087146356</v>
      </c>
      <c r="E2407" s="14" t="s">
        <v>4621</v>
      </c>
      <c r="F2407" s="11">
        <v>174</v>
      </c>
    </row>
    <row r="2408" spans="2:6" x14ac:dyDescent="0.3">
      <c r="B2408" s="12">
        <v>2405</v>
      </c>
      <c r="C2408" s="28">
        <v>161.8303337917298</v>
      </c>
      <c r="E2408" s="14" t="s">
        <v>3924</v>
      </c>
      <c r="F2408" s="11">
        <v>175</v>
      </c>
    </row>
    <row r="2409" spans="2:6" x14ac:dyDescent="0.3">
      <c r="B2409" s="12">
        <v>2406</v>
      </c>
      <c r="C2409" s="28">
        <v>162.51368281539987</v>
      </c>
      <c r="E2409" s="14" t="s">
        <v>678</v>
      </c>
      <c r="F2409" s="11">
        <v>170</v>
      </c>
    </row>
    <row r="2410" spans="2:6" x14ac:dyDescent="0.3">
      <c r="B2410" s="12">
        <v>2407</v>
      </c>
      <c r="C2410" s="28">
        <v>164.91432608957766</v>
      </c>
      <c r="E2410" s="14" t="s">
        <v>209</v>
      </c>
      <c r="F2410" s="11">
        <v>173</v>
      </c>
    </row>
    <row r="2411" spans="2:6" x14ac:dyDescent="0.3">
      <c r="B2411" s="12">
        <v>2408</v>
      </c>
      <c r="C2411" s="28">
        <v>160.8755985368945</v>
      </c>
      <c r="E2411" s="14" t="s">
        <v>1409</v>
      </c>
      <c r="F2411" s="11">
        <v>178</v>
      </c>
    </row>
    <row r="2412" spans="2:6" x14ac:dyDescent="0.3">
      <c r="B2412" s="12">
        <v>2409</v>
      </c>
      <c r="C2412" s="28">
        <v>177.4480346786265</v>
      </c>
      <c r="E2412" s="14" t="s">
        <v>1797</v>
      </c>
      <c r="F2412" s="11">
        <v>173</v>
      </c>
    </row>
    <row r="2413" spans="2:6" x14ac:dyDescent="0.3">
      <c r="B2413" s="12">
        <v>2410</v>
      </c>
      <c r="C2413" s="28">
        <v>167.41703219137315</v>
      </c>
      <c r="E2413" s="14" t="s">
        <v>549</v>
      </c>
      <c r="F2413" s="11">
        <v>168</v>
      </c>
    </row>
    <row r="2414" spans="2:6" x14ac:dyDescent="0.3">
      <c r="B2414" s="12">
        <v>2411</v>
      </c>
      <c r="C2414" s="28">
        <v>170.4979794844416</v>
      </c>
      <c r="E2414" s="14" t="s">
        <v>3609</v>
      </c>
      <c r="F2414" s="11">
        <v>181</v>
      </c>
    </row>
    <row r="2415" spans="2:6" x14ac:dyDescent="0.3">
      <c r="B2415" s="12">
        <v>2412</v>
      </c>
      <c r="C2415" s="28">
        <v>168.20471497347052</v>
      </c>
      <c r="E2415" s="14" t="s">
        <v>2248</v>
      </c>
      <c r="F2415" s="11">
        <v>180</v>
      </c>
    </row>
    <row r="2416" spans="2:6" x14ac:dyDescent="0.3">
      <c r="B2416" s="12">
        <v>2413</v>
      </c>
      <c r="C2416" s="28">
        <v>160.85421598148318</v>
      </c>
      <c r="E2416" s="14" t="s">
        <v>2509</v>
      </c>
      <c r="F2416" s="11">
        <v>177</v>
      </c>
    </row>
    <row r="2417" spans="2:6" x14ac:dyDescent="0.3">
      <c r="B2417" s="12">
        <v>2414</v>
      </c>
      <c r="C2417" s="28">
        <v>157.26917820358116</v>
      </c>
      <c r="E2417" s="14" t="s">
        <v>2849</v>
      </c>
      <c r="F2417" s="11">
        <v>184</v>
      </c>
    </row>
    <row r="2418" spans="2:6" x14ac:dyDescent="0.3">
      <c r="B2418" s="12">
        <v>2415</v>
      </c>
      <c r="C2418" s="28">
        <v>146.76940830676065</v>
      </c>
      <c r="E2418" s="14" t="s">
        <v>3499</v>
      </c>
      <c r="F2418" s="11">
        <v>172</v>
      </c>
    </row>
    <row r="2419" spans="2:6" x14ac:dyDescent="0.3">
      <c r="B2419" s="12">
        <v>2416</v>
      </c>
      <c r="C2419" s="28">
        <v>149.19560929856155</v>
      </c>
      <c r="E2419" s="14" t="s">
        <v>4490</v>
      </c>
      <c r="F2419" s="11">
        <v>186</v>
      </c>
    </row>
    <row r="2420" spans="2:6" x14ac:dyDescent="0.3">
      <c r="B2420" s="12">
        <v>2417</v>
      </c>
      <c r="C2420" s="28">
        <v>160.07155945652528</v>
      </c>
      <c r="E2420" s="14" t="s">
        <v>4603</v>
      </c>
      <c r="F2420" s="11">
        <v>160</v>
      </c>
    </row>
    <row r="2421" spans="2:6" x14ac:dyDescent="0.3">
      <c r="B2421" s="12">
        <v>2418</v>
      </c>
      <c r="C2421" s="28">
        <v>154.98569041433933</v>
      </c>
      <c r="E2421" s="14" t="s">
        <v>1180</v>
      </c>
      <c r="F2421" s="11">
        <v>162</v>
      </c>
    </row>
    <row r="2422" spans="2:6" x14ac:dyDescent="0.3">
      <c r="B2422" s="12">
        <v>2419</v>
      </c>
      <c r="C2422" s="28">
        <v>171.89313650353773</v>
      </c>
      <c r="E2422" s="14" t="s">
        <v>2517</v>
      </c>
      <c r="F2422" s="11">
        <v>181</v>
      </c>
    </row>
    <row r="2423" spans="2:6" x14ac:dyDescent="0.3">
      <c r="B2423" s="12">
        <v>2420</v>
      </c>
      <c r="C2423" s="28">
        <v>154.52009016722292</v>
      </c>
      <c r="E2423" s="14" t="s">
        <v>1269</v>
      </c>
      <c r="F2423" s="11">
        <v>173</v>
      </c>
    </row>
    <row r="2424" spans="2:6" x14ac:dyDescent="0.3">
      <c r="B2424" s="12">
        <v>2421</v>
      </c>
      <c r="C2424" s="28">
        <v>160.8647598806798</v>
      </c>
      <c r="E2424" s="14" t="s">
        <v>3104</v>
      </c>
      <c r="F2424" s="11">
        <v>170</v>
      </c>
    </row>
    <row r="2425" spans="2:6" x14ac:dyDescent="0.3">
      <c r="B2425" s="12">
        <v>2422</v>
      </c>
      <c r="C2425" s="28">
        <v>168.90966104584174</v>
      </c>
      <c r="E2425" s="14" t="s">
        <v>1220</v>
      </c>
      <c r="F2425" s="11">
        <v>172</v>
      </c>
    </row>
    <row r="2426" spans="2:6" x14ac:dyDescent="0.3">
      <c r="B2426" s="12">
        <v>2423</v>
      </c>
      <c r="C2426" s="28">
        <v>154.75170513450439</v>
      </c>
      <c r="E2426" s="14" t="s">
        <v>3253</v>
      </c>
      <c r="F2426" s="11">
        <v>173</v>
      </c>
    </row>
    <row r="2427" spans="2:6" x14ac:dyDescent="0.3">
      <c r="B2427" s="12">
        <v>2424</v>
      </c>
      <c r="C2427" s="28">
        <v>159.55716105538914</v>
      </c>
      <c r="E2427" s="14" t="s">
        <v>292</v>
      </c>
      <c r="F2427" s="11">
        <v>169</v>
      </c>
    </row>
    <row r="2428" spans="2:6" x14ac:dyDescent="0.3">
      <c r="B2428" s="12">
        <v>2425</v>
      </c>
      <c r="C2428" s="28">
        <v>159.62545540414129</v>
      </c>
      <c r="E2428" s="14" t="s">
        <v>762</v>
      </c>
      <c r="F2428" s="11">
        <v>186</v>
      </c>
    </row>
    <row r="2429" spans="2:6" x14ac:dyDescent="0.3">
      <c r="B2429" s="12">
        <v>2426</v>
      </c>
      <c r="C2429" s="28">
        <v>166.85295014162179</v>
      </c>
      <c r="E2429" s="14" t="s">
        <v>3246</v>
      </c>
      <c r="F2429" s="11">
        <v>168</v>
      </c>
    </row>
    <row r="2430" spans="2:6" x14ac:dyDescent="0.3">
      <c r="B2430" s="12">
        <v>2427</v>
      </c>
      <c r="C2430" s="28">
        <v>154.79293273794815</v>
      </c>
      <c r="E2430" s="14" t="s">
        <v>2912</v>
      </c>
      <c r="F2430" s="11">
        <v>163</v>
      </c>
    </row>
    <row r="2431" spans="2:6" x14ac:dyDescent="0.3">
      <c r="B2431" s="12">
        <v>2428</v>
      </c>
      <c r="C2431" s="28">
        <v>153.24320896731248</v>
      </c>
      <c r="E2431" s="14" t="s">
        <v>3349</v>
      </c>
      <c r="F2431" s="11">
        <v>169</v>
      </c>
    </row>
    <row r="2432" spans="2:6" x14ac:dyDescent="0.3">
      <c r="B2432" s="12">
        <v>2429</v>
      </c>
      <c r="C2432" s="28">
        <v>165.28764073251838</v>
      </c>
      <c r="E2432" s="14" t="s">
        <v>4197</v>
      </c>
      <c r="F2432" s="11">
        <v>178</v>
      </c>
    </row>
    <row r="2433" spans="2:6" x14ac:dyDescent="0.3">
      <c r="B2433" s="12">
        <v>2430</v>
      </c>
      <c r="C2433" s="28">
        <v>163.95254383895474</v>
      </c>
      <c r="E2433" s="14" t="s">
        <v>4241</v>
      </c>
      <c r="F2433" s="11">
        <v>169</v>
      </c>
    </row>
    <row r="2434" spans="2:6" x14ac:dyDescent="0.3">
      <c r="B2434" s="12">
        <v>2431</v>
      </c>
      <c r="C2434" s="28">
        <v>166.05800763498772</v>
      </c>
      <c r="E2434" s="14" t="s">
        <v>330</v>
      </c>
      <c r="F2434" s="11">
        <v>162</v>
      </c>
    </row>
    <row r="2435" spans="2:6" x14ac:dyDescent="0.3">
      <c r="B2435" s="12">
        <v>2432</v>
      </c>
      <c r="C2435" s="28">
        <v>158.11896076394103</v>
      </c>
      <c r="E2435" s="14" t="s">
        <v>266</v>
      </c>
      <c r="F2435" s="11">
        <v>165</v>
      </c>
    </row>
    <row r="2436" spans="2:6" x14ac:dyDescent="0.3">
      <c r="B2436" s="12">
        <v>2433</v>
      </c>
      <c r="C2436" s="28">
        <v>166.54643146946856</v>
      </c>
      <c r="E2436" s="14" t="s">
        <v>3134</v>
      </c>
      <c r="F2436" s="11">
        <v>158</v>
      </c>
    </row>
    <row r="2437" spans="2:6" x14ac:dyDescent="0.3">
      <c r="B2437" s="12">
        <v>2434</v>
      </c>
      <c r="C2437" s="28">
        <v>173.49021197152729</v>
      </c>
      <c r="E2437" s="14" t="s">
        <v>2238</v>
      </c>
      <c r="F2437" s="11">
        <v>157</v>
      </c>
    </row>
    <row r="2438" spans="2:6" x14ac:dyDescent="0.3">
      <c r="B2438" s="12">
        <v>2435</v>
      </c>
      <c r="C2438" s="28">
        <v>164.37834966327841</v>
      </c>
      <c r="E2438" s="14" t="s">
        <v>4845</v>
      </c>
      <c r="F2438" s="11">
        <v>167</v>
      </c>
    </row>
    <row r="2439" spans="2:6" x14ac:dyDescent="0.3">
      <c r="B2439" s="12">
        <v>2436</v>
      </c>
      <c r="C2439" s="28">
        <v>159.97138749452876</v>
      </c>
      <c r="E2439" s="14" t="s">
        <v>1995</v>
      </c>
      <c r="F2439" s="11">
        <v>166</v>
      </c>
    </row>
    <row r="2440" spans="2:6" x14ac:dyDescent="0.3">
      <c r="B2440" s="12">
        <v>2437</v>
      </c>
      <c r="C2440" s="28">
        <v>154.31571722535722</v>
      </c>
      <c r="E2440" s="14" t="s">
        <v>2254</v>
      </c>
      <c r="F2440" s="11">
        <v>164</v>
      </c>
    </row>
    <row r="2441" spans="2:6" x14ac:dyDescent="0.3">
      <c r="B2441" s="12">
        <v>2438</v>
      </c>
      <c r="C2441" s="28">
        <v>152.39442612046147</v>
      </c>
      <c r="E2441" s="14" t="s">
        <v>3994</v>
      </c>
      <c r="F2441" s="11">
        <v>164</v>
      </c>
    </row>
    <row r="2442" spans="2:6" x14ac:dyDescent="0.3">
      <c r="B2442" s="12">
        <v>2439</v>
      </c>
      <c r="C2442" s="28">
        <v>155.49330561845613</v>
      </c>
      <c r="E2442" s="14" t="s">
        <v>2668</v>
      </c>
      <c r="F2442" s="11">
        <v>173</v>
      </c>
    </row>
    <row r="2443" spans="2:6" x14ac:dyDescent="0.3">
      <c r="B2443" s="12">
        <v>2440</v>
      </c>
      <c r="C2443" s="28">
        <v>168.1112668455188</v>
      </c>
      <c r="E2443" s="14" t="s">
        <v>1018</v>
      </c>
      <c r="F2443" s="11">
        <v>160</v>
      </c>
    </row>
    <row r="2444" spans="2:6" x14ac:dyDescent="0.3">
      <c r="B2444" s="12">
        <v>2441</v>
      </c>
      <c r="C2444" s="28">
        <v>155.66696178583859</v>
      </c>
      <c r="E2444" s="14" t="s">
        <v>2504</v>
      </c>
      <c r="F2444" s="11">
        <v>183</v>
      </c>
    </row>
    <row r="2445" spans="2:6" x14ac:dyDescent="0.3">
      <c r="B2445" s="12">
        <v>2442</v>
      </c>
      <c r="C2445" s="28">
        <v>159.59841093353643</v>
      </c>
      <c r="E2445" s="14" t="s">
        <v>1852</v>
      </c>
      <c r="F2445" s="11">
        <v>168</v>
      </c>
    </row>
    <row r="2446" spans="2:6" x14ac:dyDescent="0.3">
      <c r="B2446" s="12">
        <v>2443</v>
      </c>
      <c r="C2446" s="28">
        <v>160.27262956563496</v>
      </c>
      <c r="E2446" s="14" t="s">
        <v>4086</v>
      </c>
      <c r="F2446" s="11">
        <v>183</v>
      </c>
    </row>
    <row r="2447" spans="2:6" x14ac:dyDescent="0.3">
      <c r="B2447" s="12">
        <v>2444</v>
      </c>
      <c r="C2447" s="28">
        <v>162.08971037798347</v>
      </c>
      <c r="E2447" s="14" t="s">
        <v>162</v>
      </c>
      <c r="F2447" s="11">
        <v>172</v>
      </c>
    </row>
    <row r="2448" spans="2:6" x14ac:dyDescent="0.3">
      <c r="B2448" s="12">
        <v>2445</v>
      </c>
      <c r="C2448" s="28">
        <v>168.07741932910395</v>
      </c>
      <c r="E2448" s="14" t="s">
        <v>3716</v>
      </c>
      <c r="F2448" s="11">
        <v>157</v>
      </c>
    </row>
    <row r="2449" spans="2:6" x14ac:dyDescent="0.3">
      <c r="B2449" s="12">
        <v>2446</v>
      </c>
      <c r="C2449" s="28">
        <v>165.46926721274045</v>
      </c>
      <c r="E2449" s="14" t="s">
        <v>3382</v>
      </c>
      <c r="F2449" s="11">
        <v>169</v>
      </c>
    </row>
    <row r="2450" spans="2:6" x14ac:dyDescent="0.3">
      <c r="B2450" s="12">
        <v>2447</v>
      </c>
      <c r="C2450" s="28">
        <v>145.4356180926215</v>
      </c>
      <c r="E2450" s="14" t="s">
        <v>3834</v>
      </c>
      <c r="F2450" s="11">
        <v>163</v>
      </c>
    </row>
    <row r="2451" spans="2:6" x14ac:dyDescent="0.3">
      <c r="B2451" s="12">
        <v>2448</v>
      </c>
      <c r="C2451" s="28">
        <v>148.40009064283649</v>
      </c>
      <c r="E2451" s="14" t="s">
        <v>355</v>
      </c>
      <c r="F2451" s="11">
        <v>175</v>
      </c>
    </row>
    <row r="2452" spans="2:6" x14ac:dyDescent="0.3">
      <c r="B2452" s="12">
        <v>2449</v>
      </c>
      <c r="C2452" s="28">
        <v>169.72114401498231</v>
      </c>
      <c r="E2452" s="14" t="s">
        <v>3237</v>
      </c>
      <c r="F2452" s="11">
        <v>181</v>
      </c>
    </row>
    <row r="2453" spans="2:6" x14ac:dyDescent="0.3">
      <c r="B2453" s="12">
        <v>2450</v>
      </c>
      <c r="C2453" s="28">
        <v>161.78500110218758</v>
      </c>
      <c r="E2453" s="14" t="s">
        <v>996</v>
      </c>
      <c r="F2453" s="11">
        <v>164</v>
      </c>
    </row>
    <row r="2454" spans="2:6" x14ac:dyDescent="0.3">
      <c r="B2454" s="12">
        <v>2451</v>
      </c>
      <c r="C2454" s="28">
        <v>155.61807648328426</v>
      </c>
      <c r="E2454" s="14" t="s">
        <v>4643</v>
      </c>
      <c r="F2454" s="11">
        <v>179</v>
      </c>
    </row>
    <row r="2455" spans="2:6" x14ac:dyDescent="0.3">
      <c r="B2455" s="12">
        <v>2452</v>
      </c>
      <c r="C2455" s="28">
        <v>176.36324463039611</v>
      </c>
      <c r="E2455" s="14" t="s">
        <v>265</v>
      </c>
      <c r="F2455" s="11">
        <v>166</v>
      </c>
    </row>
    <row r="2456" spans="2:6" x14ac:dyDescent="0.3">
      <c r="B2456" s="12">
        <v>2453</v>
      </c>
      <c r="C2456" s="28">
        <v>159.9791820447077</v>
      </c>
      <c r="E2456" s="14" t="s">
        <v>2820</v>
      </c>
      <c r="F2456" s="11">
        <v>158</v>
      </c>
    </row>
    <row r="2457" spans="2:6" x14ac:dyDescent="0.3">
      <c r="B2457" s="12">
        <v>2454</v>
      </c>
      <c r="C2457" s="28">
        <v>162.7202834356423</v>
      </c>
      <c r="E2457" s="14" t="s">
        <v>810</v>
      </c>
      <c r="F2457" s="11">
        <v>170</v>
      </c>
    </row>
    <row r="2458" spans="2:6" x14ac:dyDescent="0.3">
      <c r="B2458" s="12">
        <v>2455</v>
      </c>
      <c r="C2458" s="28">
        <v>164.72786230477118</v>
      </c>
      <c r="E2458" s="14" t="s">
        <v>375</v>
      </c>
      <c r="F2458" s="11">
        <v>169</v>
      </c>
    </row>
    <row r="2459" spans="2:6" x14ac:dyDescent="0.3">
      <c r="B2459" s="12">
        <v>2456</v>
      </c>
      <c r="C2459" s="28">
        <v>172.24203470158125</v>
      </c>
      <c r="E2459" s="14" t="s">
        <v>612</v>
      </c>
      <c r="F2459" s="11">
        <v>175</v>
      </c>
    </row>
    <row r="2460" spans="2:6" x14ac:dyDescent="0.3">
      <c r="B2460" s="12">
        <v>2457</v>
      </c>
      <c r="C2460" s="28">
        <v>159.56217033738889</v>
      </c>
      <c r="E2460" s="14" t="s">
        <v>2626</v>
      </c>
      <c r="F2460" s="11">
        <v>155</v>
      </c>
    </row>
    <row r="2461" spans="2:6" x14ac:dyDescent="0.3">
      <c r="B2461" s="12">
        <v>2458</v>
      </c>
      <c r="C2461" s="28">
        <v>153.85010406729532</v>
      </c>
      <c r="E2461" s="14" t="s">
        <v>602</v>
      </c>
      <c r="F2461" s="11">
        <v>172</v>
      </c>
    </row>
    <row r="2462" spans="2:6" x14ac:dyDescent="0.3">
      <c r="B2462" s="12">
        <v>2459</v>
      </c>
      <c r="C2462" s="28">
        <v>156.52073138901781</v>
      </c>
      <c r="E2462" s="14" t="s">
        <v>1458</v>
      </c>
      <c r="F2462" s="11">
        <v>184</v>
      </c>
    </row>
    <row r="2463" spans="2:6" x14ac:dyDescent="0.3">
      <c r="B2463" s="12">
        <v>2460</v>
      </c>
      <c r="C2463" s="28">
        <v>168.39035188846773</v>
      </c>
      <c r="E2463" s="14" t="s">
        <v>1486</v>
      </c>
      <c r="F2463" s="11">
        <v>173</v>
      </c>
    </row>
    <row r="2464" spans="2:6" x14ac:dyDescent="0.3">
      <c r="B2464" s="12">
        <v>2461</v>
      </c>
      <c r="C2464" s="28">
        <v>155.58409053291669</v>
      </c>
      <c r="E2464" s="14" t="s">
        <v>1699</v>
      </c>
      <c r="F2464" s="11">
        <v>173</v>
      </c>
    </row>
    <row r="2465" spans="2:6" x14ac:dyDescent="0.3">
      <c r="B2465" s="12">
        <v>2462</v>
      </c>
      <c r="C2465" s="28">
        <v>168.4660476855048</v>
      </c>
      <c r="E2465" s="14" t="s">
        <v>4286</v>
      </c>
      <c r="F2465" s="11">
        <v>167</v>
      </c>
    </row>
    <row r="2466" spans="2:6" x14ac:dyDescent="0.3">
      <c r="B2466" s="12">
        <v>2463</v>
      </c>
      <c r="C2466" s="28">
        <v>166.19645426300659</v>
      </c>
      <c r="E2466" s="14" t="s">
        <v>4475</v>
      </c>
      <c r="F2466" s="11">
        <v>165</v>
      </c>
    </row>
    <row r="2467" spans="2:6" x14ac:dyDescent="0.3">
      <c r="B2467" s="12">
        <v>2464</v>
      </c>
      <c r="C2467" s="28">
        <v>161.76752612455695</v>
      </c>
      <c r="E2467" s="14" t="s">
        <v>3887</v>
      </c>
      <c r="F2467" s="11">
        <v>173</v>
      </c>
    </row>
    <row r="2468" spans="2:6" x14ac:dyDescent="0.3">
      <c r="B2468" s="12">
        <v>2465</v>
      </c>
      <c r="C2468" s="28">
        <v>153.15870118841602</v>
      </c>
      <c r="E2468" s="14" t="s">
        <v>700</v>
      </c>
      <c r="F2468" s="11">
        <v>176</v>
      </c>
    </row>
    <row r="2469" spans="2:6" x14ac:dyDescent="0.3">
      <c r="B2469" s="12">
        <v>2466</v>
      </c>
      <c r="C2469" s="28">
        <v>161.57246461098887</v>
      </c>
      <c r="E2469" s="14" t="s">
        <v>2299</v>
      </c>
      <c r="F2469" s="11">
        <v>174</v>
      </c>
    </row>
    <row r="2470" spans="2:6" x14ac:dyDescent="0.3">
      <c r="B2470" s="12">
        <v>2467</v>
      </c>
      <c r="C2470" s="28">
        <v>161.39186754904225</v>
      </c>
      <c r="E2470" s="14" t="s">
        <v>3159</v>
      </c>
      <c r="F2470" s="11">
        <v>169</v>
      </c>
    </row>
    <row r="2471" spans="2:6" x14ac:dyDescent="0.3">
      <c r="B2471" s="12">
        <v>2468</v>
      </c>
      <c r="C2471" s="28">
        <v>162.18836526814368</v>
      </c>
      <c r="E2471" s="14" t="s">
        <v>876</v>
      </c>
      <c r="F2471" s="11">
        <v>178</v>
      </c>
    </row>
    <row r="2472" spans="2:6" x14ac:dyDescent="0.3">
      <c r="B2472" s="12">
        <v>2469</v>
      </c>
      <c r="C2472" s="28">
        <v>164.72501383921511</v>
      </c>
      <c r="E2472" s="14" t="s">
        <v>2814</v>
      </c>
      <c r="F2472" s="11">
        <v>159</v>
      </c>
    </row>
    <row r="2473" spans="2:6" x14ac:dyDescent="0.3">
      <c r="B2473" s="12">
        <v>2470</v>
      </c>
      <c r="C2473" s="28">
        <v>164.26972938693061</v>
      </c>
      <c r="E2473" s="14" t="s">
        <v>3092</v>
      </c>
      <c r="F2473" s="11">
        <v>165</v>
      </c>
    </row>
    <row r="2474" spans="2:6" x14ac:dyDescent="0.3">
      <c r="B2474" s="12">
        <v>2471</v>
      </c>
      <c r="C2474" s="28">
        <v>155.92494078270454</v>
      </c>
      <c r="E2474" s="14" t="s">
        <v>2410</v>
      </c>
      <c r="F2474" s="11">
        <v>180</v>
      </c>
    </row>
    <row r="2475" spans="2:6" x14ac:dyDescent="0.3">
      <c r="B2475" s="12">
        <v>2472</v>
      </c>
      <c r="C2475" s="28">
        <v>159.58807230102551</v>
      </c>
      <c r="E2475" s="14" t="s">
        <v>2874</v>
      </c>
      <c r="F2475" s="11">
        <v>184</v>
      </c>
    </row>
    <row r="2476" spans="2:6" x14ac:dyDescent="0.3">
      <c r="B2476" s="12">
        <v>2473</v>
      </c>
      <c r="C2476" s="28">
        <v>152.86198664586686</v>
      </c>
      <c r="E2476" s="14" t="s">
        <v>1952</v>
      </c>
      <c r="F2476" s="11">
        <v>187</v>
      </c>
    </row>
    <row r="2477" spans="2:6" x14ac:dyDescent="0.3">
      <c r="B2477" s="12">
        <v>2474</v>
      </c>
      <c r="C2477" s="28">
        <v>161.23012415500389</v>
      </c>
      <c r="E2477" s="14" t="s">
        <v>3300</v>
      </c>
      <c r="F2477" s="11">
        <v>150</v>
      </c>
    </row>
    <row r="2478" spans="2:6" x14ac:dyDescent="0.3">
      <c r="B2478" s="12">
        <v>2475</v>
      </c>
      <c r="C2478" s="28">
        <v>162.34078468621408</v>
      </c>
      <c r="E2478" s="14" t="s">
        <v>3794</v>
      </c>
      <c r="F2478" s="11">
        <v>191</v>
      </c>
    </row>
    <row r="2479" spans="2:6" x14ac:dyDescent="0.3">
      <c r="B2479" s="12">
        <v>2476</v>
      </c>
      <c r="C2479" s="28">
        <v>161.74170501975505</v>
      </c>
      <c r="E2479" s="14" t="s">
        <v>4167</v>
      </c>
      <c r="F2479" s="11">
        <v>190</v>
      </c>
    </row>
    <row r="2480" spans="2:6" x14ac:dyDescent="0.3">
      <c r="B2480" s="12">
        <v>2477</v>
      </c>
      <c r="C2480" s="28">
        <v>155.4764365044901</v>
      </c>
      <c r="E2480" s="14" t="s">
        <v>224</v>
      </c>
      <c r="F2480" s="11">
        <v>160</v>
      </c>
    </row>
    <row r="2481" spans="2:6" x14ac:dyDescent="0.3">
      <c r="B2481" s="12">
        <v>2478</v>
      </c>
      <c r="C2481" s="28">
        <v>162.183211441634</v>
      </c>
      <c r="E2481" s="14" t="s">
        <v>554</v>
      </c>
      <c r="F2481" s="11">
        <v>167</v>
      </c>
    </row>
    <row r="2482" spans="2:6" x14ac:dyDescent="0.3">
      <c r="B2482" s="12">
        <v>2479</v>
      </c>
      <c r="C2482" s="28">
        <v>164.2327565026703</v>
      </c>
      <c r="E2482" s="14" t="s">
        <v>1026</v>
      </c>
      <c r="F2482" s="11">
        <v>184</v>
      </c>
    </row>
    <row r="2483" spans="2:6" x14ac:dyDescent="0.3">
      <c r="B2483" s="12">
        <v>2480</v>
      </c>
      <c r="C2483" s="28">
        <v>159.32080113656411</v>
      </c>
      <c r="E2483" s="14" t="s">
        <v>770</v>
      </c>
      <c r="F2483" s="11">
        <v>173</v>
      </c>
    </row>
    <row r="2484" spans="2:6" x14ac:dyDescent="0.3">
      <c r="B2484" s="12">
        <v>2481</v>
      </c>
      <c r="C2484" s="28">
        <v>152.53044929935717</v>
      </c>
      <c r="E2484" s="14" t="s">
        <v>117</v>
      </c>
      <c r="F2484" s="11">
        <v>178</v>
      </c>
    </row>
    <row r="2485" spans="2:6" x14ac:dyDescent="0.3">
      <c r="B2485" s="12">
        <v>2482</v>
      </c>
      <c r="C2485" s="28">
        <v>162.77219087618664</v>
      </c>
      <c r="E2485" s="14" t="s">
        <v>963</v>
      </c>
      <c r="F2485" s="11">
        <v>173</v>
      </c>
    </row>
    <row r="2486" spans="2:6" x14ac:dyDescent="0.3">
      <c r="B2486" s="12">
        <v>2483</v>
      </c>
      <c r="C2486" s="28">
        <v>165.63724165702712</v>
      </c>
      <c r="E2486" s="14" t="s">
        <v>4686</v>
      </c>
      <c r="F2486" s="11">
        <v>172</v>
      </c>
    </row>
    <row r="2487" spans="2:6" x14ac:dyDescent="0.3">
      <c r="B2487" s="12">
        <v>2484</v>
      </c>
      <c r="C2487" s="28">
        <v>162.68740947605025</v>
      </c>
      <c r="E2487" s="14" t="s">
        <v>4457</v>
      </c>
      <c r="F2487" s="11">
        <v>157</v>
      </c>
    </row>
    <row r="2488" spans="2:6" x14ac:dyDescent="0.3">
      <c r="B2488" s="12">
        <v>2485</v>
      </c>
      <c r="C2488" s="28">
        <v>170.45363162724061</v>
      </c>
      <c r="E2488" s="14" t="s">
        <v>1192</v>
      </c>
      <c r="F2488" s="11">
        <v>170</v>
      </c>
    </row>
    <row r="2489" spans="2:6" x14ac:dyDescent="0.3">
      <c r="B2489" s="12">
        <v>2486</v>
      </c>
      <c r="C2489" s="28">
        <v>159.61950338689931</v>
      </c>
      <c r="E2489" s="14" t="s">
        <v>1411</v>
      </c>
      <c r="F2489" s="11">
        <v>191</v>
      </c>
    </row>
    <row r="2490" spans="2:6" x14ac:dyDescent="0.3">
      <c r="B2490" s="12">
        <v>2487</v>
      </c>
      <c r="C2490" s="28">
        <v>170.13359645995789</v>
      </c>
      <c r="E2490" s="14" t="s">
        <v>1417</v>
      </c>
      <c r="F2490" s="11">
        <v>185</v>
      </c>
    </row>
    <row r="2491" spans="2:6" x14ac:dyDescent="0.3">
      <c r="B2491" s="12">
        <v>2488</v>
      </c>
      <c r="C2491" s="28">
        <v>162.56443447970176</v>
      </c>
      <c r="E2491" s="14" t="s">
        <v>1427</v>
      </c>
      <c r="F2491" s="11">
        <v>178</v>
      </c>
    </row>
    <row r="2492" spans="2:6" x14ac:dyDescent="0.3">
      <c r="B2492" s="12">
        <v>2489</v>
      </c>
      <c r="C2492" s="28">
        <v>171.00504947338445</v>
      </c>
      <c r="E2492" s="14" t="s">
        <v>1448</v>
      </c>
      <c r="F2492" s="11">
        <v>160</v>
      </c>
    </row>
    <row r="2493" spans="2:6" x14ac:dyDescent="0.3">
      <c r="B2493" s="12">
        <v>2490</v>
      </c>
      <c r="C2493" s="28">
        <v>152.98062440227238</v>
      </c>
      <c r="E2493" s="14" t="s">
        <v>1488</v>
      </c>
      <c r="F2493" s="11">
        <v>173</v>
      </c>
    </row>
    <row r="2494" spans="2:6" x14ac:dyDescent="0.3">
      <c r="B2494" s="12">
        <v>2491</v>
      </c>
      <c r="C2494" s="28">
        <v>156.76861395618971</v>
      </c>
      <c r="E2494" s="14" t="s">
        <v>1793</v>
      </c>
      <c r="F2494" s="11">
        <v>179</v>
      </c>
    </row>
    <row r="2495" spans="2:6" x14ac:dyDescent="0.3">
      <c r="B2495" s="12">
        <v>2492</v>
      </c>
      <c r="C2495" s="28">
        <v>159.53103176906998</v>
      </c>
      <c r="E2495" s="14" t="s">
        <v>1459</v>
      </c>
      <c r="F2495" s="11">
        <v>161</v>
      </c>
    </row>
    <row r="2496" spans="2:6" x14ac:dyDescent="0.3">
      <c r="B2496" s="12">
        <v>2493</v>
      </c>
      <c r="C2496" s="28">
        <v>156.06509394131257</v>
      </c>
      <c r="E2496" s="14" t="s">
        <v>2430</v>
      </c>
      <c r="F2496" s="11">
        <v>168</v>
      </c>
    </row>
    <row r="2497" spans="2:6" x14ac:dyDescent="0.3">
      <c r="B2497" s="12">
        <v>2494</v>
      </c>
      <c r="C2497" s="28">
        <v>163.84734560153584</v>
      </c>
      <c r="E2497" s="14" t="s">
        <v>2482</v>
      </c>
      <c r="F2497" s="11">
        <v>171</v>
      </c>
    </row>
    <row r="2498" spans="2:6" x14ac:dyDescent="0.3">
      <c r="B2498" s="12">
        <v>2495</v>
      </c>
      <c r="C2498" s="28">
        <v>161.17962936646003</v>
      </c>
      <c r="E2498" s="14" t="s">
        <v>2510</v>
      </c>
      <c r="F2498" s="11">
        <v>181</v>
      </c>
    </row>
    <row r="2499" spans="2:6" x14ac:dyDescent="0.3">
      <c r="B2499" s="12">
        <v>2496</v>
      </c>
      <c r="C2499" s="28">
        <v>168.78101444286341</v>
      </c>
      <c r="E2499" s="14" t="s">
        <v>246</v>
      </c>
      <c r="F2499" s="11">
        <v>175</v>
      </c>
    </row>
    <row r="2500" spans="2:6" x14ac:dyDescent="0.3">
      <c r="B2500" s="12">
        <v>2497</v>
      </c>
      <c r="C2500" s="28">
        <v>158.3842481523929</v>
      </c>
      <c r="E2500" s="14" t="s">
        <v>2639</v>
      </c>
      <c r="F2500" s="11">
        <v>168</v>
      </c>
    </row>
    <row r="2501" spans="2:6" x14ac:dyDescent="0.3">
      <c r="B2501" s="12">
        <v>2498</v>
      </c>
      <c r="C2501" s="28">
        <v>161.59495860640874</v>
      </c>
      <c r="E2501" s="14" t="s">
        <v>2808</v>
      </c>
      <c r="F2501" s="11">
        <v>168</v>
      </c>
    </row>
    <row r="2502" spans="2:6" x14ac:dyDescent="0.3">
      <c r="B2502" s="12">
        <v>2499</v>
      </c>
      <c r="C2502" s="28">
        <v>165.52897401444801</v>
      </c>
      <c r="E2502" s="14" t="s">
        <v>2932</v>
      </c>
      <c r="F2502" s="11">
        <v>172</v>
      </c>
    </row>
    <row r="2503" spans="2:6" x14ac:dyDescent="0.3">
      <c r="B2503" s="12">
        <v>2500</v>
      </c>
      <c r="C2503" s="28">
        <v>145.15642312374484</v>
      </c>
      <c r="E2503" s="14" t="s">
        <v>2925</v>
      </c>
      <c r="F2503" s="11">
        <v>161</v>
      </c>
    </row>
    <row r="2504" spans="2:6" x14ac:dyDescent="0.3">
      <c r="B2504" s="12">
        <v>2501</v>
      </c>
      <c r="C2504" s="28">
        <v>163.89133448662591</v>
      </c>
      <c r="E2504" s="14" t="s">
        <v>3974</v>
      </c>
      <c r="F2504" s="11">
        <v>168</v>
      </c>
    </row>
    <row r="2505" spans="2:6" x14ac:dyDescent="0.3">
      <c r="B2505" s="12">
        <v>2502</v>
      </c>
      <c r="C2505" s="28">
        <v>152.29051438742761</v>
      </c>
      <c r="E2505" s="14" t="s">
        <v>3051</v>
      </c>
      <c r="F2505" s="11">
        <v>190</v>
      </c>
    </row>
    <row r="2506" spans="2:6" x14ac:dyDescent="0.3">
      <c r="B2506" s="12">
        <v>2503</v>
      </c>
      <c r="C2506" s="28">
        <v>164.96127673700386</v>
      </c>
      <c r="E2506" s="14" t="s">
        <v>3094</v>
      </c>
      <c r="F2506" s="11">
        <v>170</v>
      </c>
    </row>
    <row r="2507" spans="2:6" x14ac:dyDescent="0.3">
      <c r="B2507" s="12">
        <v>2504</v>
      </c>
      <c r="C2507" s="28">
        <v>178.95418223002565</v>
      </c>
      <c r="E2507" s="14" t="s">
        <v>3180</v>
      </c>
      <c r="F2507" s="11">
        <v>186</v>
      </c>
    </row>
    <row r="2508" spans="2:6" x14ac:dyDescent="0.3">
      <c r="B2508" s="12">
        <v>2505</v>
      </c>
      <c r="C2508" s="28">
        <v>168.99481751194833</v>
      </c>
      <c r="E2508" s="14" t="s">
        <v>3527</v>
      </c>
      <c r="F2508" s="11">
        <v>185</v>
      </c>
    </row>
    <row r="2509" spans="2:6" x14ac:dyDescent="0.3">
      <c r="B2509" s="12">
        <v>2506</v>
      </c>
      <c r="C2509" s="28">
        <v>158.92008952730771</v>
      </c>
      <c r="E2509" s="14" t="s">
        <v>4410</v>
      </c>
      <c r="F2509" s="11">
        <v>164</v>
      </c>
    </row>
    <row r="2510" spans="2:6" x14ac:dyDescent="0.3">
      <c r="B2510" s="12">
        <v>2507</v>
      </c>
      <c r="C2510" s="28">
        <v>158.39766294420536</v>
      </c>
      <c r="E2510" s="14" t="s">
        <v>3765</v>
      </c>
      <c r="F2510" s="11">
        <v>169</v>
      </c>
    </row>
    <row r="2511" spans="2:6" x14ac:dyDescent="0.3">
      <c r="B2511" s="12">
        <v>2508</v>
      </c>
      <c r="C2511" s="28">
        <v>158.38862646036881</v>
      </c>
      <c r="E2511" s="14" t="s">
        <v>4034</v>
      </c>
      <c r="F2511" s="11">
        <v>170</v>
      </c>
    </row>
    <row r="2512" spans="2:6" x14ac:dyDescent="0.3">
      <c r="B2512" s="12">
        <v>2509</v>
      </c>
      <c r="C2512" s="28">
        <v>170.02339687159346</v>
      </c>
      <c r="E2512" s="14" t="s">
        <v>3813</v>
      </c>
      <c r="F2512" s="11">
        <v>167</v>
      </c>
    </row>
    <row r="2513" spans="2:6" x14ac:dyDescent="0.3">
      <c r="B2513" s="12">
        <v>2510</v>
      </c>
      <c r="C2513" s="28">
        <v>164.48095096075664</v>
      </c>
      <c r="E2513" s="14" t="s">
        <v>4280</v>
      </c>
      <c r="F2513" s="11">
        <v>175</v>
      </c>
    </row>
    <row r="2514" spans="2:6" x14ac:dyDescent="0.3">
      <c r="B2514" s="12">
        <v>2511</v>
      </c>
      <c r="C2514" s="28">
        <v>166.80996253810773</v>
      </c>
      <c r="E2514" s="14" t="s">
        <v>4504</v>
      </c>
      <c r="F2514" s="11">
        <v>172</v>
      </c>
    </row>
    <row r="2515" spans="2:6" x14ac:dyDescent="0.3">
      <c r="B2515" s="12">
        <v>2512</v>
      </c>
      <c r="C2515" s="28">
        <v>170.43612583319256</v>
      </c>
      <c r="E2515" s="14" t="s">
        <v>4539</v>
      </c>
      <c r="F2515" s="11">
        <v>173</v>
      </c>
    </row>
    <row r="2516" spans="2:6" x14ac:dyDescent="0.3">
      <c r="B2516" s="12">
        <v>2513</v>
      </c>
      <c r="C2516" s="28">
        <v>155.99518954387449</v>
      </c>
      <c r="E2516" s="14" t="s">
        <v>4634</v>
      </c>
      <c r="F2516" s="11">
        <v>160</v>
      </c>
    </row>
    <row r="2517" spans="2:6" x14ac:dyDescent="0.3">
      <c r="B2517" s="12">
        <v>2514</v>
      </c>
      <c r="C2517" s="28">
        <v>152.77987927865345</v>
      </c>
      <c r="E2517" s="14" t="s">
        <v>4706</v>
      </c>
      <c r="F2517" s="11">
        <v>175</v>
      </c>
    </row>
    <row r="2518" spans="2:6" x14ac:dyDescent="0.3">
      <c r="B2518" s="12">
        <v>2515</v>
      </c>
      <c r="C2518" s="28">
        <v>155.62572807078419</v>
      </c>
      <c r="E2518" s="14" t="s">
        <v>4893</v>
      </c>
      <c r="F2518" s="11">
        <v>160</v>
      </c>
    </row>
    <row r="2519" spans="2:6" x14ac:dyDescent="0.3">
      <c r="B2519" s="12">
        <v>2516</v>
      </c>
      <c r="C2519" s="28">
        <v>160.87849919837461</v>
      </c>
      <c r="E2519" s="14" t="s">
        <v>437</v>
      </c>
      <c r="F2519" s="11">
        <v>161</v>
      </c>
    </row>
    <row r="2520" spans="2:6" x14ac:dyDescent="0.3">
      <c r="B2520" s="12">
        <v>2517</v>
      </c>
      <c r="C2520" s="28">
        <v>154.58427249735865</v>
      </c>
      <c r="E2520" s="14" t="s">
        <v>469</v>
      </c>
      <c r="F2520" s="11">
        <v>178</v>
      </c>
    </row>
    <row r="2521" spans="2:6" x14ac:dyDescent="0.3">
      <c r="B2521" s="12">
        <v>2518</v>
      </c>
      <c r="C2521" s="28">
        <v>169.75901616553173</v>
      </c>
      <c r="E2521" s="14" t="s">
        <v>866</v>
      </c>
      <c r="F2521" s="11">
        <v>161</v>
      </c>
    </row>
    <row r="2522" spans="2:6" x14ac:dyDescent="0.3">
      <c r="B2522" s="12">
        <v>2519</v>
      </c>
      <c r="C2522" s="28">
        <v>164.47297866221891</v>
      </c>
      <c r="E2522" s="14" t="s">
        <v>1072</v>
      </c>
      <c r="F2522" s="11">
        <v>168</v>
      </c>
    </row>
    <row r="2523" spans="2:6" x14ac:dyDescent="0.3">
      <c r="B2523" s="12">
        <v>2520</v>
      </c>
      <c r="C2523" s="28">
        <v>145.46617349590883</v>
      </c>
      <c r="E2523" s="14" t="s">
        <v>1146</v>
      </c>
      <c r="F2523" s="11">
        <v>166</v>
      </c>
    </row>
    <row r="2524" spans="2:6" x14ac:dyDescent="0.3">
      <c r="B2524" s="12">
        <v>2521</v>
      </c>
      <c r="C2524" s="28">
        <v>166.60218114855903</v>
      </c>
      <c r="E2524" s="14" t="s">
        <v>1228</v>
      </c>
      <c r="F2524" s="11">
        <v>185</v>
      </c>
    </row>
    <row r="2525" spans="2:6" x14ac:dyDescent="0.3">
      <c r="B2525" s="12">
        <v>2522</v>
      </c>
      <c r="C2525" s="28">
        <v>157.90268746349639</v>
      </c>
      <c r="E2525" s="14" t="s">
        <v>2047</v>
      </c>
      <c r="F2525" s="11">
        <v>178</v>
      </c>
    </row>
    <row r="2526" spans="2:6" x14ac:dyDescent="0.3">
      <c r="B2526" s="12">
        <v>2523</v>
      </c>
      <c r="C2526" s="28">
        <v>148.90052637499198</v>
      </c>
      <c r="E2526" s="14" t="s">
        <v>519</v>
      </c>
      <c r="F2526" s="11">
        <v>183</v>
      </c>
    </row>
    <row r="2527" spans="2:6" x14ac:dyDescent="0.3">
      <c r="B2527" s="12">
        <v>2524</v>
      </c>
      <c r="C2527" s="28">
        <v>160.62302815603701</v>
      </c>
      <c r="E2527" s="14" t="s">
        <v>3590</v>
      </c>
      <c r="F2527" s="11">
        <v>178</v>
      </c>
    </row>
    <row r="2528" spans="2:6" x14ac:dyDescent="0.3">
      <c r="B2528" s="12">
        <v>2525</v>
      </c>
      <c r="C2528" s="28">
        <v>168.1945186181178</v>
      </c>
      <c r="E2528" s="14" t="s">
        <v>3610</v>
      </c>
      <c r="F2528" s="11">
        <v>176</v>
      </c>
    </row>
    <row r="2529" spans="2:6" x14ac:dyDescent="0.3">
      <c r="B2529" s="12">
        <v>2526</v>
      </c>
      <c r="C2529" s="28">
        <v>159.18304180253367</v>
      </c>
      <c r="E2529" s="14" t="s">
        <v>3850</v>
      </c>
      <c r="F2529" s="11">
        <v>180</v>
      </c>
    </row>
    <row r="2530" spans="2:6" x14ac:dyDescent="0.3">
      <c r="B2530" s="12">
        <v>2527</v>
      </c>
      <c r="C2530" s="28">
        <v>165.20963897182884</v>
      </c>
      <c r="E2530" s="14" t="s">
        <v>4029</v>
      </c>
      <c r="F2530" s="11">
        <v>170</v>
      </c>
    </row>
    <row r="2531" spans="2:6" x14ac:dyDescent="0.3">
      <c r="B2531" s="12">
        <v>2528</v>
      </c>
      <c r="C2531" s="28">
        <v>179.92624217472331</v>
      </c>
      <c r="E2531" s="14" t="s">
        <v>4718</v>
      </c>
      <c r="F2531" s="11">
        <v>180</v>
      </c>
    </row>
    <row r="2532" spans="2:6" x14ac:dyDescent="0.3">
      <c r="B2532" s="12">
        <v>2529</v>
      </c>
      <c r="C2532" s="28">
        <v>153.85755906032486</v>
      </c>
      <c r="E2532" s="14" t="s">
        <v>1667</v>
      </c>
      <c r="F2532" s="11">
        <v>152</v>
      </c>
    </row>
    <row r="2533" spans="2:6" x14ac:dyDescent="0.3">
      <c r="B2533" s="12">
        <v>2530</v>
      </c>
      <c r="C2533" s="28">
        <v>157.44157636691779</v>
      </c>
      <c r="E2533" s="14" t="s">
        <v>289</v>
      </c>
      <c r="F2533" s="11">
        <v>164</v>
      </c>
    </row>
    <row r="2534" spans="2:6" x14ac:dyDescent="0.3">
      <c r="B2534" s="12">
        <v>2531</v>
      </c>
      <c r="C2534" s="28">
        <v>146.42470457868663</v>
      </c>
      <c r="E2534" s="14" t="s">
        <v>542</v>
      </c>
      <c r="F2534" s="11">
        <v>158</v>
      </c>
    </row>
    <row r="2535" spans="2:6" x14ac:dyDescent="0.3">
      <c r="B2535" s="12">
        <v>2532</v>
      </c>
      <c r="C2535" s="28">
        <v>149.04888837465776</v>
      </c>
      <c r="E2535" s="14" t="s">
        <v>411</v>
      </c>
      <c r="F2535" s="11">
        <v>169</v>
      </c>
    </row>
    <row r="2536" spans="2:6" x14ac:dyDescent="0.3">
      <c r="B2536" s="12">
        <v>2533</v>
      </c>
      <c r="C2536" s="28">
        <v>150.0713343533551</v>
      </c>
      <c r="E2536" s="14" t="s">
        <v>2365</v>
      </c>
      <c r="F2536" s="11">
        <v>173</v>
      </c>
    </row>
    <row r="2537" spans="2:6" x14ac:dyDescent="0.3">
      <c r="B2537" s="12">
        <v>2534</v>
      </c>
      <c r="C2537" s="28">
        <v>164.07987536399528</v>
      </c>
      <c r="E2537" s="14" t="s">
        <v>4523</v>
      </c>
      <c r="F2537" s="11">
        <v>167</v>
      </c>
    </row>
    <row r="2538" spans="2:6" x14ac:dyDescent="0.3">
      <c r="B2538" s="12">
        <v>2535</v>
      </c>
      <c r="C2538" s="28">
        <v>160.95550936972606</v>
      </c>
      <c r="E2538" s="14" t="s">
        <v>2286</v>
      </c>
      <c r="F2538" s="11">
        <v>174</v>
      </c>
    </row>
    <row r="2539" spans="2:6" x14ac:dyDescent="0.3">
      <c r="B2539" s="12">
        <v>2536</v>
      </c>
      <c r="C2539" s="28">
        <v>166.54113345635523</v>
      </c>
      <c r="E2539" s="14" t="s">
        <v>4348</v>
      </c>
      <c r="F2539" s="11">
        <v>165</v>
      </c>
    </row>
    <row r="2540" spans="2:6" x14ac:dyDescent="0.3">
      <c r="B2540" s="12">
        <v>2537</v>
      </c>
      <c r="C2540" s="28">
        <v>158.33817061261954</v>
      </c>
      <c r="E2540" s="14" t="s">
        <v>1912</v>
      </c>
      <c r="F2540" s="11">
        <v>173</v>
      </c>
    </row>
    <row r="2541" spans="2:6" x14ac:dyDescent="0.3">
      <c r="B2541" s="12">
        <v>2538</v>
      </c>
      <c r="C2541" s="28">
        <v>161.15685846805144</v>
      </c>
      <c r="E2541" s="14" t="s">
        <v>2571</v>
      </c>
      <c r="F2541" s="11">
        <v>161</v>
      </c>
    </row>
    <row r="2542" spans="2:6" x14ac:dyDescent="0.3">
      <c r="B2542" s="12">
        <v>2539</v>
      </c>
      <c r="C2542" s="28">
        <v>148.66936391370643</v>
      </c>
      <c r="E2542" s="14" t="s">
        <v>2318</v>
      </c>
      <c r="F2542" s="11">
        <v>165</v>
      </c>
    </row>
    <row r="2543" spans="2:6" x14ac:dyDescent="0.3">
      <c r="B2543" s="12">
        <v>2540</v>
      </c>
      <c r="C2543" s="28">
        <v>161.97416441957571</v>
      </c>
      <c r="E2543" s="14" t="s">
        <v>2319</v>
      </c>
      <c r="F2543" s="11">
        <v>172</v>
      </c>
    </row>
    <row r="2544" spans="2:6" x14ac:dyDescent="0.3">
      <c r="B2544" s="12">
        <v>2541</v>
      </c>
      <c r="C2544" s="28">
        <v>159.51171317853834</v>
      </c>
      <c r="E2544" s="14" t="s">
        <v>939</v>
      </c>
      <c r="F2544" s="11">
        <v>168</v>
      </c>
    </row>
    <row r="2545" spans="2:6" x14ac:dyDescent="0.3">
      <c r="B2545" s="12">
        <v>2542</v>
      </c>
      <c r="C2545" s="28">
        <v>175.69015593706462</v>
      </c>
      <c r="E2545" s="14" t="s">
        <v>4806</v>
      </c>
      <c r="F2545" s="11">
        <v>173</v>
      </c>
    </row>
    <row r="2546" spans="2:6" x14ac:dyDescent="0.3">
      <c r="B2546" s="12">
        <v>2543</v>
      </c>
      <c r="C2546" s="28">
        <v>165.48666022905036</v>
      </c>
      <c r="E2546" s="14" t="s">
        <v>2091</v>
      </c>
      <c r="F2546" s="11">
        <v>167</v>
      </c>
    </row>
    <row r="2547" spans="2:6" x14ac:dyDescent="0.3">
      <c r="B2547" s="12">
        <v>2544</v>
      </c>
      <c r="C2547" s="28">
        <v>144.12402245544513</v>
      </c>
      <c r="E2547" s="14" t="s">
        <v>3008</v>
      </c>
      <c r="F2547" s="11">
        <v>173</v>
      </c>
    </row>
    <row r="2548" spans="2:6" x14ac:dyDescent="0.3">
      <c r="B2548" s="12">
        <v>2545</v>
      </c>
      <c r="C2548" s="28">
        <v>158.48940870025476</v>
      </c>
      <c r="E2548" s="14" t="s">
        <v>3090</v>
      </c>
      <c r="F2548" s="11">
        <v>173</v>
      </c>
    </row>
    <row r="2549" spans="2:6" x14ac:dyDescent="0.3">
      <c r="B2549" s="12">
        <v>2546</v>
      </c>
      <c r="C2549" s="28">
        <v>159.94004290588251</v>
      </c>
      <c r="E2549" s="14" t="s">
        <v>4030</v>
      </c>
      <c r="F2549" s="11">
        <v>178</v>
      </c>
    </row>
    <row r="2550" spans="2:6" x14ac:dyDescent="0.3">
      <c r="B2550" s="12">
        <v>2547</v>
      </c>
      <c r="C2550" s="28">
        <v>153.21468241248334</v>
      </c>
      <c r="E2550" s="14" t="s">
        <v>4022</v>
      </c>
      <c r="F2550" s="11">
        <v>165</v>
      </c>
    </row>
    <row r="2551" spans="2:6" x14ac:dyDescent="0.3">
      <c r="B2551" s="12">
        <v>2548</v>
      </c>
      <c r="C2551" s="28">
        <v>165.61702108374138</v>
      </c>
      <c r="E2551" s="14" t="s">
        <v>3553</v>
      </c>
      <c r="F2551" s="11">
        <v>155</v>
      </c>
    </row>
    <row r="2552" spans="2:6" x14ac:dyDescent="0.3">
      <c r="B2552" s="12">
        <v>2549</v>
      </c>
      <c r="C2552" s="28">
        <v>164.13346457667441</v>
      </c>
      <c r="E2552" s="14" t="s">
        <v>2330</v>
      </c>
      <c r="F2552" s="11">
        <v>159</v>
      </c>
    </row>
    <row r="2553" spans="2:6" x14ac:dyDescent="0.3">
      <c r="B2553" s="12">
        <v>2550</v>
      </c>
      <c r="C2553" s="28">
        <v>149.64111771015814</v>
      </c>
      <c r="E2553" s="14" t="s">
        <v>2331</v>
      </c>
      <c r="F2553" s="11">
        <v>163</v>
      </c>
    </row>
    <row r="2554" spans="2:6" x14ac:dyDescent="0.3">
      <c r="B2554" s="12">
        <v>2551</v>
      </c>
      <c r="C2554" s="28">
        <v>165.156952168228</v>
      </c>
      <c r="E2554" s="14" t="s">
        <v>2332</v>
      </c>
      <c r="F2554" s="11">
        <v>148</v>
      </c>
    </row>
    <row r="2555" spans="2:6" x14ac:dyDescent="0.3">
      <c r="B2555" s="12">
        <v>2552</v>
      </c>
      <c r="C2555" s="28">
        <v>167.51213898116603</v>
      </c>
      <c r="E2555" s="14" t="s">
        <v>2334</v>
      </c>
      <c r="F2555" s="11">
        <v>159</v>
      </c>
    </row>
    <row r="2556" spans="2:6" x14ac:dyDescent="0.3">
      <c r="B2556" s="12">
        <v>2553</v>
      </c>
      <c r="C2556" s="28">
        <v>156.59311587172431</v>
      </c>
      <c r="E2556" s="14" t="s">
        <v>2335</v>
      </c>
      <c r="F2556" s="11">
        <v>174</v>
      </c>
    </row>
    <row r="2557" spans="2:6" x14ac:dyDescent="0.3">
      <c r="B2557" s="12">
        <v>2554</v>
      </c>
      <c r="C2557" s="28">
        <v>162.28451709944824</v>
      </c>
      <c r="E2557" s="14" t="s">
        <v>2336</v>
      </c>
      <c r="F2557" s="11">
        <v>165</v>
      </c>
    </row>
    <row r="2558" spans="2:6" x14ac:dyDescent="0.3">
      <c r="B2558" s="12">
        <v>2555</v>
      </c>
      <c r="C2558" s="28">
        <v>164.98585007852051</v>
      </c>
      <c r="E2558" s="14" t="s">
        <v>2337</v>
      </c>
      <c r="F2558" s="11">
        <v>173</v>
      </c>
    </row>
    <row r="2559" spans="2:6" x14ac:dyDescent="0.3">
      <c r="B2559" s="12">
        <v>2556</v>
      </c>
      <c r="C2559" s="28">
        <v>154.13908457601693</v>
      </c>
      <c r="E2559" s="14" t="s">
        <v>2338</v>
      </c>
      <c r="F2559" s="11">
        <v>178</v>
      </c>
    </row>
    <row r="2560" spans="2:6" x14ac:dyDescent="0.3">
      <c r="B2560" s="12">
        <v>2557</v>
      </c>
      <c r="C2560" s="28">
        <v>155.2834457485163</v>
      </c>
      <c r="E2560" s="14" t="s">
        <v>2339</v>
      </c>
      <c r="F2560" s="11">
        <v>153</v>
      </c>
    </row>
    <row r="2561" spans="2:6" x14ac:dyDescent="0.3">
      <c r="B2561" s="12">
        <v>2558</v>
      </c>
      <c r="C2561" s="28">
        <v>157.66810982928379</v>
      </c>
      <c r="E2561" s="14" t="s">
        <v>2340</v>
      </c>
      <c r="F2561" s="11">
        <v>168</v>
      </c>
    </row>
    <row r="2562" spans="2:6" x14ac:dyDescent="0.3">
      <c r="B2562" s="12">
        <v>2559</v>
      </c>
      <c r="C2562" s="28">
        <v>156.27249743367318</v>
      </c>
      <c r="E2562" s="14" t="s">
        <v>2046</v>
      </c>
      <c r="F2562" s="11">
        <v>163</v>
      </c>
    </row>
    <row r="2563" spans="2:6" x14ac:dyDescent="0.3">
      <c r="B2563" s="12">
        <v>2560</v>
      </c>
      <c r="C2563" s="28">
        <v>152.82677914189392</v>
      </c>
      <c r="E2563" s="14" t="s">
        <v>2341</v>
      </c>
      <c r="F2563" s="11">
        <v>158</v>
      </c>
    </row>
    <row r="2564" spans="2:6" x14ac:dyDescent="0.3">
      <c r="B2564" s="12">
        <v>2561</v>
      </c>
      <c r="C2564" s="28">
        <v>164.01875721758387</v>
      </c>
      <c r="E2564" s="14" t="s">
        <v>2344</v>
      </c>
      <c r="F2564" s="11">
        <v>171</v>
      </c>
    </row>
    <row r="2565" spans="2:6" x14ac:dyDescent="0.3">
      <c r="B2565" s="12">
        <v>2562</v>
      </c>
      <c r="C2565" s="28">
        <v>174.52088271425478</v>
      </c>
      <c r="E2565" s="14" t="s">
        <v>2345</v>
      </c>
      <c r="F2565" s="11">
        <v>165</v>
      </c>
    </row>
    <row r="2566" spans="2:6" x14ac:dyDescent="0.3">
      <c r="B2566" s="12">
        <v>2563</v>
      </c>
      <c r="C2566" s="28">
        <v>161.21616592944491</v>
      </c>
      <c r="E2566" s="14" t="s">
        <v>2346</v>
      </c>
      <c r="F2566" s="11">
        <v>167</v>
      </c>
    </row>
    <row r="2567" spans="2:6" x14ac:dyDescent="0.3">
      <c r="B2567" s="12">
        <v>2564</v>
      </c>
      <c r="C2567" s="28">
        <v>158.8369443303246</v>
      </c>
      <c r="E2567" s="14" t="s">
        <v>2347</v>
      </c>
      <c r="F2567" s="11">
        <v>161</v>
      </c>
    </row>
    <row r="2568" spans="2:6" x14ac:dyDescent="0.3">
      <c r="B2568" s="12">
        <v>2565</v>
      </c>
      <c r="C2568" s="28">
        <v>156.80959517370593</v>
      </c>
      <c r="E2568" s="14" t="s">
        <v>3353</v>
      </c>
      <c r="F2568" s="11">
        <v>181</v>
      </c>
    </row>
    <row r="2569" spans="2:6" x14ac:dyDescent="0.3">
      <c r="B2569" s="12">
        <v>2566</v>
      </c>
      <c r="C2569" s="28">
        <v>168.8822489511268</v>
      </c>
      <c r="E2569" s="14" t="s">
        <v>3806</v>
      </c>
      <c r="F2569" s="11">
        <v>154</v>
      </c>
    </row>
    <row r="2570" spans="2:6" x14ac:dyDescent="0.3">
      <c r="B2570" s="12">
        <v>2567</v>
      </c>
      <c r="C2570" s="28">
        <v>146.18590323362531</v>
      </c>
      <c r="E2570" s="14" t="s">
        <v>540</v>
      </c>
      <c r="F2570" s="11">
        <v>169</v>
      </c>
    </row>
    <row r="2571" spans="2:6" x14ac:dyDescent="0.3">
      <c r="B2571" s="12">
        <v>2568</v>
      </c>
      <c r="C2571" s="28">
        <v>158.29544979673648</v>
      </c>
      <c r="E2571" s="14" t="s">
        <v>7</v>
      </c>
      <c r="F2571" s="11">
        <v>160</v>
      </c>
    </row>
    <row r="2572" spans="2:6" x14ac:dyDescent="0.3">
      <c r="B2572" s="12">
        <v>2569</v>
      </c>
      <c r="C2572" s="28">
        <v>166.02389267355207</v>
      </c>
      <c r="E2572" s="14" t="s">
        <v>2511</v>
      </c>
      <c r="F2572" s="11">
        <v>165</v>
      </c>
    </row>
    <row r="2573" spans="2:6" x14ac:dyDescent="0.3">
      <c r="B2573" s="12">
        <v>2570</v>
      </c>
      <c r="C2573" s="28">
        <v>170.73472113915315</v>
      </c>
      <c r="E2573" s="14" t="s">
        <v>2833</v>
      </c>
      <c r="F2573" s="11">
        <v>165</v>
      </c>
    </row>
    <row r="2574" spans="2:6" x14ac:dyDescent="0.3">
      <c r="B2574" s="12">
        <v>2571</v>
      </c>
      <c r="C2574" s="28">
        <v>165.74110894860959</v>
      </c>
      <c r="E2574" s="14" t="s">
        <v>593</v>
      </c>
      <c r="F2574" s="11">
        <v>153</v>
      </c>
    </row>
    <row r="2575" spans="2:6" x14ac:dyDescent="0.3">
      <c r="B2575" s="12">
        <v>2572</v>
      </c>
      <c r="C2575" s="28">
        <v>172.10524459352138</v>
      </c>
      <c r="E2575" s="14" t="s">
        <v>1440</v>
      </c>
      <c r="F2575" s="11">
        <v>171</v>
      </c>
    </row>
    <row r="2576" spans="2:6" x14ac:dyDescent="0.3">
      <c r="B2576" s="12">
        <v>2573</v>
      </c>
      <c r="C2576" s="28">
        <v>154.80498941459751</v>
      </c>
      <c r="E2576" s="14" t="s">
        <v>2206</v>
      </c>
      <c r="F2576" s="11">
        <v>174</v>
      </c>
    </row>
    <row r="2577" spans="2:6" x14ac:dyDescent="0.3">
      <c r="B2577" s="12">
        <v>2574</v>
      </c>
      <c r="C2577" s="28">
        <v>149.45129845335038</v>
      </c>
      <c r="E2577" s="14" t="s">
        <v>3859</v>
      </c>
      <c r="F2577" s="11">
        <v>179</v>
      </c>
    </row>
    <row r="2578" spans="2:6" x14ac:dyDescent="0.3">
      <c r="B2578" s="12">
        <v>2575</v>
      </c>
      <c r="C2578" s="28">
        <v>161.37518782581071</v>
      </c>
      <c r="E2578" s="14" t="s">
        <v>4461</v>
      </c>
      <c r="F2578" s="11">
        <v>174</v>
      </c>
    </row>
    <row r="2579" spans="2:6" x14ac:dyDescent="0.3">
      <c r="B2579" s="12">
        <v>2576</v>
      </c>
      <c r="C2579" s="28">
        <v>170.22066754554154</v>
      </c>
      <c r="E2579" s="14" t="s">
        <v>2236</v>
      </c>
      <c r="F2579" s="11">
        <v>165</v>
      </c>
    </row>
    <row r="2580" spans="2:6" x14ac:dyDescent="0.3">
      <c r="B2580" s="12">
        <v>2577</v>
      </c>
      <c r="C2580" s="28">
        <v>155.8292330148258</v>
      </c>
      <c r="E2580" s="14" t="s">
        <v>180</v>
      </c>
      <c r="F2580" s="11">
        <v>177</v>
      </c>
    </row>
    <row r="2581" spans="2:6" x14ac:dyDescent="0.3">
      <c r="B2581" s="12">
        <v>2578</v>
      </c>
      <c r="C2581" s="28">
        <v>159.99256468228884</v>
      </c>
      <c r="E2581" s="14" t="s">
        <v>4635</v>
      </c>
      <c r="F2581" s="11">
        <v>172</v>
      </c>
    </row>
    <row r="2582" spans="2:6" x14ac:dyDescent="0.3">
      <c r="B2582" s="12">
        <v>2579</v>
      </c>
      <c r="C2582" s="28">
        <v>157.59185003637316</v>
      </c>
      <c r="E2582" s="14" t="s">
        <v>2562</v>
      </c>
      <c r="F2582" s="11">
        <v>168</v>
      </c>
    </row>
    <row r="2583" spans="2:6" x14ac:dyDescent="0.3">
      <c r="B2583" s="12">
        <v>2580</v>
      </c>
      <c r="C2583" s="28">
        <v>153.17525424686153</v>
      </c>
      <c r="E2583" s="14" t="s">
        <v>29</v>
      </c>
      <c r="F2583" s="11">
        <v>162</v>
      </c>
    </row>
    <row r="2584" spans="2:6" x14ac:dyDescent="0.3">
      <c r="B2584" s="12">
        <v>2581</v>
      </c>
      <c r="C2584" s="28">
        <v>158.98782168213521</v>
      </c>
      <c r="E2584" s="14" t="s">
        <v>356</v>
      </c>
      <c r="F2584" s="11">
        <v>184</v>
      </c>
    </row>
    <row r="2585" spans="2:6" x14ac:dyDescent="0.3">
      <c r="B2585" s="12">
        <v>2582</v>
      </c>
      <c r="C2585" s="28">
        <v>166.76503325112901</v>
      </c>
      <c r="E2585" s="14" t="s">
        <v>2231</v>
      </c>
      <c r="F2585" s="11">
        <v>175</v>
      </c>
    </row>
    <row r="2586" spans="2:6" x14ac:dyDescent="0.3">
      <c r="B2586" s="12">
        <v>2583</v>
      </c>
      <c r="C2586" s="28">
        <v>162.37927697041732</v>
      </c>
      <c r="E2586" s="14" t="s">
        <v>2567</v>
      </c>
      <c r="F2586" s="11">
        <v>163</v>
      </c>
    </row>
    <row r="2587" spans="2:6" x14ac:dyDescent="0.3">
      <c r="B2587" s="12">
        <v>2584</v>
      </c>
      <c r="C2587" s="28">
        <v>162.65069333989365</v>
      </c>
      <c r="E2587" s="14" t="s">
        <v>3672</v>
      </c>
      <c r="F2587" s="11">
        <v>180</v>
      </c>
    </row>
    <row r="2588" spans="2:6" x14ac:dyDescent="0.3">
      <c r="B2588" s="12">
        <v>2585</v>
      </c>
      <c r="C2588" s="28">
        <v>164.43991909749082</v>
      </c>
      <c r="E2588" s="14" t="s">
        <v>2545</v>
      </c>
      <c r="F2588" s="11">
        <v>180</v>
      </c>
    </row>
    <row r="2589" spans="2:6" x14ac:dyDescent="0.3">
      <c r="B2589" s="12">
        <v>2586</v>
      </c>
      <c r="C2589" s="28">
        <v>170.35756733614627</v>
      </c>
      <c r="E2589" s="14" t="s">
        <v>1946</v>
      </c>
      <c r="F2589" s="11">
        <v>180</v>
      </c>
    </row>
    <row r="2590" spans="2:6" x14ac:dyDescent="0.3">
      <c r="B2590" s="12">
        <v>2587</v>
      </c>
      <c r="C2590" s="28">
        <v>144.11244601856376</v>
      </c>
      <c r="E2590" s="14" t="s">
        <v>1654</v>
      </c>
      <c r="F2590" s="11">
        <v>153</v>
      </c>
    </row>
    <row r="2591" spans="2:6" x14ac:dyDescent="0.3">
      <c r="B2591" s="12">
        <v>2588</v>
      </c>
      <c r="C2591" s="28">
        <v>177.53108134026888</v>
      </c>
      <c r="E2591" s="14" t="s">
        <v>4332</v>
      </c>
      <c r="F2591" s="11">
        <v>160</v>
      </c>
    </row>
    <row r="2592" spans="2:6" x14ac:dyDescent="0.3">
      <c r="B2592" s="12">
        <v>2589</v>
      </c>
      <c r="C2592" s="28">
        <v>161.22021787578626</v>
      </c>
      <c r="E2592" s="14" t="s">
        <v>497</v>
      </c>
      <c r="F2592" s="11">
        <v>186</v>
      </c>
    </row>
    <row r="2593" spans="2:6" x14ac:dyDescent="0.3">
      <c r="B2593" s="12">
        <v>2590</v>
      </c>
      <c r="C2593" s="28">
        <v>163.52243615758354</v>
      </c>
      <c r="E2593" s="14" t="s">
        <v>959</v>
      </c>
      <c r="F2593" s="11">
        <v>165</v>
      </c>
    </row>
    <row r="2594" spans="2:6" x14ac:dyDescent="0.3">
      <c r="B2594" s="12">
        <v>2591</v>
      </c>
      <c r="C2594" s="28">
        <v>159.54019888780888</v>
      </c>
      <c r="E2594" s="14" t="s">
        <v>3692</v>
      </c>
      <c r="F2594" s="11">
        <v>177</v>
      </c>
    </row>
    <row r="2595" spans="2:6" x14ac:dyDescent="0.3">
      <c r="B2595" s="12">
        <v>2592</v>
      </c>
      <c r="C2595" s="28">
        <v>159.2740982228317</v>
      </c>
      <c r="E2595" s="14" t="s">
        <v>4074</v>
      </c>
      <c r="F2595" s="11">
        <v>179</v>
      </c>
    </row>
    <row r="2596" spans="2:6" x14ac:dyDescent="0.3">
      <c r="B2596" s="12">
        <v>2593</v>
      </c>
      <c r="C2596" s="28">
        <v>166.11669331996643</v>
      </c>
      <c r="E2596" s="14" t="s">
        <v>2913</v>
      </c>
      <c r="F2596" s="11">
        <v>170</v>
      </c>
    </row>
    <row r="2597" spans="2:6" x14ac:dyDescent="0.3">
      <c r="B2597" s="12">
        <v>2594</v>
      </c>
      <c r="C2597" s="28">
        <v>172.37238305348473</v>
      </c>
      <c r="E2597" s="14" t="s">
        <v>4047</v>
      </c>
      <c r="F2597" s="11">
        <v>168</v>
      </c>
    </row>
    <row r="2598" spans="2:6" x14ac:dyDescent="0.3">
      <c r="B2598" s="12">
        <v>2595</v>
      </c>
      <c r="C2598" s="28">
        <v>172.13709411297287</v>
      </c>
      <c r="E2598" s="14" t="s">
        <v>2009</v>
      </c>
      <c r="F2598" s="11">
        <v>168</v>
      </c>
    </row>
    <row r="2599" spans="2:6" x14ac:dyDescent="0.3">
      <c r="B2599" s="12">
        <v>2596</v>
      </c>
      <c r="C2599" s="28">
        <v>167.86479577862193</v>
      </c>
      <c r="E2599" s="14" t="s">
        <v>3548</v>
      </c>
      <c r="F2599" s="11">
        <v>187</v>
      </c>
    </row>
    <row r="2600" spans="2:6" x14ac:dyDescent="0.3">
      <c r="B2600" s="12">
        <v>2597</v>
      </c>
      <c r="C2600" s="28">
        <v>167.10277324793697</v>
      </c>
      <c r="E2600" s="14" t="s">
        <v>4247</v>
      </c>
      <c r="F2600" s="11">
        <v>171</v>
      </c>
    </row>
    <row r="2601" spans="2:6" x14ac:dyDescent="0.3">
      <c r="B2601" s="12">
        <v>2598</v>
      </c>
      <c r="C2601" s="28">
        <v>153.00043162159056</v>
      </c>
      <c r="E2601" s="14" t="s">
        <v>2377</v>
      </c>
      <c r="F2601" s="11">
        <v>155</v>
      </c>
    </row>
    <row r="2602" spans="2:6" x14ac:dyDescent="0.3">
      <c r="B2602" s="12">
        <v>2599</v>
      </c>
      <c r="C2602" s="28">
        <v>167.29772027731292</v>
      </c>
      <c r="E2602" s="14" t="s">
        <v>2378</v>
      </c>
      <c r="F2602" s="11">
        <v>170</v>
      </c>
    </row>
    <row r="2603" spans="2:6" x14ac:dyDescent="0.3">
      <c r="B2603" s="12">
        <v>2600</v>
      </c>
      <c r="C2603" s="28">
        <v>155.42272408605714</v>
      </c>
      <c r="E2603" s="14" t="s">
        <v>2379</v>
      </c>
      <c r="F2603" s="11">
        <v>175</v>
      </c>
    </row>
    <row r="2604" spans="2:6" x14ac:dyDescent="0.3">
      <c r="B2604" s="12">
        <v>2601</v>
      </c>
      <c r="C2604" s="28">
        <v>177.85144189543198</v>
      </c>
      <c r="E2604" s="14" t="s">
        <v>2381</v>
      </c>
      <c r="F2604" s="11">
        <v>168</v>
      </c>
    </row>
    <row r="2605" spans="2:6" x14ac:dyDescent="0.3">
      <c r="B2605" s="12">
        <v>2602</v>
      </c>
      <c r="C2605" s="28">
        <v>169.07301749024907</v>
      </c>
      <c r="E2605" s="14" t="s">
        <v>2383</v>
      </c>
      <c r="F2605" s="11">
        <v>168</v>
      </c>
    </row>
    <row r="2606" spans="2:6" x14ac:dyDescent="0.3">
      <c r="B2606" s="12">
        <v>2603</v>
      </c>
      <c r="C2606" s="28">
        <v>163.74843882105537</v>
      </c>
      <c r="E2606" s="14" t="s">
        <v>2385</v>
      </c>
      <c r="F2606" s="11">
        <v>185</v>
      </c>
    </row>
    <row r="2607" spans="2:6" x14ac:dyDescent="0.3">
      <c r="B2607" s="12">
        <v>2604</v>
      </c>
      <c r="C2607" s="28">
        <v>161.59299424783654</v>
      </c>
      <c r="E2607" s="14" t="s">
        <v>2386</v>
      </c>
      <c r="F2607" s="11">
        <v>174</v>
      </c>
    </row>
    <row r="2608" spans="2:6" x14ac:dyDescent="0.3">
      <c r="B2608" s="12">
        <v>2605</v>
      </c>
      <c r="C2608" s="28">
        <v>168.21945514604295</v>
      </c>
      <c r="E2608" s="14" t="s">
        <v>2387</v>
      </c>
      <c r="F2608" s="11">
        <v>160</v>
      </c>
    </row>
    <row r="2609" spans="2:6" x14ac:dyDescent="0.3">
      <c r="B2609" s="12">
        <v>2606</v>
      </c>
      <c r="C2609" s="28">
        <v>150.98532168592416</v>
      </c>
      <c r="E2609" s="14" t="s">
        <v>748</v>
      </c>
      <c r="F2609" s="11">
        <v>178</v>
      </c>
    </row>
    <row r="2610" spans="2:6" x14ac:dyDescent="0.3">
      <c r="B2610" s="12">
        <v>2607</v>
      </c>
      <c r="C2610" s="28">
        <v>157.90825414117683</v>
      </c>
      <c r="E2610" s="14" t="s">
        <v>2390</v>
      </c>
      <c r="F2610" s="11">
        <v>180</v>
      </c>
    </row>
    <row r="2611" spans="2:6" x14ac:dyDescent="0.3">
      <c r="B2611" s="12">
        <v>2608</v>
      </c>
      <c r="C2611" s="28">
        <v>165.66434182037301</v>
      </c>
      <c r="E2611" s="14" t="s">
        <v>2392</v>
      </c>
      <c r="F2611" s="11">
        <v>178</v>
      </c>
    </row>
    <row r="2612" spans="2:6" x14ac:dyDescent="0.3">
      <c r="B2612" s="12">
        <v>2609</v>
      </c>
      <c r="C2612" s="28">
        <v>160.30673778990985</v>
      </c>
      <c r="E2612" s="14" t="s">
        <v>2393</v>
      </c>
      <c r="F2612" s="11">
        <v>162</v>
      </c>
    </row>
    <row r="2613" spans="2:6" x14ac:dyDescent="0.3">
      <c r="B2613" s="12">
        <v>2610</v>
      </c>
      <c r="C2613" s="28">
        <v>151.46735262590582</v>
      </c>
      <c r="E2613" s="14" t="s">
        <v>2394</v>
      </c>
      <c r="F2613" s="11">
        <v>167</v>
      </c>
    </row>
    <row r="2614" spans="2:6" x14ac:dyDescent="0.3">
      <c r="B2614" s="12">
        <v>2611</v>
      </c>
      <c r="C2614" s="28">
        <v>149.78919452808367</v>
      </c>
      <c r="E2614" s="14" t="s">
        <v>2395</v>
      </c>
      <c r="F2614" s="11">
        <v>174</v>
      </c>
    </row>
    <row r="2615" spans="2:6" x14ac:dyDescent="0.3">
      <c r="B2615" s="12">
        <v>2612</v>
      </c>
      <c r="C2615" s="28">
        <v>168.39525732852726</v>
      </c>
      <c r="E2615" s="14" t="s">
        <v>2397</v>
      </c>
      <c r="F2615" s="11">
        <v>175</v>
      </c>
    </row>
    <row r="2616" spans="2:6" x14ac:dyDescent="0.3">
      <c r="B2616" s="12">
        <v>2613</v>
      </c>
      <c r="C2616" s="28">
        <v>176.8900978442791</v>
      </c>
      <c r="E2616" s="14" t="s">
        <v>2398</v>
      </c>
      <c r="F2616" s="11">
        <v>151</v>
      </c>
    </row>
    <row r="2617" spans="2:6" x14ac:dyDescent="0.3">
      <c r="B2617" s="12">
        <v>2614</v>
      </c>
      <c r="C2617" s="28">
        <v>168.72199714017208</v>
      </c>
      <c r="E2617" s="14" t="s">
        <v>2399</v>
      </c>
      <c r="F2617" s="11">
        <v>170</v>
      </c>
    </row>
    <row r="2618" spans="2:6" x14ac:dyDescent="0.3">
      <c r="B2618" s="12">
        <v>2615</v>
      </c>
      <c r="C2618" s="28">
        <v>166.72145833759626</v>
      </c>
      <c r="E2618" s="14" t="s">
        <v>2400</v>
      </c>
      <c r="F2618" s="11">
        <v>170</v>
      </c>
    </row>
    <row r="2619" spans="2:6" x14ac:dyDescent="0.3">
      <c r="B2619" s="12">
        <v>2616</v>
      </c>
      <c r="C2619" s="28">
        <v>165.28457245456886</v>
      </c>
      <c r="E2619" s="14" t="s">
        <v>3980</v>
      </c>
      <c r="F2619" s="11">
        <v>169</v>
      </c>
    </row>
    <row r="2620" spans="2:6" x14ac:dyDescent="0.3">
      <c r="B2620" s="12">
        <v>2617</v>
      </c>
      <c r="C2620" s="28">
        <v>163.71903308081463</v>
      </c>
      <c r="E2620" s="14" t="s">
        <v>3007</v>
      </c>
      <c r="F2620" s="11">
        <v>178</v>
      </c>
    </row>
    <row r="2621" spans="2:6" x14ac:dyDescent="0.3">
      <c r="B2621" s="12">
        <v>2618</v>
      </c>
      <c r="C2621" s="28">
        <v>140.07733570052267</v>
      </c>
      <c r="E2621" s="14" t="s">
        <v>3473</v>
      </c>
      <c r="F2621" s="11">
        <v>166</v>
      </c>
    </row>
    <row r="2622" spans="2:6" x14ac:dyDescent="0.3">
      <c r="B2622" s="12">
        <v>2619</v>
      </c>
      <c r="C2622" s="28">
        <v>163.8818937444907</v>
      </c>
      <c r="E2622" s="14" t="s">
        <v>3764</v>
      </c>
      <c r="F2622" s="11">
        <v>169</v>
      </c>
    </row>
    <row r="2623" spans="2:6" x14ac:dyDescent="0.3">
      <c r="B2623" s="12">
        <v>2620</v>
      </c>
      <c r="C2623" s="28">
        <v>161.67738466282478</v>
      </c>
      <c r="E2623" s="14" t="s">
        <v>2402</v>
      </c>
      <c r="F2623" s="11">
        <v>166</v>
      </c>
    </row>
    <row r="2624" spans="2:6" x14ac:dyDescent="0.3">
      <c r="B2624" s="12">
        <v>2621</v>
      </c>
      <c r="C2624" s="28">
        <v>162.26675471845999</v>
      </c>
      <c r="E2624" s="14" t="s">
        <v>2403</v>
      </c>
      <c r="F2624" s="11">
        <v>156</v>
      </c>
    </row>
    <row r="2625" spans="2:6" x14ac:dyDescent="0.3">
      <c r="B2625" s="12">
        <v>2622</v>
      </c>
      <c r="C2625" s="28">
        <v>161.85074645083733</v>
      </c>
      <c r="E2625" s="14" t="s">
        <v>2404</v>
      </c>
      <c r="F2625" s="11">
        <v>163</v>
      </c>
    </row>
    <row r="2626" spans="2:6" x14ac:dyDescent="0.3">
      <c r="B2626" s="12">
        <v>2623</v>
      </c>
      <c r="C2626" s="28">
        <v>169.1582597360881</v>
      </c>
      <c r="E2626" s="14" t="s">
        <v>2405</v>
      </c>
      <c r="F2626" s="11">
        <v>171</v>
      </c>
    </row>
    <row r="2627" spans="2:6" x14ac:dyDescent="0.3">
      <c r="B2627" s="12">
        <v>2624</v>
      </c>
      <c r="C2627" s="28">
        <v>172.81120348316063</v>
      </c>
      <c r="E2627" s="14" t="s">
        <v>4190</v>
      </c>
      <c r="F2627" s="11">
        <v>165</v>
      </c>
    </row>
    <row r="2628" spans="2:6" x14ac:dyDescent="0.3">
      <c r="B2628" s="12">
        <v>2625</v>
      </c>
      <c r="C2628" s="28">
        <v>164.16070737805458</v>
      </c>
      <c r="E2628" s="14" t="s">
        <v>4245</v>
      </c>
      <c r="F2628" s="11">
        <v>160</v>
      </c>
    </row>
    <row r="2629" spans="2:6" x14ac:dyDescent="0.3">
      <c r="B2629" s="12">
        <v>2626</v>
      </c>
      <c r="C2629" s="28">
        <v>174.62131338504</v>
      </c>
      <c r="E2629" s="14" t="s">
        <v>1494</v>
      </c>
      <c r="F2629" s="11">
        <v>175</v>
      </c>
    </row>
    <row r="2630" spans="2:6" x14ac:dyDescent="0.3">
      <c r="B2630" s="12">
        <v>2627</v>
      </c>
      <c r="C2630" s="28">
        <v>162.88668523797952</v>
      </c>
      <c r="E2630" s="14" t="s">
        <v>1845</v>
      </c>
      <c r="F2630" s="11">
        <v>163</v>
      </c>
    </row>
    <row r="2631" spans="2:6" x14ac:dyDescent="0.3">
      <c r="B2631" s="12">
        <v>2628</v>
      </c>
      <c r="C2631" s="28">
        <v>165.12351830704762</v>
      </c>
      <c r="E2631" s="14" t="s">
        <v>1668</v>
      </c>
      <c r="F2631" s="11">
        <v>168</v>
      </c>
    </row>
    <row r="2632" spans="2:6" x14ac:dyDescent="0.3">
      <c r="B2632" s="12">
        <v>2629</v>
      </c>
      <c r="C2632" s="28">
        <v>154.31748088861605</v>
      </c>
      <c r="E2632" s="14" t="s">
        <v>4692</v>
      </c>
      <c r="F2632" s="11">
        <v>170</v>
      </c>
    </row>
    <row r="2633" spans="2:6" x14ac:dyDescent="0.3">
      <c r="B2633" s="12">
        <v>2630</v>
      </c>
      <c r="C2633" s="28">
        <v>151.10510370791715</v>
      </c>
      <c r="E2633" s="14" t="s">
        <v>4486</v>
      </c>
      <c r="F2633" s="11">
        <v>169</v>
      </c>
    </row>
    <row r="2634" spans="2:6" x14ac:dyDescent="0.3">
      <c r="B2634" s="12">
        <v>2631</v>
      </c>
      <c r="C2634" s="28">
        <v>157.39860784685371</v>
      </c>
      <c r="E2634" s="14" t="s">
        <v>2477</v>
      </c>
      <c r="F2634" s="11">
        <v>178</v>
      </c>
    </row>
    <row r="2635" spans="2:6" x14ac:dyDescent="0.3">
      <c r="B2635" s="12">
        <v>2632</v>
      </c>
      <c r="C2635" s="28">
        <v>157.44182205080816</v>
      </c>
      <c r="E2635" s="14" t="s">
        <v>3969</v>
      </c>
      <c r="F2635" s="11">
        <v>183</v>
      </c>
    </row>
    <row r="2636" spans="2:6" x14ac:dyDescent="0.3">
      <c r="B2636" s="12">
        <v>2633</v>
      </c>
      <c r="C2636" s="28">
        <v>160.24552529219386</v>
      </c>
      <c r="E2636" s="14" t="s">
        <v>4700</v>
      </c>
      <c r="F2636" s="11">
        <v>167</v>
      </c>
    </row>
    <row r="2637" spans="2:6" x14ac:dyDescent="0.3">
      <c r="B2637" s="12">
        <v>2634</v>
      </c>
      <c r="C2637" s="28">
        <v>153.46504035431127</v>
      </c>
      <c r="E2637" s="14" t="s">
        <v>2409</v>
      </c>
      <c r="F2637" s="11">
        <v>168</v>
      </c>
    </row>
    <row r="2638" spans="2:6" x14ac:dyDescent="0.3">
      <c r="B2638" s="12">
        <v>2635</v>
      </c>
      <c r="C2638" s="28">
        <v>152.65739137716085</v>
      </c>
      <c r="E2638" s="14" t="s">
        <v>3729</v>
      </c>
      <c r="F2638" s="11">
        <v>183</v>
      </c>
    </row>
    <row r="2639" spans="2:6" x14ac:dyDescent="0.3">
      <c r="B2639" s="12">
        <v>2636</v>
      </c>
      <c r="C2639" s="28">
        <v>166.03399348701615</v>
      </c>
      <c r="E2639" s="14" t="s">
        <v>2258</v>
      </c>
      <c r="F2639" s="11">
        <v>174</v>
      </c>
    </row>
    <row r="2640" spans="2:6" x14ac:dyDescent="0.3">
      <c r="B2640" s="12">
        <v>2637</v>
      </c>
      <c r="C2640" s="28">
        <v>162.36809636148013</v>
      </c>
      <c r="E2640" s="14" t="s">
        <v>2512</v>
      </c>
      <c r="F2640" s="11">
        <v>164</v>
      </c>
    </row>
    <row r="2641" spans="2:6" x14ac:dyDescent="0.3">
      <c r="B2641" s="12">
        <v>2638</v>
      </c>
      <c r="C2641" s="28">
        <v>163.66219429514447</v>
      </c>
      <c r="E2641" s="14" t="s">
        <v>1265</v>
      </c>
      <c r="F2641" s="11">
        <v>170</v>
      </c>
    </row>
    <row r="2642" spans="2:6" x14ac:dyDescent="0.3">
      <c r="B2642" s="12">
        <v>2639</v>
      </c>
      <c r="C2642" s="28">
        <v>156.71629870210313</v>
      </c>
      <c r="E2642" s="14" t="s">
        <v>680</v>
      </c>
      <c r="F2642" s="11">
        <v>164</v>
      </c>
    </row>
    <row r="2643" spans="2:6" x14ac:dyDescent="0.3">
      <c r="B2643" s="12">
        <v>2640</v>
      </c>
      <c r="C2643" s="28">
        <v>172.5571567338919</v>
      </c>
      <c r="E2643" s="14" t="s">
        <v>946</v>
      </c>
      <c r="F2643" s="11">
        <v>164</v>
      </c>
    </row>
    <row r="2644" spans="2:6" x14ac:dyDescent="0.3">
      <c r="B2644" s="12">
        <v>2641</v>
      </c>
      <c r="C2644" s="28">
        <v>152.78107801363112</v>
      </c>
      <c r="E2644" s="14" t="s">
        <v>4561</v>
      </c>
      <c r="F2644" s="11">
        <v>180</v>
      </c>
    </row>
    <row r="2645" spans="2:6" x14ac:dyDescent="0.3">
      <c r="B2645" s="12">
        <v>2642</v>
      </c>
      <c r="C2645" s="28">
        <v>172.09799933634469</v>
      </c>
      <c r="E2645" s="14" t="s">
        <v>3028</v>
      </c>
      <c r="F2645" s="11">
        <v>166</v>
      </c>
    </row>
    <row r="2646" spans="2:6" x14ac:dyDescent="0.3">
      <c r="B2646" s="12">
        <v>2643</v>
      </c>
      <c r="C2646" s="28">
        <v>176.08197846680409</v>
      </c>
      <c r="E2646" s="14" t="s">
        <v>1237</v>
      </c>
      <c r="F2646" s="11">
        <v>178</v>
      </c>
    </row>
    <row r="2647" spans="2:6" x14ac:dyDescent="0.3">
      <c r="B2647" s="12">
        <v>2644</v>
      </c>
      <c r="C2647" s="28">
        <v>175.22054976751659</v>
      </c>
      <c r="E2647" s="14" t="s">
        <v>1784</v>
      </c>
      <c r="F2647" s="11">
        <v>180</v>
      </c>
    </row>
    <row r="2648" spans="2:6" x14ac:dyDescent="0.3">
      <c r="B2648" s="12">
        <v>2645</v>
      </c>
      <c r="C2648" s="28">
        <v>169.19836425681288</v>
      </c>
      <c r="E2648" s="14" t="s">
        <v>2822</v>
      </c>
      <c r="F2648" s="11">
        <v>158</v>
      </c>
    </row>
    <row r="2649" spans="2:6" x14ac:dyDescent="0.3">
      <c r="B2649" s="12">
        <v>2646</v>
      </c>
      <c r="C2649" s="28">
        <v>160.26340369236792</v>
      </c>
      <c r="E2649" s="14" t="s">
        <v>4206</v>
      </c>
      <c r="F2649" s="11">
        <v>176</v>
      </c>
    </row>
    <row r="2650" spans="2:6" x14ac:dyDescent="0.3">
      <c r="B2650" s="12">
        <v>2647</v>
      </c>
      <c r="C2650" s="28">
        <v>160.14751669931331</v>
      </c>
      <c r="E2650" s="14" t="s">
        <v>1610</v>
      </c>
      <c r="F2650" s="11">
        <v>164</v>
      </c>
    </row>
    <row r="2651" spans="2:6" x14ac:dyDescent="0.3">
      <c r="B2651" s="12">
        <v>2648</v>
      </c>
      <c r="C2651" s="28">
        <v>154.0433486056051</v>
      </c>
      <c r="E2651" s="14" t="s">
        <v>2086</v>
      </c>
      <c r="F2651" s="11">
        <v>175</v>
      </c>
    </row>
    <row r="2652" spans="2:6" x14ac:dyDescent="0.3">
      <c r="B2652" s="12">
        <v>2649</v>
      </c>
      <c r="C2652" s="28">
        <v>168.87019016761678</v>
      </c>
      <c r="E2652" s="14" t="s">
        <v>4907</v>
      </c>
      <c r="F2652" s="11">
        <v>166</v>
      </c>
    </row>
    <row r="2653" spans="2:6" x14ac:dyDescent="0.3">
      <c r="B2653" s="12">
        <v>2650</v>
      </c>
      <c r="C2653" s="28">
        <v>160.23062307191228</v>
      </c>
      <c r="E2653" s="14" t="s">
        <v>3219</v>
      </c>
      <c r="F2653" s="11">
        <v>170</v>
      </c>
    </row>
    <row r="2654" spans="2:6" x14ac:dyDescent="0.3">
      <c r="B2654" s="12">
        <v>2651</v>
      </c>
      <c r="C2654" s="28">
        <v>161.94462973289768</v>
      </c>
      <c r="E2654" s="14" t="s">
        <v>2513</v>
      </c>
      <c r="F2654" s="11">
        <v>163</v>
      </c>
    </row>
    <row r="2655" spans="2:6" x14ac:dyDescent="0.3">
      <c r="B2655" s="12">
        <v>2652</v>
      </c>
      <c r="C2655" s="28">
        <v>169.656925909324</v>
      </c>
      <c r="E2655" s="14" t="s">
        <v>2995</v>
      </c>
      <c r="F2655" s="11">
        <v>169</v>
      </c>
    </row>
    <row r="2656" spans="2:6" x14ac:dyDescent="0.3">
      <c r="B2656" s="12">
        <v>2653</v>
      </c>
      <c r="C2656" s="28">
        <v>159.92093716157819</v>
      </c>
      <c r="E2656" s="14" t="s">
        <v>2420</v>
      </c>
      <c r="F2656" s="11">
        <v>171</v>
      </c>
    </row>
    <row r="2657" spans="2:6" x14ac:dyDescent="0.3">
      <c r="B2657" s="12">
        <v>2654</v>
      </c>
      <c r="C2657" s="28">
        <v>167.91675868234333</v>
      </c>
      <c r="E2657" s="14" t="s">
        <v>2421</v>
      </c>
      <c r="F2657" s="11">
        <v>174</v>
      </c>
    </row>
    <row r="2658" spans="2:6" x14ac:dyDescent="0.3">
      <c r="B2658" s="12">
        <v>2655</v>
      </c>
      <c r="C2658" s="28">
        <v>154.49854904768065</v>
      </c>
      <c r="E2658" s="14" t="s">
        <v>2422</v>
      </c>
      <c r="F2658" s="11">
        <v>164</v>
      </c>
    </row>
    <row r="2659" spans="2:6" x14ac:dyDescent="0.3">
      <c r="B2659" s="12">
        <v>2656</v>
      </c>
      <c r="C2659" s="28">
        <v>159.396155057351</v>
      </c>
      <c r="E2659" s="14" t="s">
        <v>2423</v>
      </c>
      <c r="F2659" s="11">
        <v>160</v>
      </c>
    </row>
    <row r="2660" spans="2:6" x14ac:dyDescent="0.3">
      <c r="B2660" s="12">
        <v>2657</v>
      </c>
      <c r="C2660" s="28">
        <v>156.05569730045488</v>
      </c>
      <c r="E2660" s="14" t="s">
        <v>2424</v>
      </c>
      <c r="F2660" s="11">
        <v>168</v>
      </c>
    </row>
    <row r="2661" spans="2:6" x14ac:dyDescent="0.3">
      <c r="B2661" s="12">
        <v>2658</v>
      </c>
      <c r="C2661" s="28">
        <v>157.78472026881022</v>
      </c>
      <c r="E2661" s="14" t="s">
        <v>2425</v>
      </c>
      <c r="F2661" s="11">
        <v>161</v>
      </c>
    </row>
    <row r="2662" spans="2:6" x14ac:dyDescent="0.3">
      <c r="B2662" s="12">
        <v>2659</v>
      </c>
      <c r="C2662" s="28">
        <v>147.54122167424106</v>
      </c>
      <c r="E2662" s="14" t="s">
        <v>3767</v>
      </c>
      <c r="F2662" s="11">
        <v>184</v>
      </c>
    </row>
    <row r="2663" spans="2:6" x14ac:dyDescent="0.3">
      <c r="B2663" s="12">
        <v>2660</v>
      </c>
      <c r="C2663" s="28">
        <v>154.14286534785694</v>
      </c>
      <c r="E2663" s="14" t="s">
        <v>1523</v>
      </c>
      <c r="F2663" s="11">
        <v>175</v>
      </c>
    </row>
    <row r="2664" spans="2:6" x14ac:dyDescent="0.3">
      <c r="B2664" s="12">
        <v>2661</v>
      </c>
      <c r="C2664" s="28">
        <v>158.46660144506546</v>
      </c>
      <c r="E2664" s="14" t="s">
        <v>3639</v>
      </c>
      <c r="F2664" s="11">
        <v>159</v>
      </c>
    </row>
    <row r="2665" spans="2:6" x14ac:dyDescent="0.3">
      <c r="B2665" s="12">
        <v>2662</v>
      </c>
      <c r="C2665" s="28">
        <v>168.11358941755458</v>
      </c>
      <c r="E2665" s="14" t="s">
        <v>3894</v>
      </c>
      <c r="F2665" s="11">
        <v>175</v>
      </c>
    </row>
    <row r="2666" spans="2:6" x14ac:dyDescent="0.3">
      <c r="B2666" s="12">
        <v>2663</v>
      </c>
      <c r="C2666" s="28">
        <v>156.64994034935378</v>
      </c>
      <c r="E2666" s="14" t="s">
        <v>478</v>
      </c>
      <c r="F2666" s="11">
        <v>173</v>
      </c>
    </row>
    <row r="2667" spans="2:6" x14ac:dyDescent="0.3">
      <c r="B2667" s="12">
        <v>2664</v>
      </c>
      <c r="C2667" s="28">
        <v>154.79040169944611</v>
      </c>
      <c r="E2667" s="14" t="s">
        <v>106</v>
      </c>
      <c r="F2667" s="11">
        <v>162</v>
      </c>
    </row>
    <row r="2668" spans="2:6" x14ac:dyDescent="0.3">
      <c r="B2668" s="12">
        <v>2665</v>
      </c>
      <c r="C2668" s="28">
        <v>166.05213256870007</v>
      </c>
      <c r="E2668" s="14" t="s">
        <v>702</v>
      </c>
      <c r="F2668" s="11">
        <v>173</v>
      </c>
    </row>
    <row r="2669" spans="2:6" x14ac:dyDescent="0.3">
      <c r="B2669" s="12">
        <v>2666</v>
      </c>
      <c r="C2669" s="28">
        <v>158.30711514477326</v>
      </c>
      <c r="E2669" s="14" t="s">
        <v>1207</v>
      </c>
      <c r="F2669" s="11">
        <v>157</v>
      </c>
    </row>
    <row r="2670" spans="2:6" x14ac:dyDescent="0.3">
      <c r="B2670" s="12">
        <v>2667</v>
      </c>
      <c r="C2670" s="28">
        <v>156.68471508491641</v>
      </c>
      <c r="E2670" s="14" t="s">
        <v>1804</v>
      </c>
      <c r="F2670" s="11">
        <v>169</v>
      </c>
    </row>
    <row r="2671" spans="2:6" x14ac:dyDescent="0.3">
      <c r="B2671" s="12">
        <v>2668</v>
      </c>
      <c r="C2671" s="28">
        <v>162.4323370335845</v>
      </c>
      <c r="E2671" s="14" t="s">
        <v>3792</v>
      </c>
      <c r="F2671" s="11">
        <v>176</v>
      </c>
    </row>
    <row r="2672" spans="2:6" x14ac:dyDescent="0.3">
      <c r="B2672" s="12">
        <v>2669</v>
      </c>
      <c r="C2672" s="28">
        <v>167.38597359347168</v>
      </c>
      <c r="E2672" s="14" t="s">
        <v>2908</v>
      </c>
      <c r="F2672" s="11">
        <v>162</v>
      </c>
    </row>
    <row r="2673" spans="2:6" x14ac:dyDescent="0.3">
      <c r="B2673" s="12">
        <v>2670</v>
      </c>
      <c r="C2673" s="28">
        <v>151.32605885924983</v>
      </c>
      <c r="E2673" s="14" t="s">
        <v>4592</v>
      </c>
      <c r="F2673" s="11">
        <v>165</v>
      </c>
    </row>
    <row r="2674" spans="2:6" x14ac:dyDescent="0.3">
      <c r="B2674" s="12">
        <v>2671</v>
      </c>
      <c r="C2674" s="28">
        <v>160.1301970610032</v>
      </c>
      <c r="E2674" s="14" t="s">
        <v>4094</v>
      </c>
      <c r="F2674" s="11">
        <v>176</v>
      </c>
    </row>
    <row r="2675" spans="2:6" x14ac:dyDescent="0.3">
      <c r="B2675" s="12">
        <v>2672</v>
      </c>
      <c r="C2675" s="28">
        <v>166.85446728046608</v>
      </c>
      <c r="E2675" s="14" t="s">
        <v>4897</v>
      </c>
      <c r="F2675" s="11">
        <v>169</v>
      </c>
    </row>
    <row r="2676" spans="2:6" x14ac:dyDescent="0.3">
      <c r="B2676" s="12">
        <v>2673</v>
      </c>
      <c r="C2676" s="28">
        <v>164.21749895028631</v>
      </c>
      <c r="E2676" s="14" t="s">
        <v>1212</v>
      </c>
      <c r="F2676" s="11">
        <v>167</v>
      </c>
    </row>
    <row r="2677" spans="2:6" x14ac:dyDescent="0.3">
      <c r="B2677" s="12">
        <v>2674</v>
      </c>
      <c r="C2677" s="28">
        <v>168.23549636681921</v>
      </c>
      <c r="E2677" s="14" t="s">
        <v>1570</v>
      </c>
      <c r="F2677" s="11">
        <v>167</v>
      </c>
    </row>
    <row r="2678" spans="2:6" x14ac:dyDescent="0.3">
      <c r="B2678" s="12">
        <v>2675</v>
      </c>
      <c r="C2678" s="28">
        <v>169.39216476971882</v>
      </c>
      <c r="E2678" s="14" t="s">
        <v>2563</v>
      </c>
      <c r="F2678" s="11">
        <v>176</v>
      </c>
    </row>
    <row r="2679" spans="2:6" x14ac:dyDescent="0.3">
      <c r="B2679" s="12">
        <v>2676</v>
      </c>
      <c r="C2679" s="28">
        <v>156.8308678967766</v>
      </c>
      <c r="E2679" s="14" t="s">
        <v>1877</v>
      </c>
      <c r="F2679" s="11">
        <v>165</v>
      </c>
    </row>
    <row r="2680" spans="2:6" x14ac:dyDescent="0.3">
      <c r="B2680" s="12">
        <v>2677</v>
      </c>
      <c r="C2680" s="28">
        <v>163.42793027547026</v>
      </c>
      <c r="E2680" s="14" t="s">
        <v>4702</v>
      </c>
      <c r="F2680" s="11">
        <v>175</v>
      </c>
    </row>
    <row r="2681" spans="2:6" x14ac:dyDescent="0.3">
      <c r="B2681" s="12">
        <v>2678</v>
      </c>
      <c r="C2681" s="28">
        <v>162.52225736269142</v>
      </c>
      <c r="E2681" s="14" t="s">
        <v>1596</v>
      </c>
      <c r="F2681" s="11">
        <v>173</v>
      </c>
    </row>
    <row r="2682" spans="2:6" x14ac:dyDescent="0.3">
      <c r="B2682" s="12">
        <v>2679</v>
      </c>
      <c r="C2682" s="28">
        <v>153.24879504698106</v>
      </c>
      <c r="E2682" s="14" t="s">
        <v>1717</v>
      </c>
      <c r="F2682" s="11">
        <v>175</v>
      </c>
    </row>
    <row r="2683" spans="2:6" x14ac:dyDescent="0.3">
      <c r="B2683" s="12">
        <v>2680</v>
      </c>
      <c r="C2683" s="28">
        <v>165.78688425595644</v>
      </c>
      <c r="E2683" s="14" t="s">
        <v>2100</v>
      </c>
      <c r="F2683" s="11">
        <v>175</v>
      </c>
    </row>
    <row r="2684" spans="2:6" x14ac:dyDescent="0.3">
      <c r="B2684" s="12">
        <v>2681</v>
      </c>
      <c r="C2684" s="28">
        <v>164.86761464755219</v>
      </c>
      <c r="E2684" s="14" t="s">
        <v>192</v>
      </c>
      <c r="F2684" s="11">
        <v>173</v>
      </c>
    </row>
    <row r="2685" spans="2:6" x14ac:dyDescent="0.3">
      <c r="B2685" s="12">
        <v>2682</v>
      </c>
      <c r="C2685" s="28">
        <v>158.0969051192551</v>
      </c>
      <c r="E2685" s="14" t="s">
        <v>3038</v>
      </c>
      <c r="F2685" s="11">
        <v>170</v>
      </c>
    </row>
    <row r="2686" spans="2:6" x14ac:dyDescent="0.3">
      <c r="B2686" s="12">
        <v>2683</v>
      </c>
      <c r="C2686" s="28">
        <v>150.71625752420974</v>
      </c>
      <c r="E2686" s="14" t="s">
        <v>455</v>
      </c>
      <c r="F2686" s="11">
        <v>180</v>
      </c>
    </row>
    <row r="2687" spans="2:6" x14ac:dyDescent="0.3">
      <c r="B2687" s="12">
        <v>2684</v>
      </c>
      <c r="C2687" s="28">
        <v>159.94302203831793</v>
      </c>
      <c r="E2687" s="14" t="s">
        <v>4384</v>
      </c>
      <c r="F2687" s="11">
        <v>186</v>
      </c>
    </row>
    <row r="2688" spans="2:6" x14ac:dyDescent="0.3">
      <c r="B2688" s="12">
        <v>2685</v>
      </c>
      <c r="C2688" s="28">
        <v>162.98639167085707</v>
      </c>
      <c r="E2688" s="14" t="s">
        <v>4118</v>
      </c>
      <c r="F2688" s="11">
        <v>178</v>
      </c>
    </row>
    <row r="2689" spans="2:6" x14ac:dyDescent="0.3">
      <c r="B2689" s="12">
        <v>2686</v>
      </c>
      <c r="C2689" s="28">
        <v>160.51722112492075</v>
      </c>
      <c r="E2689" s="14" t="s">
        <v>3622</v>
      </c>
      <c r="F2689" s="11">
        <v>175</v>
      </c>
    </row>
    <row r="2690" spans="2:6" x14ac:dyDescent="0.3">
      <c r="B2690" s="12">
        <v>2687</v>
      </c>
      <c r="C2690" s="28">
        <v>163.61846983811046</v>
      </c>
      <c r="E2690" s="14" t="s">
        <v>533</v>
      </c>
      <c r="F2690" s="11">
        <v>168</v>
      </c>
    </row>
    <row r="2691" spans="2:6" x14ac:dyDescent="0.3">
      <c r="B2691" s="12">
        <v>2688</v>
      </c>
      <c r="C2691" s="28">
        <v>156.1956292921179</v>
      </c>
      <c r="E2691" s="14" t="s">
        <v>663</v>
      </c>
      <c r="F2691" s="11">
        <v>168</v>
      </c>
    </row>
    <row r="2692" spans="2:6" x14ac:dyDescent="0.3">
      <c r="B2692" s="12">
        <v>2689</v>
      </c>
      <c r="C2692" s="28">
        <v>174.07587210793312</v>
      </c>
      <c r="E2692" s="14" t="s">
        <v>929</v>
      </c>
      <c r="F2692" s="11">
        <v>168</v>
      </c>
    </row>
    <row r="2693" spans="2:6" x14ac:dyDescent="0.3">
      <c r="B2693" s="12">
        <v>2690</v>
      </c>
      <c r="C2693" s="28">
        <v>156.53102181495967</v>
      </c>
      <c r="E2693" s="14" t="s">
        <v>1118</v>
      </c>
      <c r="F2693" s="11">
        <v>157</v>
      </c>
    </row>
    <row r="2694" spans="2:6" x14ac:dyDescent="0.3">
      <c r="B2694" s="12">
        <v>2691</v>
      </c>
      <c r="C2694" s="28">
        <v>167.48716341845508</v>
      </c>
      <c r="E2694" s="14" t="s">
        <v>1480</v>
      </c>
      <c r="F2694" s="11">
        <v>183</v>
      </c>
    </row>
    <row r="2695" spans="2:6" x14ac:dyDescent="0.3">
      <c r="B2695" s="12">
        <v>2692</v>
      </c>
      <c r="C2695" s="28">
        <v>150.47612268615757</v>
      </c>
      <c r="E2695" s="14" t="s">
        <v>1564</v>
      </c>
      <c r="F2695" s="11">
        <v>155</v>
      </c>
    </row>
    <row r="2696" spans="2:6" x14ac:dyDescent="0.3">
      <c r="B2696" s="12">
        <v>2693</v>
      </c>
      <c r="C2696" s="28">
        <v>162.45277420918401</v>
      </c>
      <c r="E2696" s="14" t="s">
        <v>1566</v>
      </c>
      <c r="F2696" s="11">
        <v>167</v>
      </c>
    </row>
    <row r="2697" spans="2:6" x14ac:dyDescent="0.3">
      <c r="B2697" s="12">
        <v>2694</v>
      </c>
      <c r="C2697" s="28">
        <v>163.08455072529219</v>
      </c>
      <c r="E2697" s="14" t="s">
        <v>4687</v>
      </c>
      <c r="F2697" s="11">
        <v>157</v>
      </c>
    </row>
    <row r="2698" spans="2:6" x14ac:dyDescent="0.3">
      <c r="B2698" s="12">
        <v>2695</v>
      </c>
      <c r="C2698" s="28">
        <v>150.90929263706713</v>
      </c>
      <c r="E2698" s="14" t="s">
        <v>914</v>
      </c>
      <c r="F2698" s="11">
        <v>173</v>
      </c>
    </row>
    <row r="2699" spans="2:6" x14ac:dyDescent="0.3">
      <c r="B2699" s="12">
        <v>2696</v>
      </c>
      <c r="C2699" s="28">
        <v>168.91955643013526</v>
      </c>
      <c r="E2699" s="14" t="s">
        <v>961</v>
      </c>
      <c r="F2699" s="11">
        <v>156</v>
      </c>
    </row>
    <row r="2700" spans="2:6" x14ac:dyDescent="0.3">
      <c r="B2700" s="12">
        <v>2697</v>
      </c>
      <c r="C2700" s="28">
        <v>170.14602984504154</v>
      </c>
      <c r="E2700" s="14" t="s">
        <v>2698</v>
      </c>
      <c r="F2700" s="11">
        <v>171</v>
      </c>
    </row>
    <row r="2701" spans="2:6" x14ac:dyDescent="0.3">
      <c r="B2701" s="12">
        <v>2698</v>
      </c>
      <c r="C2701" s="28">
        <v>154.87596873482124</v>
      </c>
      <c r="E2701" s="14" t="s">
        <v>3687</v>
      </c>
      <c r="F2701" s="11">
        <v>178</v>
      </c>
    </row>
    <row r="2702" spans="2:6" x14ac:dyDescent="0.3">
      <c r="B2702" s="12">
        <v>2699</v>
      </c>
      <c r="C2702" s="28">
        <v>167.18499570148691</v>
      </c>
      <c r="E2702" s="14" t="s">
        <v>3851</v>
      </c>
      <c r="F2702" s="11">
        <v>173</v>
      </c>
    </row>
    <row r="2703" spans="2:6" x14ac:dyDescent="0.3">
      <c r="B2703" s="12">
        <v>2700</v>
      </c>
      <c r="C2703" s="28">
        <v>162.20446171020043</v>
      </c>
      <c r="E2703" s="14" t="s">
        <v>3867</v>
      </c>
      <c r="F2703" s="11">
        <v>172</v>
      </c>
    </row>
    <row r="2704" spans="2:6" x14ac:dyDescent="0.3">
      <c r="B2704" s="12">
        <v>2701</v>
      </c>
      <c r="C2704" s="28">
        <v>170.46803928926471</v>
      </c>
      <c r="E2704" s="14" t="s">
        <v>4456</v>
      </c>
      <c r="F2704" s="11">
        <v>180</v>
      </c>
    </row>
    <row r="2705" spans="2:6" x14ac:dyDescent="0.3">
      <c r="B2705" s="12">
        <v>2702</v>
      </c>
      <c r="C2705" s="28">
        <v>167.25717819244451</v>
      </c>
      <c r="E2705" s="14" t="s">
        <v>4878</v>
      </c>
      <c r="F2705" s="11">
        <v>174</v>
      </c>
    </row>
    <row r="2706" spans="2:6" x14ac:dyDescent="0.3">
      <c r="B2706" s="12">
        <v>2703</v>
      </c>
      <c r="C2706" s="28">
        <v>169.29321821144671</v>
      </c>
      <c r="E2706" s="14" t="s">
        <v>1524</v>
      </c>
      <c r="F2706" s="11">
        <v>167</v>
      </c>
    </row>
    <row r="2707" spans="2:6" x14ac:dyDescent="0.3">
      <c r="B2707" s="12">
        <v>2704</v>
      </c>
      <c r="C2707" s="28">
        <v>154.82101784608415</v>
      </c>
      <c r="E2707" s="14" t="s">
        <v>964</v>
      </c>
      <c r="F2707" s="11">
        <v>175</v>
      </c>
    </row>
    <row r="2708" spans="2:6" x14ac:dyDescent="0.3">
      <c r="B2708" s="12">
        <v>2705</v>
      </c>
      <c r="C2708" s="28">
        <v>166.13830589263577</v>
      </c>
      <c r="E2708" s="14" t="s">
        <v>1848</v>
      </c>
      <c r="F2708" s="11">
        <v>179</v>
      </c>
    </row>
    <row r="2709" spans="2:6" x14ac:dyDescent="0.3">
      <c r="B2709" s="12">
        <v>2706</v>
      </c>
      <c r="C2709" s="28">
        <v>161.07192195515518</v>
      </c>
      <c r="E2709" s="14" t="s">
        <v>600</v>
      </c>
      <c r="F2709" s="11">
        <v>163</v>
      </c>
    </row>
    <row r="2710" spans="2:6" x14ac:dyDescent="0.3">
      <c r="B2710" s="12">
        <v>2707</v>
      </c>
      <c r="C2710" s="28">
        <v>162.23211070680682</v>
      </c>
      <c r="E2710" s="14" t="s">
        <v>4549</v>
      </c>
      <c r="F2710" s="11">
        <v>168</v>
      </c>
    </row>
    <row r="2711" spans="2:6" x14ac:dyDescent="0.3">
      <c r="B2711" s="12">
        <v>2708</v>
      </c>
      <c r="C2711" s="28">
        <v>155.43258734035726</v>
      </c>
      <c r="E2711" s="14" t="s">
        <v>2261</v>
      </c>
      <c r="F2711" s="11">
        <v>172</v>
      </c>
    </row>
    <row r="2712" spans="2:6" x14ac:dyDescent="0.3">
      <c r="B2712" s="12">
        <v>2709</v>
      </c>
      <c r="C2712" s="28">
        <v>164.12556491361346</v>
      </c>
      <c r="E2712" s="14" t="s">
        <v>178</v>
      </c>
      <c r="F2712" s="11">
        <v>177</v>
      </c>
    </row>
    <row r="2713" spans="2:6" x14ac:dyDescent="0.3">
      <c r="B2713" s="12">
        <v>2710</v>
      </c>
      <c r="C2713" s="28">
        <v>158.45802763721056</v>
      </c>
      <c r="E2713" s="14" t="s">
        <v>2972</v>
      </c>
      <c r="F2713" s="11">
        <v>180</v>
      </c>
    </row>
    <row r="2714" spans="2:6" x14ac:dyDescent="0.3">
      <c r="B2714" s="12">
        <v>2711</v>
      </c>
      <c r="C2714" s="28">
        <v>179.48875650470097</v>
      </c>
      <c r="E2714" s="14" t="s">
        <v>2439</v>
      </c>
      <c r="F2714" s="11">
        <v>173</v>
      </c>
    </row>
    <row r="2715" spans="2:6" x14ac:dyDescent="0.3">
      <c r="B2715" s="12">
        <v>2712</v>
      </c>
      <c r="C2715" s="28">
        <v>160.68427742617604</v>
      </c>
      <c r="E2715" s="14" t="s">
        <v>2440</v>
      </c>
      <c r="F2715" s="11">
        <v>160</v>
      </c>
    </row>
    <row r="2716" spans="2:6" x14ac:dyDescent="0.3">
      <c r="B2716" s="12">
        <v>2713</v>
      </c>
      <c r="C2716" s="28">
        <v>169.8999875030002</v>
      </c>
      <c r="E2716" s="14" t="s">
        <v>2441</v>
      </c>
      <c r="F2716" s="11">
        <v>157</v>
      </c>
    </row>
    <row r="2717" spans="2:6" x14ac:dyDescent="0.3">
      <c r="B2717" s="12">
        <v>2714</v>
      </c>
      <c r="C2717" s="28">
        <v>167.83857382830698</v>
      </c>
      <c r="E2717" s="14" t="s">
        <v>2443</v>
      </c>
      <c r="F2717" s="11">
        <v>169</v>
      </c>
    </row>
    <row r="2718" spans="2:6" x14ac:dyDescent="0.3">
      <c r="B2718" s="12">
        <v>2715</v>
      </c>
      <c r="C2718" s="28">
        <v>149.8508289836098</v>
      </c>
      <c r="E2718" s="14" t="s">
        <v>2444</v>
      </c>
      <c r="F2718" s="11">
        <v>160</v>
      </c>
    </row>
    <row r="2719" spans="2:6" x14ac:dyDescent="0.3">
      <c r="B2719" s="12">
        <v>2716</v>
      </c>
      <c r="C2719" s="28">
        <v>164.90190842890783</v>
      </c>
      <c r="E2719" s="14" t="s">
        <v>2445</v>
      </c>
      <c r="F2719" s="11">
        <v>179</v>
      </c>
    </row>
    <row r="2720" spans="2:6" x14ac:dyDescent="0.3">
      <c r="B2720" s="12">
        <v>2717</v>
      </c>
      <c r="C2720" s="28">
        <v>165.87748044301597</v>
      </c>
      <c r="E2720" s="14" t="s">
        <v>2446</v>
      </c>
      <c r="F2720" s="11">
        <v>178</v>
      </c>
    </row>
    <row r="2721" spans="2:6" x14ac:dyDescent="0.3">
      <c r="B2721" s="12">
        <v>2718</v>
      </c>
      <c r="C2721" s="28">
        <v>167.91686679156351</v>
      </c>
      <c r="E2721" s="14" t="s">
        <v>2447</v>
      </c>
      <c r="F2721" s="11">
        <v>180</v>
      </c>
    </row>
    <row r="2722" spans="2:6" x14ac:dyDescent="0.3">
      <c r="B2722" s="12">
        <v>2719</v>
      </c>
      <c r="C2722" s="28">
        <v>175.57819796410394</v>
      </c>
      <c r="E2722" s="14" t="s">
        <v>2448</v>
      </c>
      <c r="F2722" s="11">
        <v>188</v>
      </c>
    </row>
    <row r="2723" spans="2:6" x14ac:dyDescent="0.3">
      <c r="B2723" s="12">
        <v>2720</v>
      </c>
      <c r="C2723" s="28">
        <v>156.98086771231357</v>
      </c>
      <c r="E2723" s="14" t="s">
        <v>2449</v>
      </c>
      <c r="F2723" s="11">
        <v>178</v>
      </c>
    </row>
    <row r="2724" spans="2:6" x14ac:dyDescent="0.3">
      <c r="B2724" s="12">
        <v>2721</v>
      </c>
      <c r="C2724" s="28">
        <v>169.00896995733021</v>
      </c>
      <c r="E2724" s="14" t="s">
        <v>2450</v>
      </c>
      <c r="F2724" s="11">
        <v>176</v>
      </c>
    </row>
    <row r="2725" spans="2:6" x14ac:dyDescent="0.3">
      <c r="B2725" s="12">
        <v>2722</v>
      </c>
      <c r="C2725" s="28">
        <v>166.39954793716336</v>
      </c>
      <c r="E2725" s="14" t="s">
        <v>3964</v>
      </c>
      <c r="F2725" s="11">
        <v>162</v>
      </c>
    </row>
    <row r="2726" spans="2:6" x14ac:dyDescent="0.3">
      <c r="B2726" s="12">
        <v>2723</v>
      </c>
      <c r="C2726" s="28">
        <v>162.53524236321161</v>
      </c>
      <c r="E2726" s="14" t="s">
        <v>2043</v>
      </c>
      <c r="F2726" s="11">
        <v>176</v>
      </c>
    </row>
    <row r="2727" spans="2:6" x14ac:dyDescent="0.3">
      <c r="B2727" s="12">
        <v>2724</v>
      </c>
      <c r="C2727" s="28">
        <v>150.86309103130898</v>
      </c>
      <c r="E2727" s="14" t="s">
        <v>2944</v>
      </c>
      <c r="F2727" s="11">
        <v>185</v>
      </c>
    </row>
    <row r="2728" spans="2:6" x14ac:dyDescent="0.3">
      <c r="B2728" s="12">
        <v>2725</v>
      </c>
      <c r="C2728" s="28">
        <v>155.91398982826689</v>
      </c>
      <c r="E2728" s="14" t="s">
        <v>1025</v>
      </c>
      <c r="F2728" s="11">
        <v>170</v>
      </c>
    </row>
    <row r="2729" spans="2:6" x14ac:dyDescent="0.3">
      <c r="B2729" s="12">
        <v>2726</v>
      </c>
      <c r="C2729" s="28">
        <v>162.29944665961827</v>
      </c>
      <c r="E2729" s="14" t="s">
        <v>3224</v>
      </c>
      <c r="F2729" s="11">
        <v>167</v>
      </c>
    </row>
    <row r="2730" spans="2:6" x14ac:dyDescent="0.3">
      <c r="B2730" s="12">
        <v>2727</v>
      </c>
      <c r="C2730" s="28">
        <v>157.40918783436427</v>
      </c>
      <c r="E2730" s="14" t="s">
        <v>1692</v>
      </c>
      <c r="F2730" s="11">
        <v>160</v>
      </c>
    </row>
    <row r="2731" spans="2:6" x14ac:dyDescent="0.3">
      <c r="B2731" s="12">
        <v>2728</v>
      </c>
      <c r="C2731" s="28">
        <v>160.65310247139223</v>
      </c>
      <c r="E2731" s="14" t="s">
        <v>4325</v>
      </c>
      <c r="F2731" s="11">
        <v>167</v>
      </c>
    </row>
    <row r="2732" spans="2:6" x14ac:dyDescent="0.3">
      <c r="B2732" s="12">
        <v>2729</v>
      </c>
      <c r="C2732" s="28">
        <v>176.38678307281643</v>
      </c>
      <c r="E2732" s="14" t="s">
        <v>1529</v>
      </c>
      <c r="F2732" s="11">
        <v>166</v>
      </c>
    </row>
    <row r="2733" spans="2:6" x14ac:dyDescent="0.3">
      <c r="B2733" s="12">
        <v>2730</v>
      </c>
      <c r="C2733" s="28">
        <v>161.68445312859535</v>
      </c>
      <c r="E2733" s="14" t="s">
        <v>815</v>
      </c>
      <c r="F2733" s="11">
        <v>182</v>
      </c>
    </row>
    <row r="2734" spans="2:6" x14ac:dyDescent="0.3">
      <c r="B2734" s="12">
        <v>2731</v>
      </c>
      <c r="C2734" s="28">
        <v>155.46266965052703</v>
      </c>
      <c r="E2734" s="14" t="s">
        <v>3574</v>
      </c>
      <c r="F2734" s="11">
        <v>177</v>
      </c>
    </row>
    <row r="2735" spans="2:6" x14ac:dyDescent="0.3">
      <c r="B2735" s="12">
        <v>2732</v>
      </c>
      <c r="C2735" s="28">
        <v>157.44832740252565</v>
      </c>
      <c r="E2735" s="14" t="s">
        <v>4581</v>
      </c>
      <c r="F2735" s="11">
        <v>168</v>
      </c>
    </row>
    <row r="2736" spans="2:6" x14ac:dyDescent="0.3">
      <c r="B2736" s="12">
        <v>2733</v>
      </c>
      <c r="C2736" s="28">
        <v>152.95966655516708</v>
      </c>
      <c r="E2736" s="14" t="s">
        <v>2</v>
      </c>
      <c r="F2736" s="11">
        <v>178</v>
      </c>
    </row>
    <row r="2737" spans="2:6" x14ac:dyDescent="0.3">
      <c r="B2737" s="12">
        <v>2734</v>
      </c>
      <c r="C2737" s="28">
        <v>162.99758449245664</v>
      </c>
      <c r="E2737" s="14" t="s">
        <v>4388</v>
      </c>
      <c r="F2737" s="11">
        <v>166</v>
      </c>
    </row>
    <row r="2738" spans="2:6" x14ac:dyDescent="0.3">
      <c r="B2738" s="12">
        <v>2735</v>
      </c>
      <c r="C2738" s="28">
        <v>161.80984643831673</v>
      </c>
      <c r="E2738" s="14" t="s">
        <v>3624</v>
      </c>
      <c r="F2738" s="11">
        <v>172</v>
      </c>
    </row>
    <row r="2739" spans="2:6" x14ac:dyDescent="0.3">
      <c r="B2739" s="12">
        <v>2736</v>
      </c>
      <c r="C2739" s="28">
        <v>165.7722051546655</v>
      </c>
      <c r="E2739" s="14" t="s">
        <v>154</v>
      </c>
      <c r="F2739" s="11">
        <v>169</v>
      </c>
    </row>
    <row r="2740" spans="2:6" x14ac:dyDescent="0.3">
      <c r="B2740" s="12">
        <v>2737</v>
      </c>
      <c r="C2740" s="28">
        <v>161.20618737983156</v>
      </c>
      <c r="E2740" s="14" t="s">
        <v>731</v>
      </c>
      <c r="F2740" s="11">
        <v>165</v>
      </c>
    </row>
    <row r="2741" spans="2:6" x14ac:dyDescent="0.3">
      <c r="B2741" s="12">
        <v>2738</v>
      </c>
      <c r="C2741" s="28">
        <v>159.33780285810948</v>
      </c>
      <c r="E2741" s="14" t="s">
        <v>4019</v>
      </c>
      <c r="F2741" s="11">
        <v>191</v>
      </c>
    </row>
    <row r="2742" spans="2:6" x14ac:dyDescent="0.3">
      <c r="B2742" s="12">
        <v>2739</v>
      </c>
      <c r="C2742" s="28">
        <v>157.53375524375295</v>
      </c>
      <c r="E2742" s="14" t="s">
        <v>1030</v>
      </c>
      <c r="F2742" s="11">
        <v>168</v>
      </c>
    </row>
    <row r="2743" spans="2:6" x14ac:dyDescent="0.3">
      <c r="B2743" s="12">
        <v>2740</v>
      </c>
      <c r="C2743" s="28">
        <v>156.40462640119117</v>
      </c>
      <c r="E2743" s="14" t="s">
        <v>2870</v>
      </c>
      <c r="F2743" s="11">
        <v>160</v>
      </c>
    </row>
    <row r="2744" spans="2:6" x14ac:dyDescent="0.3">
      <c r="B2744" s="12">
        <v>2741</v>
      </c>
      <c r="C2744" s="28">
        <v>164.00310309252868</v>
      </c>
      <c r="E2744" s="14" t="s">
        <v>348</v>
      </c>
      <c r="F2744" s="11">
        <v>170</v>
      </c>
    </row>
    <row r="2745" spans="2:6" x14ac:dyDescent="0.3">
      <c r="B2745" s="12">
        <v>2742</v>
      </c>
      <c r="C2745" s="28">
        <v>156.08912293097285</v>
      </c>
      <c r="E2745" s="14" t="s">
        <v>4447</v>
      </c>
      <c r="F2745" s="11">
        <v>179</v>
      </c>
    </row>
    <row r="2746" spans="2:6" x14ac:dyDescent="0.3">
      <c r="B2746" s="12">
        <v>2743</v>
      </c>
      <c r="C2746" s="28">
        <v>161.47578240671308</v>
      </c>
      <c r="E2746" s="14" t="s">
        <v>3160</v>
      </c>
      <c r="F2746" s="11">
        <v>153</v>
      </c>
    </row>
    <row r="2747" spans="2:6" x14ac:dyDescent="0.3">
      <c r="B2747" s="12">
        <v>2744</v>
      </c>
      <c r="C2747" s="28">
        <v>155.15241780617217</v>
      </c>
      <c r="E2747" s="14" t="s">
        <v>2360</v>
      </c>
      <c r="F2747" s="11">
        <v>164</v>
      </c>
    </row>
    <row r="2748" spans="2:6" x14ac:dyDescent="0.3">
      <c r="B2748" s="12">
        <v>2745</v>
      </c>
      <c r="C2748" s="28">
        <v>164.28410120920674</v>
      </c>
      <c r="E2748" s="14" t="s">
        <v>1322</v>
      </c>
      <c r="F2748" s="11">
        <v>184</v>
      </c>
    </row>
    <row r="2749" spans="2:6" x14ac:dyDescent="0.3">
      <c r="B2749" s="12">
        <v>2746</v>
      </c>
      <c r="C2749" s="28">
        <v>166.50169342792859</v>
      </c>
      <c r="E2749" s="14" t="s">
        <v>2158</v>
      </c>
      <c r="F2749" s="11">
        <v>171</v>
      </c>
    </row>
    <row r="2750" spans="2:6" x14ac:dyDescent="0.3">
      <c r="B2750" s="12">
        <v>2747</v>
      </c>
      <c r="C2750" s="28">
        <v>154.38954801430469</v>
      </c>
      <c r="E2750" s="14" t="s">
        <v>707</v>
      </c>
      <c r="F2750" s="11">
        <v>165</v>
      </c>
    </row>
    <row r="2751" spans="2:6" x14ac:dyDescent="0.3">
      <c r="B2751" s="12">
        <v>2748</v>
      </c>
      <c r="C2751" s="28">
        <v>162.08296254731201</v>
      </c>
      <c r="E2751" s="14" t="s">
        <v>3829</v>
      </c>
      <c r="F2751" s="11">
        <v>176</v>
      </c>
    </row>
    <row r="2752" spans="2:6" x14ac:dyDescent="0.3">
      <c r="B2752" s="12">
        <v>2749</v>
      </c>
      <c r="C2752" s="28">
        <v>165.00001669393069</v>
      </c>
      <c r="E2752" s="14" t="s">
        <v>3009</v>
      </c>
      <c r="F2752" s="11">
        <v>168</v>
      </c>
    </row>
    <row r="2753" spans="2:6" x14ac:dyDescent="0.3">
      <c r="B2753" s="12">
        <v>2750</v>
      </c>
      <c r="C2753" s="28">
        <v>152.88812140622591</v>
      </c>
      <c r="E2753" s="14" t="s">
        <v>341</v>
      </c>
      <c r="F2753" s="11">
        <v>183</v>
      </c>
    </row>
    <row r="2754" spans="2:6" x14ac:dyDescent="0.3">
      <c r="B2754" s="12">
        <v>2751</v>
      </c>
      <c r="C2754" s="28">
        <v>156.23674539514639</v>
      </c>
      <c r="E2754" s="14" t="s">
        <v>666</v>
      </c>
      <c r="F2754" s="11">
        <v>172</v>
      </c>
    </row>
    <row r="2755" spans="2:6" x14ac:dyDescent="0.3">
      <c r="B2755" s="12">
        <v>2752</v>
      </c>
      <c r="C2755" s="28">
        <v>169.43366567374173</v>
      </c>
      <c r="E2755" s="14" t="s">
        <v>1591</v>
      </c>
      <c r="F2755" s="11">
        <v>187</v>
      </c>
    </row>
    <row r="2756" spans="2:6" x14ac:dyDescent="0.3">
      <c r="B2756" s="12">
        <v>2753</v>
      </c>
      <c r="C2756" s="28">
        <v>157.77109059156848</v>
      </c>
      <c r="E2756" s="14" t="s">
        <v>3791</v>
      </c>
      <c r="F2756" s="11">
        <v>164</v>
      </c>
    </row>
    <row r="2757" spans="2:6" x14ac:dyDescent="0.3">
      <c r="B2757" s="12">
        <v>2754</v>
      </c>
      <c r="C2757" s="28">
        <v>169.97128837394274</v>
      </c>
      <c r="E2757" s="14" t="s">
        <v>4536</v>
      </c>
      <c r="F2757" s="11">
        <v>167</v>
      </c>
    </row>
    <row r="2758" spans="2:6" x14ac:dyDescent="0.3">
      <c r="B2758" s="12">
        <v>2755</v>
      </c>
      <c r="C2758" s="28">
        <v>168.4976578810768</v>
      </c>
      <c r="E2758" s="14" t="s">
        <v>2860</v>
      </c>
      <c r="F2758" s="11">
        <v>173</v>
      </c>
    </row>
    <row r="2759" spans="2:6" x14ac:dyDescent="0.3">
      <c r="B2759" s="12">
        <v>2756</v>
      </c>
      <c r="C2759" s="28">
        <v>148.8240241644387</v>
      </c>
      <c r="E2759" s="14" t="s">
        <v>2431</v>
      </c>
      <c r="F2759" s="11">
        <v>169</v>
      </c>
    </row>
    <row r="2760" spans="2:6" x14ac:dyDescent="0.3">
      <c r="B2760" s="12">
        <v>2757</v>
      </c>
      <c r="C2760" s="28">
        <v>165.95174707840161</v>
      </c>
      <c r="E2760" s="14" t="s">
        <v>577</v>
      </c>
      <c r="F2760" s="11">
        <v>167</v>
      </c>
    </row>
    <row r="2761" spans="2:6" x14ac:dyDescent="0.3">
      <c r="B2761" s="12">
        <v>2758</v>
      </c>
      <c r="C2761" s="28">
        <v>160.16220856185029</v>
      </c>
      <c r="E2761" s="14" t="s">
        <v>2500</v>
      </c>
      <c r="F2761" s="11">
        <v>171</v>
      </c>
    </row>
    <row r="2762" spans="2:6" x14ac:dyDescent="0.3">
      <c r="B2762" s="12">
        <v>2759</v>
      </c>
      <c r="C2762" s="28">
        <v>157.29668939306262</v>
      </c>
      <c r="E2762" s="14" t="s">
        <v>2502</v>
      </c>
      <c r="F2762" s="11">
        <v>188</v>
      </c>
    </row>
    <row r="2763" spans="2:6" x14ac:dyDescent="0.3">
      <c r="B2763" s="12">
        <v>2760</v>
      </c>
      <c r="C2763" s="28">
        <v>164.90953646710079</v>
      </c>
      <c r="E2763" s="14" t="s">
        <v>2503</v>
      </c>
      <c r="F2763" s="11">
        <v>160</v>
      </c>
    </row>
    <row r="2764" spans="2:6" x14ac:dyDescent="0.3">
      <c r="B2764" s="12">
        <v>2761</v>
      </c>
      <c r="C2764" s="28">
        <v>173.46072627218052</v>
      </c>
      <c r="E2764" s="14" t="s">
        <v>2505</v>
      </c>
      <c r="F2764" s="11">
        <v>175</v>
      </c>
    </row>
    <row r="2765" spans="2:6" x14ac:dyDescent="0.3">
      <c r="B2765" s="12">
        <v>2762</v>
      </c>
      <c r="C2765" s="28">
        <v>159.23014593711389</v>
      </c>
      <c r="E2765" s="14" t="s">
        <v>1444</v>
      </c>
      <c r="F2765" s="11">
        <v>171</v>
      </c>
    </row>
    <row r="2766" spans="2:6" x14ac:dyDescent="0.3">
      <c r="B2766" s="12">
        <v>2763</v>
      </c>
      <c r="C2766" s="28">
        <v>159.20932532180905</v>
      </c>
      <c r="E2766" s="14" t="s">
        <v>88</v>
      </c>
      <c r="F2766" s="11">
        <v>152</v>
      </c>
    </row>
    <row r="2767" spans="2:6" x14ac:dyDescent="0.3">
      <c r="B2767" s="12">
        <v>2764</v>
      </c>
      <c r="C2767" s="28">
        <v>168.44709869492866</v>
      </c>
      <c r="E2767" s="14" t="s">
        <v>3239</v>
      </c>
      <c r="F2767" s="11">
        <v>173</v>
      </c>
    </row>
    <row r="2768" spans="2:6" x14ac:dyDescent="0.3">
      <c r="B2768" s="12">
        <v>2765</v>
      </c>
      <c r="C2768" s="28">
        <v>165.27868126084832</v>
      </c>
      <c r="E2768" s="14" t="s">
        <v>1321</v>
      </c>
      <c r="F2768" s="11">
        <v>195</v>
      </c>
    </row>
    <row r="2769" spans="2:6" x14ac:dyDescent="0.3">
      <c r="B2769" s="12">
        <v>2766</v>
      </c>
      <c r="C2769" s="28">
        <v>158.58179147972859</v>
      </c>
      <c r="E2769" s="14" t="s">
        <v>1602</v>
      </c>
      <c r="F2769" s="11">
        <v>178</v>
      </c>
    </row>
    <row r="2770" spans="2:6" x14ac:dyDescent="0.3">
      <c r="B2770" s="12">
        <v>2767</v>
      </c>
      <c r="C2770" s="28">
        <v>163.03043976187297</v>
      </c>
      <c r="E2770" s="14" t="s">
        <v>1892</v>
      </c>
      <c r="F2770" s="11">
        <v>163</v>
      </c>
    </row>
    <row r="2771" spans="2:6" x14ac:dyDescent="0.3">
      <c r="B2771" s="12">
        <v>2768</v>
      </c>
      <c r="C2771" s="28">
        <v>168.98571257464084</v>
      </c>
      <c r="E2771" s="14" t="s">
        <v>1208</v>
      </c>
      <c r="F2771" s="11">
        <v>171</v>
      </c>
    </row>
    <row r="2772" spans="2:6" x14ac:dyDescent="0.3">
      <c r="B2772" s="12">
        <v>2769</v>
      </c>
      <c r="C2772" s="28">
        <v>157.93917994995144</v>
      </c>
      <c r="E2772" s="14" t="s">
        <v>1748</v>
      </c>
      <c r="F2772" s="11">
        <v>172</v>
      </c>
    </row>
    <row r="2773" spans="2:6" x14ac:dyDescent="0.3">
      <c r="B2773" s="12">
        <v>2770</v>
      </c>
      <c r="C2773" s="28">
        <v>156.58842659001499</v>
      </c>
      <c r="E2773" s="14" t="s">
        <v>2082</v>
      </c>
      <c r="F2773" s="11">
        <v>166</v>
      </c>
    </row>
    <row r="2774" spans="2:6" x14ac:dyDescent="0.3">
      <c r="B2774" s="12">
        <v>2771</v>
      </c>
      <c r="C2774" s="28">
        <v>164.64133607842163</v>
      </c>
      <c r="E2774" s="14" t="s">
        <v>1029</v>
      </c>
      <c r="F2774" s="11">
        <v>175</v>
      </c>
    </row>
    <row r="2775" spans="2:6" x14ac:dyDescent="0.3">
      <c r="B2775" s="12">
        <v>2772</v>
      </c>
      <c r="C2775" s="28">
        <v>155.98885727731832</v>
      </c>
      <c r="E2775" s="14" t="s">
        <v>2759</v>
      </c>
      <c r="F2775" s="11">
        <v>170</v>
      </c>
    </row>
    <row r="2776" spans="2:6" x14ac:dyDescent="0.3">
      <c r="B2776" s="12">
        <v>2773</v>
      </c>
      <c r="C2776" s="28">
        <v>165.826485236352</v>
      </c>
      <c r="E2776" s="14" t="s">
        <v>3769</v>
      </c>
      <c r="F2776" s="11">
        <v>169</v>
      </c>
    </row>
    <row r="2777" spans="2:6" x14ac:dyDescent="0.3">
      <c r="B2777" s="12">
        <v>2774</v>
      </c>
      <c r="C2777" s="28">
        <v>170.97146118715219</v>
      </c>
      <c r="E2777" s="14" t="s">
        <v>2565</v>
      </c>
      <c r="F2777" s="11">
        <v>169</v>
      </c>
    </row>
    <row r="2778" spans="2:6" x14ac:dyDescent="0.3">
      <c r="B2778" s="12">
        <v>2775</v>
      </c>
      <c r="C2778" s="28">
        <v>168.49765036606564</v>
      </c>
      <c r="E2778" s="14" t="s">
        <v>3747</v>
      </c>
      <c r="F2778" s="11">
        <v>177</v>
      </c>
    </row>
    <row r="2779" spans="2:6" x14ac:dyDescent="0.3">
      <c r="B2779" s="12">
        <v>2776</v>
      </c>
      <c r="C2779" s="28">
        <v>158.19374223358076</v>
      </c>
      <c r="E2779" s="14" t="s">
        <v>1743</v>
      </c>
      <c r="F2779" s="11">
        <v>177</v>
      </c>
    </row>
    <row r="2780" spans="2:6" x14ac:dyDescent="0.3">
      <c r="B2780" s="12">
        <v>2777</v>
      </c>
      <c r="C2780" s="28">
        <v>159.87180967009576</v>
      </c>
      <c r="E2780" s="14" t="s">
        <v>4186</v>
      </c>
      <c r="F2780" s="11">
        <v>175</v>
      </c>
    </row>
    <row r="2781" spans="2:6" x14ac:dyDescent="0.3">
      <c r="B2781" s="12">
        <v>2778</v>
      </c>
      <c r="C2781" s="28">
        <v>155.14180799667682</v>
      </c>
      <c r="E2781" s="14" t="s">
        <v>4885</v>
      </c>
      <c r="F2781" s="11">
        <v>170</v>
      </c>
    </row>
    <row r="2782" spans="2:6" x14ac:dyDescent="0.3">
      <c r="B2782" s="12">
        <v>2779</v>
      </c>
      <c r="C2782" s="28">
        <v>165.73137767267622</v>
      </c>
      <c r="E2782" s="14" t="s">
        <v>464</v>
      </c>
      <c r="F2782" s="11">
        <v>162</v>
      </c>
    </row>
    <row r="2783" spans="2:6" x14ac:dyDescent="0.3">
      <c r="B2783" s="12">
        <v>2780</v>
      </c>
      <c r="C2783" s="28">
        <v>172.6781745255937</v>
      </c>
      <c r="E2783" s="14" t="s">
        <v>4610</v>
      </c>
      <c r="F2783" s="11">
        <v>160</v>
      </c>
    </row>
    <row r="2784" spans="2:6" x14ac:dyDescent="0.3">
      <c r="B2784" s="12">
        <v>2781</v>
      </c>
      <c r="C2784" s="28">
        <v>153.60418436267395</v>
      </c>
      <c r="E2784" s="14" t="s">
        <v>938</v>
      </c>
      <c r="F2784" s="11">
        <v>165</v>
      </c>
    </row>
    <row r="2785" spans="2:6" x14ac:dyDescent="0.3">
      <c r="B2785" s="12">
        <v>2782</v>
      </c>
      <c r="C2785" s="28">
        <v>164.45868723171827</v>
      </c>
      <c r="E2785" s="14" t="s">
        <v>4122</v>
      </c>
      <c r="F2785" s="11">
        <v>174</v>
      </c>
    </row>
    <row r="2786" spans="2:6" x14ac:dyDescent="0.3">
      <c r="B2786" s="12">
        <v>2783</v>
      </c>
      <c r="C2786" s="28">
        <v>160.57188714864995</v>
      </c>
      <c r="E2786" s="14" t="s">
        <v>4502</v>
      </c>
      <c r="F2786" s="11">
        <v>168</v>
      </c>
    </row>
    <row r="2787" spans="2:6" x14ac:dyDescent="0.3">
      <c r="B2787" s="12">
        <v>2784</v>
      </c>
      <c r="C2787" s="28">
        <v>171.16324481180641</v>
      </c>
      <c r="E2787" s="14" t="s">
        <v>3360</v>
      </c>
      <c r="F2787" s="11">
        <v>165</v>
      </c>
    </row>
    <row r="2788" spans="2:6" x14ac:dyDescent="0.3">
      <c r="B2788" s="12">
        <v>2785</v>
      </c>
      <c r="C2788" s="28">
        <v>156.52225798193314</v>
      </c>
      <c r="E2788" s="14" t="s">
        <v>3057</v>
      </c>
      <c r="F2788" s="11">
        <v>165</v>
      </c>
    </row>
    <row r="2789" spans="2:6" x14ac:dyDescent="0.3">
      <c r="B2789" s="12">
        <v>2786</v>
      </c>
      <c r="C2789" s="28">
        <v>167.55066047387345</v>
      </c>
      <c r="E2789" s="14" t="s">
        <v>492</v>
      </c>
      <c r="F2789" s="11">
        <v>166</v>
      </c>
    </row>
    <row r="2790" spans="2:6" x14ac:dyDescent="0.3">
      <c r="B2790" s="12">
        <v>2787</v>
      </c>
      <c r="C2790" s="28">
        <v>158.59868444688698</v>
      </c>
      <c r="E2790" s="14" t="s">
        <v>4353</v>
      </c>
      <c r="F2790" s="11">
        <v>175</v>
      </c>
    </row>
    <row r="2791" spans="2:6" x14ac:dyDescent="0.3">
      <c r="B2791" s="12">
        <v>2788</v>
      </c>
      <c r="C2791" s="28">
        <v>168.62223116636559</v>
      </c>
      <c r="E2791" s="14" t="s">
        <v>4407</v>
      </c>
      <c r="F2791" s="11">
        <v>173</v>
      </c>
    </row>
    <row r="2792" spans="2:6" x14ac:dyDescent="0.3">
      <c r="B2792" s="12">
        <v>2789</v>
      </c>
      <c r="C2792" s="28">
        <v>155.39028029203681</v>
      </c>
      <c r="E2792" s="14" t="s">
        <v>2598</v>
      </c>
      <c r="F2792" s="11">
        <v>177</v>
      </c>
    </row>
    <row r="2793" spans="2:6" x14ac:dyDescent="0.3">
      <c r="B2793" s="12">
        <v>2790</v>
      </c>
      <c r="C2793" s="28">
        <v>155.53411598328151</v>
      </c>
      <c r="E2793" s="14" t="s">
        <v>1355</v>
      </c>
      <c r="F2793" s="11">
        <v>166</v>
      </c>
    </row>
    <row r="2794" spans="2:6" x14ac:dyDescent="0.3">
      <c r="B2794" s="12">
        <v>2791</v>
      </c>
      <c r="C2794" s="28">
        <v>159.63550081065293</v>
      </c>
      <c r="E2794" s="14" t="s">
        <v>1391</v>
      </c>
      <c r="F2794" s="11">
        <v>159</v>
      </c>
    </row>
    <row r="2795" spans="2:6" x14ac:dyDescent="0.3">
      <c r="B2795" s="12">
        <v>2792</v>
      </c>
      <c r="C2795" s="28">
        <v>160.90184435183662</v>
      </c>
      <c r="E2795" s="14" t="s">
        <v>632</v>
      </c>
      <c r="F2795" s="11">
        <v>165</v>
      </c>
    </row>
    <row r="2796" spans="2:6" x14ac:dyDescent="0.3">
      <c r="B2796" s="12">
        <v>2793</v>
      </c>
      <c r="C2796" s="28">
        <v>163.64738908206508</v>
      </c>
      <c r="E2796" s="14" t="s">
        <v>3756</v>
      </c>
      <c r="F2796" s="11">
        <v>162</v>
      </c>
    </row>
    <row r="2797" spans="2:6" x14ac:dyDescent="0.3">
      <c r="B2797" s="12">
        <v>2794</v>
      </c>
      <c r="C2797" s="28">
        <v>173.3660808500768</v>
      </c>
      <c r="E2797" s="14" t="s">
        <v>121</v>
      </c>
      <c r="F2797" s="11">
        <v>168</v>
      </c>
    </row>
    <row r="2798" spans="2:6" x14ac:dyDescent="0.3">
      <c r="B2798" s="12">
        <v>2795</v>
      </c>
      <c r="C2798" s="28">
        <v>165.73754448862047</v>
      </c>
      <c r="E2798" s="14" t="s">
        <v>2520</v>
      </c>
      <c r="F2798" s="11">
        <v>170</v>
      </c>
    </row>
    <row r="2799" spans="2:6" x14ac:dyDescent="0.3">
      <c r="B2799" s="12">
        <v>2796</v>
      </c>
      <c r="C2799" s="28">
        <v>172.7881146697699</v>
      </c>
      <c r="E2799" s="14" t="s">
        <v>2521</v>
      </c>
      <c r="F2799" s="11">
        <v>164</v>
      </c>
    </row>
    <row r="2800" spans="2:6" x14ac:dyDescent="0.3">
      <c r="B2800" s="12">
        <v>2797</v>
      </c>
      <c r="C2800" s="28">
        <v>163.03257247179553</v>
      </c>
      <c r="E2800" s="14" t="s">
        <v>2522</v>
      </c>
      <c r="F2800" s="11">
        <v>164</v>
      </c>
    </row>
    <row r="2801" spans="2:6" x14ac:dyDescent="0.3">
      <c r="B2801" s="12">
        <v>2798</v>
      </c>
      <c r="C2801" s="28">
        <v>172.97825215102679</v>
      </c>
      <c r="E2801" s="14" t="s">
        <v>2880</v>
      </c>
      <c r="F2801" s="11">
        <v>170</v>
      </c>
    </row>
    <row r="2802" spans="2:6" x14ac:dyDescent="0.3">
      <c r="B2802" s="12">
        <v>2799</v>
      </c>
      <c r="C2802" s="28">
        <v>158.41741592190229</v>
      </c>
      <c r="E2802" s="14" t="s">
        <v>2040</v>
      </c>
      <c r="F2802" s="11">
        <v>174</v>
      </c>
    </row>
    <row r="2803" spans="2:6" x14ac:dyDescent="0.3">
      <c r="B2803" s="12">
        <v>2800</v>
      </c>
      <c r="C2803" s="28">
        <v>164.2960169304352</v>
      </c>
      <c r="E2803" s="14" t="s">
        <v>1913</v>
      </c>
      <c r="F2803" s="11">
        <v>172</v>
      </c>
    </row>
    <row r="2804" spans="2:6" x14ac:dyDescent="0.3">
      <c r="B2804" s="12">
        <v>2801</v>
      </c>
      <c r="C2804" s="28">
        <v>164.03372607874513</v>
      </c>
      <c r="E2804" s="14" t="s">
        <v>2525</v>
      </c>
      <c r="F2804" s="11">
        <v>153</v>
      </c>
    </row>
    <row r="2805" spans="2:6" x14ac:dyDescent="0.3">
      <c r="B2805" s="12">
        <v>2802</v>
      </c>
      <c r="C2805" s="28">
        <v>171.15561849477484</v>
      </c>
      <c r="E2805" s="14" t="s">
        <v>667</v>
      </c>
      <c r="F2805" s="11">
        <v>182</v>
      </c>
    </row>
    <row r="2806" spans="2:6" x14ac:dyDescent="0.3">
      <c r="B2806" s="12">
        <v>2803</v>
      </c>
      <c r="C2806" s="28">
        <v>163.17169225923053</v>
      </c>
      <c r="E2806" s="14" t="s">
        <v>1875</v>
      </c>
      <c r="F2806" s="11">
        <v>172</v>
      </c>
    </row>
    <row r="2807" spans="2:6" x14ac:dyDescent="0.3">
      <c r="B2807" s="12">
        <v>2804</v>
      </c>
      <c r="C2807" s="28">
        <v>159.19510819904929</v>
      </c>
      <c r="E2807" s="14" t="s">
        <v>3711</v>
      </c>
      <c r="F2807" s="11">
        <v>157</v>
      </c>
    </row>
    <row r="2808" spans="2:6" x14ac:dyDescent="0.3">
      <c r="B2808" s="12">
        <v>2805</v>
      </c>
      <c r="C2808" s="28">
        <v>168.99227574340983</v>
      </c>
      <c r="E2808" s="14" t="s">
        <v>4726</v>
      </c>
      <c r="F2808" s="11">
        <v>175</v>
      </c>
    </row>
    <row r="2809" spans="2:6" x14ac:dyDescent="0.3">
      <c r="B2809" s="12">
        <v>2806</v>
      </c>
      <c r="C2809" s="28">
        <v>152.58527594575824</v>
      </c>
      <c r="E2809" s="14" t="s">
        <v>3281</v>
      </c>
      <c r="F2809" s="11">
        <v>163</v>
      </c>
    </row>
    <row r="2810" spans="2:6" x14ac:dyDescent="0.3">
      <c r="B2810" s="12">
        <v>2807</v>
      </c>
      <c r="C2810" s="28">
        <v>175.73450023655769</v>
      </c>
      <c r="E2810" s="14" t="s">
        <v>2048</v>
      </c>
      <c r="F2810" s="11">
        <v>157</v>
      </c>
    </row>
    <row r="2811" spans="2:6" x14ac:dyDescent="0.3">
      <c r="B2811" s="12">
        <v>2808</v>
      </c>
      <c r="C2811" s="28">
        <v>158.51953146663496</v>
      </c>
      <c r="E2811" s="14" t="s">
        <v>2888</v>
      </c>
      <c r="F2811" s="11">
        <v>188</v>
      </c>
    </row>
    <row r="2812" spans="2:6" x14ac:dyDescent="0.3">
      <c r="B2812" s="12">
        <v>2809</v>
      </c>
      <c r="C2812" s="28">
        <v>160.88637849506532</v>
      </c>
      <c r="E2812" s="14" t="s">
        <v>3103</v>
      </c>
      <c r="F2812" s="11">
        <v>176</v>
      </c>
    </row>
    <row r="2813" spans="2:6" x14ac:dyDescent="0.3">
      <c r="B2813" s="12">
        <v>2810</v>
      </c>
      <c r="C2813" s="28">
        <v>163.81556815007175</v>
      </c>
      <c r="E2813" s="14" t="s">
        <v>2956</v>
      </c>
      <c r="F2813" s="11">
        <v>161</v>
      </c>
    </row>
    <row r="2814" spans="2:6" x14ac:dyDescent="0.3">
      <c r="B2814" s="12">
        <v>2811</v>
      </c>
      <c r="C2814" s="28">
        <v>160.32952143247405</v>
      </c>
      <c r="E2814" s="14" t="s">
        <v>3491</v>
      </c>
      <c r="F2814" s="11">
        <v>169</v>
      </c>
    </row>
    <row r="2815" spans="2:6" x14ac:dyDescent="0.3">
      <c r="B2815" s="12">
        <v>2812</v>
      </c>
      <c r="C2815" s="28">
        <v>163.11941834091954</v>
      </c>
      <c r="E2815" s="14" t="s">
        <v>3936</v>
      </c>
      <c r="F2815" s="11">
        <v>174</v>
      </c>
    </row>
    <row r="2816" spans="2:6" x14ac:dyDescent="0.3">
      <c r="B2816" s="12">
        <v>2813</v>
      </c>
      <c r="C2816" s="28">
        <v>149.98576008707801</v>
      </c>
      <c r="E2816" s="14" t="s">
        <v>1997</v>
      </c>
      <c r="F2816" s="11">
        <v>177</v>
      </c>
    </row>
    <row r="2817" spans="2:6" x14ac:dyDescent="0.3">
      <c r="B2817" s="12">
        <v>2814</v>
      </c>
      <c r="C2817" s="28">
        <v>168.01802494928515</v>
      </c>
      <c r="E2817" s="14" t="s">
        <v>3966</v>
      </c>
      <c r="F2817" s="11">
        <v>177</v>
      </c>
    </row>
    <row r="2818" spans="2:6" x14ac:dyDescent="0.3">
      <c r="B2818" s="12">
        <v>2815</v>
      </c>
      <c r="C2818" s="28">
        <v>160.10697046474758</v>
      </c>
      <c r="E2818" s="14" t="s">
        <v>1042</v>
      </c>
      <c r="F2818" s="11">
        <v>180</v>
      </c>
    </row>
    <row r="2819" spans="2:6" x14ac:dyDescent="0.3">
      <c r="B2819" s="12">
        <v>2816</v>
      </c>
      <c r="C2819" s="28">
        <v>159.45250099480751</v>
      </c>
      <c r="E2819" s="14" t="s">
        <v>2533</v>
      </c>
      <c r="F2819" s="11">
        <v>178</v>
      </c>
    </row>
    <row r="2820" spans="2:6" x14ac:dyDescent="0.3">
      <c r="B2820" s="12">
        <v>2817</v>
      </c>
      <c r="C2820" s="28">
        <v>158.67953516978034</v>
      </c>
      <c r="E2820" s="14" t="s">
        <v>2534</v>
      </c>
      <c r="F2820" s="11">
        <v>167</v>
      </c>
    </row>
    <row r="2821" spans="2:6" x14ac:dyDescent="0.3">
      <c r="B2821" s="12">
        <v>2818</v>
      </c>
      <c r="C2821" s="28">
        <v>167.31639362598798</v>
      </c>
      <c r="E2821" s="14" t="s">
        <v>2535</v>
      </c>
      <c r="F2821" s="11">
        <v>167</v>
      </c>
    </row>
    <row r="2822" spans="2:6" x14ac:dyDescent="0.3">
      <c r="B2822" s="12">
        <v>2819</v>
      </c>
      <c r="C2822" s="28">
        <v>168.15707405688156</v>
      </c>
      <c r="E2822" s="14" t="s">
        <v>2536</v>
      </c>
      <c r="F2822" s="11">
        <v>174</v>
      </c>
    </row>
    <row r="2823" spans="2:6" x14ac:dyDescent="0.3">
      <c r="B2823" s="12">
        <v>2820</v>
      </c>
      <c r="C2823" s="28">
        <v>161.08810255019398</v>
      </c>
      <c r="E2823" s="14" t="s">
        <v>2537</v>
      </c>
      <c r="F2823" s="11">
        <v>172</v>
      </c>
    </row>
    <row r="2824" spans="2:6" x14ac:dyDescent="0.3">
      <c r="B2824" s="12">
        <v>2821</v>
      </c>
      <c r="C2824" s="28">
        <v>164.93304486367981</v>
      </c>
      <c r="E2824" s="14" t="s">
        <v>2538</v>
      </c>
      <c r="F2824" s="11">
        <v>158</v>
      </c>
    </row>
    <row r="2825" spans="2:6" x14ac:dyDescent="0.3">
      <c r="B2825" s="12">
        <v>2822</v>
      </c>
      <c r="C2825" s="28">
        <v>165.76817733080904</v>
      </c>
      <c r="E2825" s="14" t="s">
        <v>1633</v>
      </c>
      <c r="F2825" s="11">
        <v>173</v>
      </c>
    </row>
    <row r="2826" spans="2:6" x14ac:dyDescent="0.3">
      <c r="B2826" s="12">
        <v>2823</v>
      </c>
      <c r="C2826" s="28">
        <v>166.04256744732766</v>
      </c>
      <c r="E2826" s="14" t="s">
        <v>3290</v>
      </c>
      <c r="F2826" s="11">
        <v>176</v>
      </c>
    </row>
    <row r="2827" spans="2:6" x14ac:dyDescent="0.3">
      <c r="B2827" s="12">
        <v>2824</v>
      </c>
      <c r="C2827" s="28">
        <v>166.04991633143229</v>
      </c>
      <c r="E2827" s="14" t="s">
        <v>935</v>
      </c>
      <c r="F2827" s="11">
        <v>167</v>
      </c>
    </row>
    <row r="2828" spans="2:6" x14ac:dyDescent="0.3">
      <c r="B2828" s="12">
        <v>2825</v>
      </c>
      <c r="C2828" s="28">
        <v>158.16267225203177</v>
      </c>
      <c r="E2828" s="14" t="s">
        <v>583</v>
      </c>
      <c r="F2828" s="11">
        <v>170</v>
      </c>
    </row>
    <row r="2829" spans="2:6" x14ac:dyDescent="0.3">
      <c r="B2829" s="12">
        <v>2826</v>
      </c>
      <c r="C2829" s="28">
        <v>168.37010335042692</v>
      </c>
      <c r="E2829" s="14" t="s">
        <v>52</v>
      </c>
      <c r="F2829" s="11">
        <v>170</v>
      </c>
    </row>
    <row r="2830" spans="2:6" x14ac:dyDescent="0.3">
      <c r="B2830" s="12">
        <v>2827</v>
      </c>
      <c r="C2830" s="28">
        <v>173.75475025301398</v>
      </c>
      <c r="E2830" s="14" t="s">
        <v>1352</v>
      </c>
      <c r="F2830" s="11">
        <v>174</v>
      </c>
    </row>
    <row r="2831" spans="2:6" x14ac:dyDescent="0.3">
      <c r="B2831" s="12">
        <v>2828</v>
      </c>
      <c r="C2831" s="28">
        <v>163.89635458739852</v>
      </c>
      <c r="E2831" s="14" t="s">
        <v>3797</v>
      </c>
      <c r="F2831" s="11">
        <v>165</v>
      </c>
    </row>
    <row r="2832" spans="2:6" x14ac:dyDescent="0.3">
      <c r="B2832" s="12">
        <v>2829</v>
      </c>
      <c r="C2832" s="28">
        <v>147.97192574310475</v>
      </c>
      <c r="E2832" s="14" t="s">
        <v>3472</v>
      </c>
      <c r="F2832" s="11">
        <v>175</v>
      </c>
    </row>
    <row r="2833" spans="2:6" x14ac:dyDescent="0.3">
      <c r="B2833" s="12">
        <v>2830</v>
      </c>
      <c r="C2833" s="28">
        <v>155.76403006549845</v>
      </c>
      <c r="E2833" s="14" t="s">
        <v>555</v>
      </c>
      <c r="F2833" s="11">
        <v>178</v>
      </c>
    </row>
    <row r="2834" spans="2:6" x14ac:dyDescent="0.3">
      <c r="B2834" s="12">
        <v>2831</v>
      </c>
      <c r="C2834" s="28">
        <v>163.32249741117306</v>
      </c>
      <c r="E2834" s="14" t="s">
        <v>210</v>
      </c>
      <c r="F2834" s="11">
        <v>179</v>
      </c>
    </row>
    <row r="2835" spans="2:6" x14ac:dyDescent="0.3">
      <c r="B2835" s="12">
        <v>2832</v>
      </c>
      <c r="C2835" s="28">
        <v>162.02574760519246</v>
      </c>
      <c r="E2835" s="14" t="s">
        <v>3335</v>
      </c>
      <c r="F2835" s="11">
        <v>158</v>
      </c>
    </row>
    <row r="2836" spans="2:6" x14ac:dyDescent="0.3">
      <c r="B2836" s="12">
        <v>2833</v>
      </c>
      <c r="C2836" s="28">
        <v>164.41049082821516</v>
      </c>
      <c r="E2836" s="14" t="s">
        <v>3236</v>
      </c>
      <c r="F2836" s="11">
        <v>184</v>
      </c>
    </row>
    <row r="2837" spans="2:6" x14ac:dyDescent="0.3">
      <c r="B2837" s="12">
        <v>2834</v>
      </c>
      <c r="C2837" s="28">
        <v>171.99478128161226</v>
      </c>
      <c r="E2837" s="14" t="s">
        <v>1999</v>
      </c>
      <c r="F2837" s="11">
        <v>167</v>
      </c>
    </row>
    <row r="2838" spans="2:6" x14ac:dyDescent="0.3">
      <c r="B2838" s="12">
        <v>2835</v>
      </c>
      <c r="C2838" s="28">
        <v>158.79703230542847</v>
      </c>
      <c r="E2838" s="14" t="s">
        <v>2768</v>
      </c>
      <c r="F2838" s="11">
        <v>183</v>
      </c>
    </row>
    <row r="2839" spans="2:6" x14ac:dyDescent="0.3">
      <c r="B2839" s="12">
        <v>2836</v>
      </c>
      <c r="C2839" s="28">
        <v>167.53074318432331</v>
      </c>
      <c r="E2839" s="14" t="s">
        <v>1122</v>
      </c>
      <c r="F2839" s="11">
        <v>187</v>
      </c>
    </row>
    <row r="2840" spans="2:6" x14ac:dyDescent="0.3">
      <c r="B2840" s="12">
        <v>2837</v>
      </c>
      <c r="C2840" s="28">
        <v>161.84027913840498</v>
      </c>
      <c r="E2840" s="14" t="s">
        <v>470</v>
      </c>
      <c r="F2840" s="11">
        <v>182</v>
      </c>
    </row>
    <row r="2841" spans="2:6" x14ac:dyDescent="0.3">
      <c r="B2841" s="12">
        <v>2838</v>
      </c>
      <c r="C2841" s="28">
        <v>161.80867158793592</v>
      </c>
      <c r="E2841" s="14" t="s">
        <v>2951</v>
      </c>
      <c r="F2841" s="11">
        <v>181</v>
      </c>
    </row>
    <row r="2842" spans="2:6" x14ac:dyDescent="0.3">
      <c r="B2842" s="12">
        <v>2839</v>
      </c>
      <c r="C2842" s="28">
        <v>158.92953216126412</v>
      </c>
      <c r="E2842" s="14" t="s">
        <v>1688</v>
      </c>
      <c r="F2842" s="11">
        <v>168</v>
      </c>
    </row>
    <row r="2843" spans="2:6" x14ac:dyDescent="0.3">
      <c r="B2843" s="12">
        <v>2840</v>
      </c>
      <c r="C2843" s="28">
        <v>164.73236534406681</v>
      </c>
      <c r="E2843" s="14" t="s">
        <v>1507</v>
      </c>
      <c r="F2843" s="11">
        <v>179</v>
      </c>
    </row>
    <row r="2844" spans="2:6" x14ac:dyDescent="0.3">
      <c r="B2844" s="12">
        <v>2841</v>
      </c>
      <c r="C2844" s="28">
        <v>162.585076352024</v>
      </c>
      <c r="E2844" s="14" t="s">
        <v>1687</v>
      </c>
      <c r="F2844" s="11">
        <v>174</v>
      </c>
    </row>
    <row r="2845" spans="2:6" x14ac:dyDescent="0.3">
      <c r="B2845" s="12">
        <v>2842</v>
      </c>
      <c r="C2845" s="28">
        <v>157.01023805805892</v>
      </c>
      <c r="E2845" s="14" t="s">
        <v>1033</v>
      </c>
      <c r="F2845" s="11">
        <v>175</v>
      </c>
    </row>
    <row r="2846" spans="2:6" x14ac:dyDescent="0.3">
      <c r="B2846" s="12">
        <v>2843</v>
      </c>
      <c r="C2846" s="28">
        <v>158.84344324385074</v>
      </c>
      <c r="E2846" s="14" t="s">
        <v>1405</v>
      </c>
      <c r="F2846" s="11">
        <v>169</v>
      </c>
    </row>
    <row r="2847" spans="2:6" x14ac:dyDescent="0.3">
      <c r="B2847" s="12">
        <v>2844</v>
      </c>
      <c r="C2847" s="28">
        <v>171.80081875687694</v>
      </c>
      <c r="E2847" s="14" t="s">
        <v>4739</v>
      </c>
      <c r="F2847" s="11">
        <v>179</v>
      </c>
    </row>
    <row r="2848" spans="2:6" x14ac:dyDescent="0.3">
      <c r="B2848" s="12">
        <v>2845</v>
      </c>
      <c r="C2848" s="28">
        <v>174.52233317871298</v>
      </c>
      <c r="E2848" s="14" t="s">
        <v>2019</v>
      </c>
      <c r="F2848" s="11">
        <v>178</v>
      </c>
    </row>
    <row r="2849" spans="2:6" x14ac:dyDescent="0.3">
      <c r="B2849" s="12">
        <v>2846</v>
      </c>
      <c r="C2849" s="28">
        <v>170.53183248937373</v>
      </c>
      <c r="E2849" s="14" t="s">
        <v>2131</v>
      </c>
      <c r="F2849" s="11">
        <v>157</v>
      </c>
    </row>
    <row r="2850" spans="2:6" x14ac:dyDescent="0.3">
      <c r="B2850" s="12">
        <v>2847</v>
      </c>
      <c r="C2850" s="28">
        <v>169.90052076862355</v>
      </c>
      <c r="E2850" s="14" t="s">
        <v>461</v>
      </c>
      <c r="F2850" s="11">
        <v>165</v>
      </c>
    </row>
    <row r="2851" spans="2:6" x14ac:dyDescent="0.3">
      <c r="B2851" s="12">
        <v>2848</v>
      </c>
      <c r="C2851" s="28">
        <v>153.98403320008447</v>
      </c>
      <c r="E2851" s="14" t="s">
        <v>485</v>
      </c>
      <c r="F2851" s="11">
        <v>152</v>
      </c>
    </row>
    <row r="2852" spans="2:6" x14ac:dyDescent="0.3">
      <c r="B2852" s="12">
        <v>2849</v>
      </c>
      <c r="C2852" s="28">
        <v>153.4562490952944</v>
      </c>
      <c r="E2852" s="14" t="s">
        <v>690</v>
      </c>
      <c r="F2852" s="11">
        <v>172</v>
      </c>
    </row>
    <row r="2853" spans="2:6" x14ac:dyDescent="0.3">
      <c r="B2853" s="12">
        <v>2850</v>
      </c>
      <c r="C2853" s="28">
        <v>169.94244802580263</v>
      </c>
      <c r="E2853" s="14" t="s">
        <v>2432</v>
      </c>
      <c r="F2853" s="11">
        <v>171</v>
      </c>
    </row>
    <row r="2854" spans="2:6" x14ac:dyDescent="0.3">
      <c r="B2854" s="12">
        <v>2851</v>
      </c>
      <c r="C2854" s="28">
        <v>159.00330972986188</v>
      </c>
      <c r="E2854" s="14" t="s">
        <v>1174</v>
      </c>
      <c r="F2854" s="11">
        <v>172</v>
      </c>
    </row>
    <row r="2855" spans="2:6" x14ac:dyDescent="0.3">
      <c r="B2855" s="12">
        <v>2852</v>
      </c>
      <c r="C2855" s="28">
        <v>163.58153723461513</v>
      </c>
      <c r="E2855" s="14" t="s">
        <v>1328</v>
      </c>
      <c r="F2855" s="11">
        <v>173</v>
      </c>
    </row>
    <row r="2856" spans="2:6" x14ac:dyDescent="0.3">
      <c r="B2856" s="12">
        <v>2853</v>
      </c>
      <c r="C2856" s="28">
        <v>158.39785324438026</v>
      </c>
      <c r="E2856" s="14" t="s">
        <v>2458</v>
      </c>
      <c r="F2856" s="11">
        <v>180</v>
      </c>
    </row>
    <row r="2857" spans="2:6" x14ac:dyDescent="0.3">
      <c r="B2857" s="12">
        <v>2854</v>
      </c>
      <c r="C2857" s="28">
        <v>157.95988924855155</v>
      </c>
      <c r="E2857" s="14" t="s">
        <v>2903</v>
      </c>
      <c r="F2857" s="11">
        <v>169</v>
      </c>
    </row>
    <row r="2858" spans="2:6" x14ac:dyDescent="0.3">
      <c r="B2858" s="12">
        <v>2855</v>
      </c>
      <c r="C2858" s="28">
        <v>165.70580713651134</v>
      </c>
      <c r="E2858" s="14" t="s">
        <v>2593</v>
      </c>
      <c r="F2858" s="11">
        <v>173</v>
      </c>
    </row>
    <row r="2859" spans="2:6" x14ac:dyDescent="0.3">
      <c r="B2859" s="12">
        <v>2856</v>
      </c>
      <c r="C2859" s="28">
        <v>157.8362222218955</v>
      </c>
      <c r="E2859" s="14" t="s">
        <v>431</v>
      </c>
      <c r="F2859" s="11">
        <v>164</v>
      </c>
    </row>
    <row r="2860" spans="2:6" x14ac:dyDescent="0.3">
      <c r="B2860" s="12">
        <v>2857</v>
      </c>
      <c r="C2860" s="28">
        <v>183.55246062540806</v>
      </c>
      <c r="E2860" s="14" t="s">
        <v>1742</v>
      </c>
      <c r="F2860" s="11">
        <v>168</v>
      </c>
    </row>
    <row r="2861" spans="2:6" x14ac:dyDescent="0.3">
      <c r="B2861" s="12">
        <v>2858</v>
      </c>
      <c r="C2861" s="28">
        <v>153.92040414983077</v>
      </c>
      <c r="E2861" s="14" t="s">
        <v>1869</v>
      </c>
      <c r="F2861" s="11">
        <v>169</v>
      </c>
    </row>
    <row r="2862" spans="2:6" x14ac:dyDescent="0.3">
      <c r="B2862" s="12">
        <v>2859</v>
      </c>
      <c r="C2862" s="28">
        <v>158.15711700135688</v>
      </c>
      <c r="E2862" s="14" t="s">
        <v>2186</v>
      </c>
      <c r="F2862" s="11">
        <v>169</v>
      </c>
    </row>
    <row r="2863" spans="2:6" x14ac:dyDescent="0.3">
      <c r="B2863" s="12">
        <v>2860</v>
      </c>
      <c r="C2863" s="28">
        <v>148.08462823749815</v>
      </c>
      <c r="E2863" s="14" t="s">
        <v>5</v>
      </c>
      <c r="F2863" s="11">
        <v>172</v>
      </c>
    </row>
    <row r="2864" spans="2:6" x14ac:dyDescent="0.3">
      <c r="B2864" s="12">
        <v>2861</v>
      </c>
      <c r="C2864" s="28">
        <v>163.48936263258165</v>
      </c>
      <c r="E2864" s="14" t="s">
        <v>137</v>
      </c>
      <c r="F2864" s="11">
        <v>165</v>
      </c>
    </row>
    <row r="2865" spans="2:6" x14ac:dyDescent="0.3">
      <c r="B2865" s="12">
        <v>2862</v>
      </c>
      <c r="C2865" s="28">
        <v>159.17128691143949</v>
      </c>
      <c r="E2865" s="14" t="s">
        <v>1558</v>
      </c>
      <c r="F2865" s="11">
        <v>168</v>
      </c>
    </row>
    <row r="2866" spans="2:6" x14ac:dyDescent="0.3">
      <c r="B2866" s="12">
        <v>2863</v>
      </c>
      <c r="C2866" s="28">
        <v>171.25528218963478</v>
      </c>
      <c r="E2866" s="14" t="s">
        <v>1851</v>
      </c>
      <c r="F2866" s="11">
        <v>169</v>
      </c>
    </row>
    <row r="2867" spans="2:6" x14ac:dyDescent="0.3">
      <c r="B2867" s="12">
        <v>2864</v>
      </c>
      <c r="C2867" s="28">
        <v>172.28399227495902</v>
      </c>
      <c r="E2867" s="14" t="s">
        <v>1872</v>
      </c>
      <c r="F2867" s="11">
        <v>173</v>
      </c>
    </row>
    <row r="2868" spans="2:6" x14ac:dyDescent="0.3">
      <c r="B2868" s="12">
        <v>2865</v>
      </c>
      <c r="C2868" s="28">
        <v>149.52154845688796</v>
      </c>
      <c r="E2868" s="14" t="s">
        <v>1826</v>
      </c>
      <c r="F2868" s="11">
        <v>156</v>
      </c>
    </row>
    <row r="2869" spans="2:6" x14ac:dyDescent="0.3">
      <c r="B2869" s="12">
        <v>2866</v>
      </c>
      <c r="C2869" s="28">
        <v>157.64867169631432</v>
      </c>
      <c r="E2869" s="14" t="s">
        <v>2939</v>
      </c>
      <c r="F2869" s="11">
        <v>146</v>
      </c>
    </row>
    <row r="2870" spans="2:6" x14ac:dyDescent="0.3">
      <c r="B2870" s="12">
        <v>2867</v>
      </c>
      <c r="C2870" s="28">
        <v>162.81844325673703</v>
      </c>
      <c r="E2870" s="14" t="s">
        <v>2977</v>
      </c>
      <c r="F2870" s="11">
        <v>163</v>
      </c>
    </row>
    <row r="2871" spans="2:6" x14ac:dyDescent="0.3">
      <c r="B2871" s="12">
        <v>2868</v>
      </c>
      <c r="C2871" s="28">
        <v>153.00956452795384</v>
      </c>
      <c r="E2871" s="14" t="s">
        <v>4793</v>
      </c>
      <c r="F2871" s="11">
        <v>176</v>
      </c>
    </row>
    <row r="2872" spans="2:6" x14ac:dyDescent="0.3">
      <c r="B2872" s="12">
        <v>2869</v>
      </c>
      <c r="C2872" s="28">
        <v>158.01651974065865</v>
      </c>
      <c r="E2872" s="14" t="s">
        <v>47</v>
      </c>
      <c r="F2872" s="11">
        <v>172</v>
      </c>
    </row>
    <row r="2873" spans="2:6" x14ac:dyDescent="0.3">
      <c r="B2873" s="12">
        <v>2870</v>
      </c>
      <c r="C2873" s="28">
        <v>165.81886144413505</v>
      </c>
      <c r="E2873" s="14" t="s">
        <v>784</v>
      </c>
      <c r="F2873" s="11">
        <v>161</v>
      </c>
    </row>
    <row r="2874" spans="2:6" x14ac:dyDescent="0.3">
      <c r="B2874" s="12">
        <v>2871</v>
      </c>
      <c r="C2874" s="28">
        <v>172.65077352599678</v>
      </c>
      <c r="E2874" s="14" t="s">
        <v>1008</v>
      </c>
      <c r="F2874" s="11">
        <v>198</v>
      </c>
    </row>
    <row r="2875" spans="2:6" x14ac:dyDescent="0.3">
      <c r="B2875" s="12">
        <v>2872</v>
      </c>
      <c r="C2875" s="28">
        <v>172.01097317267704</v>
      </c>
      <c r="E2875" s="14" t="s">
        <v>9</v>
      </c>
      <c r="F2875" s="11">
        <v>147</v>
      </c>
    </row>
    <row r="2876" spans="2:6" x14ac:dyDescent="0.3">
      <c r="B2876" s="12">
        <v>2873</v>
      </c>
      <c r="C2876" s="28">
        <v>162.86931281438075</v>
      </c>
      <c r="E2876" s="14" t="s">
        <v>3030</v>
      </c>
      <c r="F2876" s="11">
        <v>168</v>
      </c>
    </row>
    <row r="2877" spans="2:6" x14ac:dyDescent="0.3">
      <c r="B2877" s="12">
        <v>2874</v>
      </c>
      <c r="C2877" s="28">
        <v>160.26901890317455</v>
      </c>
      <c r="E2877" s="14" t="s">
        <v>4748</v>
      </c>
      <c r="F2877" s="11">
        <v>170</v>
      </c>
    </row>
    <row r="2878" spans="2:6" x14ac:dyDescent="0.3">
      <c r="B2878" s="12">
        <v>2875</v>
      </c>
      <c r="C2878" s="28">
        <v>166.89957982940336</v>
      </c>
      <c r="E2878" s="14" t="s">
        <v>2797</v>
      </c>
      <c r="F2878" s="11">
        <v>175</v>
      </c>
    </row>
    <row r="2879" spans="2:6" x14ac:dyDescent="0.3">
      <c r="B2879" s="12">
        <v>2876</v>
      </c>
      <c r="C2879" s="28">
        <v>165.42840034972579</v>
      </c>
      <c r="E2879" s="14" t="s">
        <v>3126</v>
      </c>
      <c r="F2879" s="11">
        <v>183</v>
      </c>
    </row>
    <row r="2880" spans="2:6" x14ac:dyDescent="0.3">
      <c r="B2880" s="12">
        <v>2877</v>
      </c>
      <c r="C2880" s="28">
        <v>157.5954262473787</v>
      </c>
      <c r="E2880" s="14" t="s">
        <v>3975</v>
      </c>
      <c r="F2880" s="11">
        <v>172</v>
      </c>
    </row>
    <row r="2881" spans="2:6" x14ac:dyDescent="0.3">
      <c r="B2881" s="12">
        <v>2878</v>
      </c>
      <c r="C2881" s="28">
        <v>161.61247301439835</v>
      </c>
      <c r="E2881" s="14" t="s">
        <v>2745</v>
      </c>
      <c r="F2881" s="11">
        <v>170</v>
      </c>
    </row>
    <row r="2882" spans="2:6" x14ac:dyDescent="0.3">
      <c r="B2882" s="12">
        <v>2879</v>
      </c>
      <c r="C2882" s="28">
        <v>155.11285681237001</v>
      </c>
      <c r="E2882" s="14" t="s">
        <v>2008</v>
      </c>
      <c r="F2882" s="11">
        <v>162</v>
      </c>
    </row>
    <row r="2883" spans="2:6" x14ac:dyDescent="0.3">
      <c r="B2883" s="12">
        <v>2880</v>
      </c>
      <c r="C2883" s="28">
        <v>175.27350696194998</v>
      </c>
      <c r="E2883" s="14" t="s">
        <v>1261</v>
      </c>
      <c r="F2883" s="11">
        <v>186</v>
      </c>
    </row>
    <row r="2884" spans="2:6" x14ac:dyDescent="0.3">
      <c r="B2884" s="12">
        <v>2881</v>
      </c>
      <c r="C2884" s="28">
        <v>159.84413152007599</v>
      </c>
      <c r="E2884" s="14" t="s">
        <v>3758</v>
      </c>
      <c r="F2884" s="11">
        <v>158</v>
      </c>
    </row>
    <row r="2885" spans="2:6" x14ac:dyDescent="0.3">
      <c r="B2885" s="12">
        <v>2882</v>
      </c>
      <c r="C2885" s="28">
        <v>160.07168394610281</v>
      </c>
      <c r="E2885" s="14" t="s">
        <v>4224</v>
      </c>
      <c r="F2885" s="11">
        <v>183</v>
      </c>
    </row>
    <row r="2886" spans="2:6" x14ac:dyDescent="0.3">
      <c r="B2886" s="12">
        <v>2883</v>
      </c>
      <c r="C2886" s="28">
        <v>153.56487575934389</v>
      </c>
      <c r="E2886" s="14" t="s">
        <v>4370</v>
      </c>
      <c r="F2886" s="11">
        <v>170</v>
      </c>
    </row>
    <row r="2887" spans="2:6" x14ac:dyDescent="0.3">
      <c r="B2887" s="12">
        <v>2884</v>
      </c>
      <c r="C2887" s="28">
        <v>164.76965357644602</v>
      </c>
      <c r="E2887" s="14" t="s">
        <v>2002</v>
      </c>
      <c r="F2887" s="11">
        <v>175</v>
      </c>
    </row>
    <row r="2888" spans="2:6" x14ac:dyDescent="0.3">
      <c r="B2888" s="12">
        <v>2885</v>
      </c>
      <c r="C2888" s="28">
        <v>169.29655867176427</v>
      </c>
      <c r="E2888" s="14" t="s">
        <v>2542</v>
      </c>
      <c r="F2888" s="11">
        <v>167</v>
      </c>
    </row>
    <row r="2889" spans="2:6" x14ac:dyDescent="0.3">
      <c r="B2889" s="12">
        <v>2886</v>
      </c>
      <c r="C2889" s="28">
        <v>152.5075384261724</v>
      </c>
      <c r="E2889" s="14" t="s">
        <v>2798</v>
      </c>
      <c r="F2889" s="11">
        <v>170</v>
      </c>
    </row>
    <row r="2890" spans="2:6" x14ac:dyDescent="0.3">
      <c r="B2890" s="12">
        <v>2887</v>
      </c>
      <c r="C2890" s="28">
        <v>160.98276298766501</v>
      </c>
      <c r="E2890" s="14" t="s">
        <v>77</v>
      </c>
      <c r="F2890" s="11">
        <v>160</v>
      </c>
    </row>
    <row r="2891" spans="2:6" x14ac:dyDescent="0.3">
      <c r="B2891" s="12">
        <v>2888</v>
      </c>
      <c r="C2891" s="28">
        <v>161.20333972685609</v>
      </c>
      <c r="E2891" s="14" t="s">
        <v>328</v>
      </c>
      <c r="F2891" s="11">
        <v>172</v>
      </c>
    </row>
    <row r="2892" spans="2:6" x14ac:dyDescent="0.3">
      <c r="B2892" s="12">
        <v>2889</v>
      </c>
      <c r="C2892" s="28">
        <v>157.45945060275648</v>
      </c>
      <c r="E2892" s="14" t="s">
        <v>2689</v>
      </c>
      <c r="F2892" s="11">
        <v>169</v>
      </c>
    </row>
    <row r="2893" spans="2:6" x14ac:dyDescent="0.3">
      <c r="B2893" s="12">
        <v>2890</v>
      </c>
      <c r="C2893" s="28">
        <v>175.88915016171569</v>
      </c>
      <c r="E2893" s="14" t="s">
        <v>124</v>
      </c>
      <c r="F2893" s="11">
        <v>180</v>
      </c>
    </row>
    <row r="2894" spans="2:6" x14ac:dyDescent="0.3">
      <c r="B2894" s="12">
        <v>2891</v>
      </c>
      <c r="C2894" s="28">
        <v>159.1002120777614</v>
      </c>
      <c r="E2894" s="14" t="s">
        <v>4699</v>
      </c>
      <c r="F2894" s="11">
        <v>180</v>
      </c>
    </row>
    <row r="2895" spans="2:6" x14ac:dyDescent="0.3">
      <c r="B2895" s="12">
        <v>2892</v>
      </c>
      <c r="C2895" s="28">
        <v>167.0554400361078</v>
      </c>
      <c r="E2895" s="14" t="s">
        <v>3507</v>
      </c>
      <c r="F2895" s="11">
        <v>163</v>
      </c>
    </row>
    <row r="2896" spans="2:6" x14ac:dyDescent="0.3">
      <c r="B2896" s="12">
        <v>2893</v>
      </c>
      <c r="C2896" s="28">
        <v>175.00828462372817</v>
      </c>
      <c r="E2896" s="14" t="s">
        <v>2159</v>
      </c>
      <c r="F2896" s="11">
        <v>167</v>
      </c>
    </row>
    <row r="2897" spans="2:6" x14ac:dyDescent="0.3">
      <c r="B2897" s="12">
        <v>2894</v>
      </c>
      <c r="C2897" s="28">
        <v>161.70947469079442</v>
      </c>
      <c r="E2897" s="14" t="s">
        <v>295</v>
      </c>
      <c r="F2897" s="11">
        <v>176</v>
      </c>
    </row>
    <row r="2898" spans="2:6" x14ac:dyDescent="0.3">
      <c r="B2898" s="12">
        <v>2895</v>
      </c>
      <c r="C2898" s="28">
        <v>164.1142099140954</v>
      </c>
      <c r="E2898" s="14" t="s">
        <v>1032</v>
      </c>
      <c r="F2898" s="11">
        <v>170</v>
      </c>
    </row>
    <row r="2899" spans="2:6" x14ac:dyDescent="0.3">
      <c r="B2899" s="12">
        <v>2896</v>
      </c>
      <c r="C2899" s="28">
        <v>156.28648038576029</v>
      </c>
      <c r="E2899" s="14" t="s">
        <v>4196</v>
      </c>
      <c r="F2899" s="11">
        <v>185</v>
      </c>
    </row>
    <row r="2900" spans="2:6" x14ac:dyDescent="0.3">
      <c r="B2900" s="12">
        <v>2897</v>
      </c>
      <c r="C2900" s="28">
        <v>159.31648165797677</v>
      </c>
      <c r="E2900" s="14" t="s">
        <v>4453</v>
      </c>
      <c r="F2900" s="11">
        <v>174</v>
      </c>
    </row>
    <row r="2901" spans="2:6" x14ac:dyDescent="0.3">
      <c r="B2901" s="12">
        <v>2898</v>
      </c>
      <c r="C2901" s="28">
        <v>168.44663484153176</v>
      </c>
      <c r="E2901" s="14" t="s">
        <v>2150</v>
      </c>
      <c r="F2901" s="11">
        <v>173</v>
      </c>
    </row>
    <row r="2902" spans="2:6" x14ac:dyDescent="0.3">
      <c r="B2902" s="12">
        <v>2899</v>
      </c>
      <c r="C2902" s="28">
        <v>170.32754277034238</v>
      </c>
      <c r="E2902" s="14" t="s">
        <v>2577</v>
      </c>
      <c r="F2902" s="11">
        <v>159</v>
      </c>
    </row>
    <row r="2903" spans="2:6" x14ac:dyDescent="0.3">
      <c r="B2903" s="12">
        <v>2900</v>
      </c>
      <c r="C2903" s="28">
        <v>152.75926166101169</v>
      </c>
      <c r="E2903" s="14" t="s">
        <v>2388</v>
      </c>
      <c r="F2903" s="11">
        <v>172</v>
      </c>
    </row>
    <row r="2904" spans="2:6" x14ac:dyDescent="0.3">
      <c r="B2904" s="12">
        <v>2901</v>
      </c>
      <c r="C2904" s="28">
        <v>168.02444274018944</v>
      </c>
      <c r="E2904" s="14" t="s">
        <v>2151</v>
      </c>
      <c r="F2904" s="11">
        <v>178</v>
      </c>
    </row>
    <row r="2905" spans="2:6" x14ac:dyDescent="0.3">
      <c r="B2905" s="12">
        <v>2902</v>
      </c>
      <c r="C2905" s="28">
        <v>163.35238110707715</v>
      </c>
      <c r="E2905" s="14" t="s">
        <v>2152</v>
      </c>
      <c r="F2905" s="11">
        <v>176</v>
      </c>
    </row>
    <row r="2906" spans="2:6" x14ac:dyDescent="0.3">
      <c r="B2906" s="12">
        <v>2903</v>
      </c>
      <c r="C2906" s="28">
        <v>155.20439299527342</v>
      </c>
      <c r="E2906" s="14" t="s">
        <v>1045</v>
      </c>
      <c r="F2906" s="11">
        <v>167</v>
      </c>
    </row>
    <row r="2907" spans="2:6" x14ac:dyDescent="0.3">
      <c r="B2907" s="12">
        <v>2904</v>
      </c>
      <c r="C2907" s="28">
        <v>161.13123577946965</v>
      </c>
      <c r="E2907" s="14" t="s">
        <v>1822</v>
      </c>
      <c r="F2907" s="11">
        <v>164</v>
      </c>
    </row>
    <row r="2908" spans="2:6" x14ac:dyDescent="0.3">
      <c r="B2908" s="12">
        <v>2905</v>
      </c>
      <c r="C2908" s="28">
        <v>172.66752219339017</v>
      </c>
      <c r="E2908" s="14" t="s">
        <v>582</v>
      </c>
      <c r="F2908" s="11">
        <v>160</v>
      </c>
    </row>
    <row r="2909" spans="2:6" x14ac:dyDescent="0.3">
      <c r="B2909" s="12">
        <v>2906</v>
      </c>
      <c r="C2909" s="28">
        <v>150.07845481918497</v>
      </c>
      <c r="E2909" s="14" t="s">
        <v>2928</v>
      </c>
      <c r="F2909" s="11">
        <v>170</v>
      </c>
    </row>
    <row r="2910" spans="2:6" x14ac:dyDescent="0.3">
      <c r="B2910" s="12">
        <v>2907</v>
      </c>
      <c r="C2910" s="28">
        <v>170.43375591927304</v>
      </c>
      <c r="E2910" s="14" t="s">
        <v>334</v>
      </c>
      <c r="F2910" s="11">
        <v>179</v>
      </c>
    </row>
    <row r="2911" spans="2:6" x14ac:dyDescent="0.3">
      <c r="B2911" s="12">
        <v>2908</v>
      </c>
      <c r="C2911" s="28">
        <v>162.21668191481078</v>
      </c>
      <c r="E2911" s="14" t="s">
        <v>1267</v>
      </c>
      <c r="F2911" s="11">
        <v>167</v>
      </c>
    </row>
    <row r="2912" spans="2:6" x14ac:dyDescent="0.3">
      <c r="B2912" s="12">
        <v>2909</v>
      </c>
      <c r="C2912" s="28">
        <v>171.0742092101485</v>
      </c>
      <c r="E2912" s="14" t="s">
        <v>560</v>
      </c>
      <c r="F2912" s="11">
        <v>165</v>
      </c>
    </row>
    <row r="2913" spans="2:6" x14ac:dyDescent="0.3">
      <c r="B2913" s="12">
        <v>2910</v>
      </c>
      <c r="C2913" s="28">
        <v>165.1164009722084</v>
      </c>
      <c r="E2913" s="14" t="s">
        <v>1729</v>
      </c>
      <c r="F2913" s="11">
        <v>169</v>
      </c>
    </row>
    <row r="2914" spans="2:6" x14ac:dyDescent="0.3">
      <c r="B2914" s="12">
        <v>2911</v>
      </c>
      <c r="C2914" s="28">
        <v>157.42813169433626</v>
      </c>
      <c r="E2914" s="14" t="s">
        <v>1734</v>
      </c>
      <c r="F2914" s="11">
        <v>168</v>
      </c>
    </row>
    <row r="2915" spans="2:6" x14ac:dyDescent="0.3">
      <c r="B2915" s="12">
        <v>2912</v>
      </c>
      <c r="C2915" s="28">
        <v>153.80212191842799</v>
      </c>
      <c r="E2915" s="14" t="s">
        <v>4488</v>
      </c>
      <c r="F2915" s="11">
        <v>172</v>
      </c>
    </row>
    <row r="2916" spans="2:6" x14ac:dyDescent="0.3">
      <c r="B2916" s="12">
        <v>2913</v>
      </c>
      <c r="C2916" s="28">
        <v>168.26227701560376</v>
      </c>
      <c r="E2916" s="14" t="s">
        <v>1990</v>
      </c>
      <c r="F2916" s="11">
        <v>170</v>
      </c>
    </row>
    <row r="2917" spans="2:6" x14ac:dyDescent="0.3">
      <c r="B2917" s="12">
        <v>2914</v>
      </c>
      <c r="C2917" s="28">
        <v>169.44290903204592</v>
      </c>
      <c r="E2917" s="14" t="s">
        <v>3411</v>
      </c>
      <c r="F2917" s="11">
        <v>177</v>
      </c>
    </row>
    <row r="2918" spans="2:6" x14ac:dyDescent="0.3">
      <c r="B2918" s="12">
        <v>2915</v>
      </c>
      <c r="C2918" s="28">
        <v>146.93672693300411</v>
      </c>
      <c r="E2918" s="14" t="s">
        <v>4042</v>
      </c>
      <c r="F2918" s="11">
        <v>157</v>
      </c>
    </row>
    <row r="2919" spans="2:6" x14ac:dyDescent="0.3">
      <c r="B2919" s="12">
        <v>2916</v>
      </c>
      <c r="C2919" s="28">
        <v>152.24608796979444</v>
      </c>
      <c r="E2919" s="14" t="s">
        <v>2530</v>
      </c>
      <c r="F2919" s="11">
        <v>163</v>
      </c>
    </row>
    <row r="2920" spans="2:6" x14ac:dyDescent="0.3">
      <c r="B2920" s="12">
        <v>2917</v>
      </c>
      <c r="C2920" s="28">
        <v>156.88544303622274</v>
      </c>
      <c r="E2920" s="14" t="s">
        <v>2620</v>
      </c>
      <c r="F2920" s="11">
        <v>151</v>
      </c>
    </row>
    <row r="2921" spans="2:6" x14ac:dyDescent="0.3">
      <c r="B2921" s="12">
        <v>2918</v>
      </c>
      <c r="C2921" s="28">
        <v>171.21442381175783</v>
      </c>
      <c r="E2921" s="14" t="s">
        <v>4355</v>
      </c>
      <c r="F2921" s="11">
        <v>148</v>
      </c>
    </row>
    <row r="2922" spans="2:6" x14ac:dyDescent="0.3">
      <c r="B2922" s="12">
        <v>2919</v>
      </c>
      <c r="C2922" s="28">
        <v>161.96393390193214</v>
      </c>
      <c r="E2922" s="14" t="s">
        <v>1178</v>
      </c>
      <c r="F2922" s="11">
        <v>161</v>
      </c>
    </row>
    <row r="2923" spans="2:6" x14ac:dyDescent="0.3">
      <c r="B2923" s="12">
        <v>2920</v>
      </c>
      <c r="C2923" s="28">
        <v>165.83103587060734</v>
      </c>
      <c r="E2923" s="14" t="s">
        <v>388</v>
      </c>
      <c r="F2923" s="11">
        <v>180</v>
      </c>
    </row>
    <row r="2924" spans="2:6" x14ac:dyDescent="0.3">
      <c r="B2924" s="12">
        <v>2921</v>
      </c>
      <c r="C2924" s="28">
        <v>157.43227432826103</v>
      </c>
      <c r="E2924" s="14" t="s">
        <v>3332</v>
      </c>
      <c r="F2924" s="11">
        <v>180</v>
      </c>
    </row>
    <row r="2925" spans="2:6" x14ac:dyDescent="0.3">
      <c r="B2925" s="12">
        <v>2922</v>
      </c>
      <c r="C2925" s="28">
        <v>179.3977633422279</v>
      </c>
      <c r="E2925" s="14" t="s">
        <v>4157</v>
      </c>
      <c r="F2925" s="11">
        <v>177</v>
      </c>
    </row>
    <row r="2926" spans="2:6" x14ac:dyDescent="0.3">
      <c r="B2926" s="12">
        <v>2923</v>
      </c>
      <c r="C2926" s="28">
        <v>158.31256321808411</v>
      </c>
      <c r="E2926" s="14" t="s">
        <v>404</v>
      </c>
      <c r="F2926" s="11">
        <v>170</v>
      </c>
    </row>
    <row r="2927" spans="2:6" x14ac:dyDescent="0.3">
      <c r="B2927" s="12">
        <v>2924</v>
      </c>
      <c r="C2927" s="28">
        <v>177.67926574315914</v>
      </c>
      <c r="E2927" s="14" t="s">
        <v>525</v>
      </c>
      <c r="F2927" s="11">
        <v>170</v>
      </c>
    </row>
    <row r="2928" spans="2:6" x14ac:dyDescent="0.3">
      <c r="B2928" s="12">
        <v>2925</v>
      </c>
      <c r="C2928" s="28">
        <v>181.04486763890856</v>
      </c>
      <c r="E2928" s="14" t="s">
        <v>2475</v>
      </c>
      <c r="F2928" s="11">
        <v>154</v>
      </c>
    </row>
    <row r="2929" spans="2:6" x14ac:dyDescent="0.3">
      <c r="B2929" s="12">
        <v>2926</v>
      </c>
      <c r="C2929" s="28">
        <v>164.13221167755944</v>
      </c>
      <c r="E2929" s="14" t="s">
        <v>668</v>
      </c>
      <c r="F2929" s="11">
        <v>167</v>
      </c>
    </row>
    <row r="2930" spans="2:6" x14ac:dyDescent="0.3">
      <c r="B2930" s="12">
        <v>2927</v>
      </c>
      <c r="C2930" s="28">
        <v>176.45461951265941</v>
      </c>
      <c r="E2930" s="14" t="s">
        <v>4468</v>
      </c>
      <c r="F2930" s="11">
        <v>163</v>
      </c>
    </row>
    <row r="2931" spans="2:6" x14ac:dyDescent="0.3">
      <c r="B2931" s="12">
        <v>2928</v>
      </c>
      <c r="C2931" s="28">
        <v>154.32010994236475</v>
      </c>
      <c r="E2931" s="14" t="s">
        <v>3323</v>
      </c>
      <c r="F2931" s="11">
        <v>167</v>
      </c>
    </row>
    <row r="2932" spans="2:6" x14ac:dyDescent="0.3">
      <c r="B2932" s="12">
        <v>2929</v>
      </c>
      <c r="C2932" s="28">
        <v>173.66954019952036</v>
      </c>
      <c r="E2932" s="14" t="s">
        <v>1368</v>
      </c>
      <c r="F2932" s="11">
        <v>188</v>
      </c>
    </row>
    <row r="2933" spans="2:6" x14ac:dyDescent="0.3">
      <c r="B2933" s="12">
        <v>2930</v>
      </c>
      <c r="C2933" s="28">
        <v>157.59959634454927</v>
      </c>
      <c r="E2933" s="14" t="s">
        <v>1922</v>
      </c>
      <c r="F2933" s="11">
        <v>167</v>
      </c>
    </row>
    <row r="2934" spans="2:6" x14ac:dyDescent="0.3">
      <c r="B2934" s="12">
        <v>2931</v>
      </c>
      <c r="C2934" s="28">
        <v>160.99727805266426</v>
      </c>
      <c r="E2934" s="14" t="s">
        <v>3316</v>
      </c>
      <c r="F2934" s="11">
        <v>174</v>
      </c>
    </row>
    <row r="2935" spans="2:6" x14ac:dyDescent="0.3">
      <c r="B2935" s="12">
        <v>2932</v>
      </c>
      <c r="C2935" s="28">
        <v>171.35271143358591</v>
      </c>
      <c r="E2935" s="14" t="s">
        <v>1189</v>
      </c>
      <c r="F2935" s="11">
        <v>173</v>
      </c>
    </row>
    <row r="2936" spans="2:6" x14ac:dyDescent="0.3">
      <c r="B2936" s="12">
        <v>2933</v>
      </c>
      <c r="C2936" s="28">
        <v>155.13867269223573</v>
      </c>
      <c r="E2936" s="14" t="s">
        <v>619</v>
      </c>
      <c r="F2936" s="11">
        <v>162</v>
      </c>
    </row>
    <row r="2937" spans="2:6" x14ac:dyDescent="0.3">
      <c r="B2937" s="12">
        <v>2934</v>
      </c>
      <c r="C2937" s="28">
        <v>164.22828499004132</v>
      </c>
      <c r="E2937" s="14" t="s">
        <v>1213</v>
      </c>
      <c r="F2937" s="11">
        <v>163</v>
      </c>
    </row>
    <row r="2938" spans="2:6" x14ac:dyDescent="0.3">
      <c r="B2938" s="12">
        <v>2935</v>
      </c>
      <c r="C2938" s="28">
        <v>159.07000226565586</v>
      </c>
      <c r="E2938" s="14" t="s">
        <v>4481</v>
      </c>
      <c r="F2938" s="11">
        <v>161</v>
      </c>
    </row>
    <row r="2939" spans="2:6" x14ac:dyDescent="0.3">
      <c r="B2939" s="12">
        <v>2936</v>
      </c>
      <c r="C2939" s="28">
        <v>147.85759083118094</v>
      </c>
      <c r="E2939" s="14" t="s">
        <v>2955</v>
      </c>
      <c r="F2939" s="11">
        <v>171</v>
      </c>
    </row>
    <row r="2940" spans="2:6" x14ac:dyDescent="0.3">
      <c r="B2940" s="12">
        <v>2937</v>
      </c>
      <c r="C2940" s="28">
        <v>160.15347546227591</v>
      </c>
      <c r="E2940" s="14" t="s">
        <v>2479</v>
      </c>
      <c r="F2940" s="11">
        <v>168</v>
      </c>
    </row>
    <row r="2941" spans="2:6" x14ac:dyDescent="0.3">
      <c r="B2941" s="12">
        <v>2938</v>
      </c>
      <c r="C2941" s="28">
        <v>161.62754694003328</v>
      </c>
      <c r="E2941" s="14" t="s">
        <v>1012</v>
      </c>
      <c r="F2941" s="11">
        <v>160</v>
      </c>
    </row>
    <row r="2942" spans="2:6" x14ac:dyDescent="0.3">
      <c r="B2942" s="12">
        <v>2939</v>
      </c>
      <c r="C2942" s="28">
        <v>169.82051092557245</v>
      </c>
      <c r="E2942" s="14" t="s">
        <v>1460</v>
      </c>
      <c r="F2942" s="11">
        <v>162</v>
      </c>
    </row>
    <row r="2943" spans="2:6" x14ac:dyDescent="0.3">
      <c r="B2943" s="12">
        <v>2940</v>
      </c>
      <c r="C2943" s="28">
        <v>157.36798083229127</v>
      </c>
      <c r="E2943" s="14" t="s">
        <v>3786</v>
      </c>
      <c r="F2943" s="11">
        <v>165</v>
      </c>
    </row>
    <row r="2944" spans="2:6" x14ac:dyDescent="0.3">
      <c r="B2944" s="12">
        <v>2941</v>
      </c>
      <c r="C2944" s="28">
        <v>167.93178265384856</v>
      </c>
      <c r="E2944" s="14" t="s">
        <v>4464</v>
      </c>
      <c r="F2944" s="11">
        <v>168</v>
      </c>
    </row>
    <row r="2945" spans="2:6" x14ac:dyDescent="0.3">
      <c r="B2945" s="12">
        <v>2942</v>
      </c>
      <c r="C2945" s="28">
        <v>159.60029054863801</v>
      </c>
      <c r="E2945" s="14" t="s">
        <v>27</v>
      </c>
      <c r="F2945" s="11">
        <v>172</v>
      </c>
    </row>
    <row r="2946" spans="2:6" x14ac:dyDescent="0.3">
      <c r="B2946" s="12">
        <v>2943</v>
      </c>
      <c r="C2946" s="28">
        <v>161.36784670534615</v>
      </c>
      <c r="E2946" s="14" t="s">
        <v>1484</v>
      </c>
      <c r="F2946" s="11">
        <v>158</v>
      </c>
    </row>
    <row r="2947" spans="2:6" x14ac:dyDescent="0.3">
      <c r="B2947" s="12">
        <v>2944</v>
      </c>
      <c r="C2947" s="28">
        <v>164.31060977767285</v>
      </c>
      <c r="E2947" s="14" t="s">
        <v>4</v>
      </c>
      <c r="F2947" s="11">
        <v>163</v>
      </c>
    </row>
    <row r="2948" spans="2:6" x14ac:dyDescent="0.3">
      <c r="B2948" s="12">
        <v>2945</v>
      </c>
      <c r="C2948" s="28">
        <v>163.92972090442873</v>
      </c>
      <c r="E2948" s="14" t="s">
        <v>2487</v>
      </c>
      <c r="F2948" s="11">
        <v>164</v>
      </c>
    </row>
    <row r="2949" spans="2:6" x14ac:dyDescent="0.3">
      <c r="B2949" s="12">
        <v>2946</v>
      </c>
      <c r="C2949" s="28">
        <v>174.03539779924157</v>
      </c>
      <c r="E2949" s="14" t="s">
        <v>2483</v>
      </c>
      <c r="F2949" s="11">
        <v>170</v>
      </c>
    </row>
    <row r="2950" spans="2:6" x14ac:dyDescent="0.3">
      <c r="B2950" s="12">
        <v>2947</v>
      </c>
      <c r="C2950" s="28">
        <v>154.60457556179281</v>
      </c>
      <c r="E2950" s="14" t="s">
        <v>3273</v>
      </c>
      <c r="F2950" s="11">
        <v>196</v>
      </c>
    </row>
    <row r="2951" spans="2:6" x14ac:dyDescent="0.3">
      <c r="B2951" s="12">
        <v>2948</v>
      </c>
      <c r="C2951" s="28">
        <v>155.046005274241</v>
      </c>
      <c r="E2951" s="14" t="s">
        <v>320</v>
      </c>
      <c r="F2951" s="11">
        <v>171</v>
      </c>
    </row>
    <row r="2952" spans="2:6" x14ac:dyDescent="0.3">
      <c r="B2952" s="12">
        <v>2949</v>
      </c>
      <c r="C2952" s="28">
        <v>160.23884350541576</v>
      </c>
      <c r="E2952" s="14" t="s">
        <v>633</v>
      </c>
      <c r="F2952" s="11">
        <v>158</v>
      </c>
    </row>
    <row r="2953" spans="2:6" x14ac:dyDescent="0.3">
      <c r="B2953" s="12">
        <v>2950</v>
      </c>
      <c r="C2953" s="28">
        <v>156.24209794113798</v>
      </c>
      <c r="E2953" s="14" t="s">
        <v>3336</v>
      </c>
      <c r="F2953" s="11">
        <v>167</v>
      </c>
    </row>
    <row r="2954" spans="2:6" x14ac:dyDescent="0.3">
      <c r="B2954" s="12">
        <v>2951</v>
      </c>
      <c r="C2954" s="28">
        <v>174.98880410767609</v>
      </c>
      <c r="E2954" s="14" t="s">
        <v>3617</v>
      </c>
      <c r="F2954" s="11">
        <v>172</v>
      </c>
    </row>
    <row r="2955" spans="2:6" x14ac:dyDescent="0.3">
      <c r="B2955" s="12">
        <v>2952</v>
      </c>
      <c r="C2955" s="28">
        <v>163.46998941312191</v>
      </c>
      <c r="E2955" s="14" t="s">
        <v>4288</v>
      </c>
      <c r="F2955" s="11">
        <v>169</v>
      </c>
    </row>
    <row r="2956" spans="2:6" x14ac:dyDescent="0.3">
      <c r="B2956" s="12">
        <v>2953</v>
      </c>
      <c r="C2956" s="28">
        <v>155.42472663594967</v>
      </c>
      <c r="E2956" s="14" t="s">
        <v>3462</v>
      </c>
      <c r="F2956" s="11">
        <v>172</v>
      </c>
    </row>
    <row r="2957" spans="2:6" x14ac:dyDescent="0.3">
      <c r="B2957" s="12">
        <v>2954</v>
      </c>
      <c r="C2957" s="28">
        <v>161.40861199153855</v>
      </c>
      <c r="E2957" s="14" t="s">
        <v>4958</v>
      </c>
      <c r="F2957" s="11">
        <v>175</v>
      </c>
    </row>
    <row r="2958" spans="2:6" x14ac:dyDescent="0.3">
      <c r="B2958" s="12">
        <v>2955</v>
      </c>
      <c r="C2958" s="28">
        <v>166.69112233443963</v>
      </c>
      <c r="E2958" s="14" t="s">
        <v>4586</v>
      </c>
      <c r="F2958" s="11">
        <v>168</v>
      </c>
    </row>
    <row r="2959" spans="2:6" x14ac:dyDescent="0.3">
      <c r="B2959" s="12">
        <v>2956</v>
      </c>
      <c r="C2959" s="28">
        <v>168.70037867923384</v>
      </c>
      <c r="E2959" s="14" t="s">
        <v>2210</v>
      </c>
      <c r="F2959" s="11">
        <v>175</v>
      </c>
    </row>
    <row r="2960" spans="2:6" x14ac:dyDescent="0.3">
      <c r="B2960" s="12">
        <v>2957</v>
      </c>
      <c r="C2960" s="28">
        <v>166.16348809292452</v>
      </c>
      <c r="E2960" s="14" t="s">
        <v>2637</v>
      </c>
      <c r="F2960" s="11">
        <v>158</v>
      </c>
    </row>
    <row r="2961" spans="2:6" x14ac:dyDescent="0.3">
      <c r="B2961" s="12">
        <v>2958</v>
      </c>
      <c r="C2961" s="28">
        <v>164.73169363046486</v>
      </c>
      <c r="E2961" s="14" t="s">
        <v>507</v>
      </c>
      <c r="F2961" s="11">
        <v>166</v>
      </c>
    </row>
    <row r="2962" spans="2:6" x14ac:dyDescent="0.3">
      <c r="B2962" s="12">
        <v>2959</v>
      </c>
      <c r="C2962" s="28">
        <v>155.8327542919524</v>
      </c>
      <c r="E2962" s="14" t="s">
        <v>4583</v>
      </c>
      <c r="F2962" s="11">
        <v>143</v>
      </c>
    </row>
    <row r="2963" spans="2:6" x14ac:dyDescent="0.3">
      <c r="B2963" s="12">
        <v>2960</v>
      </c>
      <c r="C2963" s="28">
        <v>166.01494921731762</v>
      </c>
      <c r="E2963" s="14" t="s">
        <v>1015</v>
      </c>
      <c r="F2963" s="11">
        <v>156</v>
      </c>
    </row>
    <row r="2964" spans="2:6" x14ac:dyDescent="0.3">
      <c r="B2964" s="12">
        <v>2961</v>
      </c>
      <c r="C2964" s="28">
        <v>165.71763205571438</v>
      </c>
      <c r="E2964" s="14" t="s">
        <v>2194</v>
      </c>
      <c r="F2964" s="11">
        <v>161</v>
      </c>
    </row>
    <row r="2965" spans="2:6" x14ac:dyDescent="0.3">
      <c r="B2965" s="12">
        <v>2962</v>
      </c>
      <c r="C2965" s="28">
        <v>170.78141999143907</v>
      </c>
      <c r="E2965" s="14" t="s">
        <v>31</v>
      </c>
      <c r="F2965" s="11">
        <v>174</v>
      </c>
    </row>
    <row r="2966" spans="2:6" x14ac:dyDescent="0.3">
      <c r="B2966" s="12">
        <v>2963</v>
      </c>
      <c r="C2966" s="28">
        <v>159.682800339549</v>
      </c>
      <c r="E2966" s="14" t="s">
        <v>4381</v>
      </c>
      <c r="F2966" s="11">
        <v>157</v>
      </c>
    </row>
    <row r="2967" spans="2:6" x14ac:dyDescent="0.3">
      <c r="B2967" s="12">
        <v>2964</v>
      </c>
      <c r="C2967" s="28">
        <v>160.65307497157625</v>
      </c>
      <c r="E2967" s="14" t="s">
        <v>290</v>
      </c>
      <c r="F2967" s="11">
        <v>180</v>
      </c>
    </row>
    <row r="2968" spans="2:6" x14ac:dyDescent="0.3">
      <c r="B2968" s="12">
        <v>2965</v>
      </c>
      <c r="C2968" s="28">
        <v>164.67352888620505</v>
      </c>
      <c r="E2968" s="14" t="s">
        <v>1701</v>
      </c>
      <c r="F2968" s="11">
        <v>170</v>
      </c>
    </row>
    <row r="2969" spans="2:6" x14ac:dyDescent="0.3">
      <c r="B2969" s="12">
        <v>2966</v>
      </c>
      <c r="C2969" s="28">
        <v>152.41335251546965</v>
      </c>
      <c r="E2969" s="14" t="s">
        <v>4113</v>
      </c>
      <c r="F2969" s="11">
        <v>173</v>
      </c>
    </row>
    <row r="2970" spans="2:6" x14ac:dyDescent="0.3">
      <c r="B2970" s="12">
        <v>2967</v>
      </c>
      <c r="C2970" s="28">
        <v>153.62875623848083</v>
      </c>
      <c r="E2970" s="14" t="s">
        <v>293</v>
      </c>
      <c r="F2970" s="11">
        <v>171</v>
      </c>
    </row>
    <row r="2971" spans="2:6" x14ac:dyDescent="0.3">
      <c r="B2971" s="12">
        <v>2968</v>
      </c>
      <c r="C2971" s="28">
        <v>155.51354411202962</v>
      </c>
      <c r="E2971" s="14" t="s">
        <v>2603</v>
      </c>
      <c r="F2971" s="11">
        <v>170</v>
      </c>
    </row>
    <row r="2972" spans="2:6" x14ac:dyDescent="0.3">
      <c r="B2972" s="12">
        <v>2969</v>
      </c>
      <c r="C2972" s="28">
        <v>170.37796128940758</v>
      </c>
      <c r="E2972" s="14" t="s">
        <v>4352</v>
      </c>
      <c r="F2972" s="11">
        <v>181</v>
      </c>
    </row>
    <row r="2973" spans="2:6" x14ac:dyDescent="0.3">
      <c r="B2973" s="12">
        <v>2970</v>
      </c>
      <c r="C2973" s="28">
        <v>172.50009796102847</v>
      </c>
      <c r="E2973" s="14" t="s">
        <v>1669</v>
      </c>
      <c r="F2973" s="11">
        <v>150</v>
      </c>
    </row>
    <row r="2974" spans="2:6" x14ac:dyDescent="0.3">
      <c r="B2974" s="12">
        <v>2971</v>
      </c>
      <c r="C2974" s="28">
        <v>167.33789139288211</v>
      </c>
      <c r="E2974" s="14" t="s">
        <v>4819</v>
      </c>
      <c r="F2974" s="11">
        <v>150</v>
      </c>
    </row>
    <row r="2975" spans="2:6" x14ac:dyDescent="0.3">
      <c r="B2975" s="12">
        <v>2972</v>
      </c>
      <c r="C2975" s="28">
        <v>156.23420365630102</v>
      </c>
      <c r="E2975" s="14" t="s">
        <v>2927</v>
      </c>
      <c r="F2975" s="11">
        <v>165</v>
      </c>
    </row>
    <row r="2976" spans="2:6" x14ac:dyDescent="0.3">
      <c r="B2976" s="12">
        <v>2973</v>
      </c>
      <c r="C2976" s="28">
        <v>156.57375894414892</v>
      </c>
      <c r="E2976" s="14" t="s">
        <v>787</v>
      </c>
      <c r="F2976" s="11">
        <v>172</v>
      </c>
    </row>
    <row r="2977" spans="2:6" x14ac:dyDescent="0.3">
      <c r="B2977" s="12">
        <v>2974</v>
      </c>
      <c r="C2977" s="28">
        <v>157.25236908855206</v>
      </c>
      <c r="E2977" s="14" t="s">
        <v>1815</v>
      </c>
      <c r="F2977" s="11">
        <v>178</v>
      </c>
    </row>
    <row r="2978" spans="2:6" x14ac:dyDescent="0.3">
      <c r="B2978" s="12">
        <v>2975</v>
      </c>
      <c r="C2978" s="28">
        <v>153.97977967191235</v>
      </c>
      <c r="E2978" s="14" t="s">
        <v>1204</v>
      </c>
      <c r="F2978" s="11">
        <v>173</v>
      </c>
    </row>
    <row r="2979" spans="2:6" x14ac:dyDescent="0.3">
      <c r="B2979" s="12">
        <v>2976</v>
      </c>
      <c r="C2979" s="28">
        <v>153.8256688950911</v>
      </c>
      <c r="E2979" s="14" t="s">
        <v>2561</v>
      </c>
      <c r="F2979" s="11">
        <v>161</v>
      </c>
    </row>
    <row r="2980" spans="2:6" x14ac:dyDescent="0.3">
      <c r="B2980" s="12">
        <v>2977</v>
      </c>
      <c r="C2980" s="28">
        <v>157.21506135199849</v>
      </c>
      <c r="E2980" s="14" t="s">
        <v>3249</v>
      </c>
      <c r="F2980" s="11">
        <v>180</v>
      </c>
    </row>
    <row r="2981" spans="2:6" x14ac:dyDescent="0.3">
      <c r="B2981" s="12">
        <v>2978</v>
      </c>
      <c r="C2981" s="28">
        <v>172.0655993268997</v>
      </c>
      <c r="E2981" s="14" t="s">
        <v>4535</v>
      </c>
      <c r="F2981" s="11">
        <v>178</v>
      </c>
    </row>
    <row r="2982" spans="2:6" x14ac:dyDescent="0.3">
      <c r="B2982" s="12">
        <v>2979</v>
      </c>
      <c r="C2982" s="28">
        <v>158.90727401459358</v>
      </c>
      <c r="E2982" s="14" t="s">
        <v>4513</v>
      </c>
      <c r="F2982" s="11">
        <v>172</v>
      </c>
    </row>
    <row r="2983" spans="2:6" x14ac:dyDescent="0.3">
      <c r="B2983" s="12">
        <v>2980</v>
      </c>
      <c r="C2983" s="28">
        <v>160.73078131919576</v>
      </c>
      <c r="E2983" s="14" t="s">
        <v>1613</v>
      </c>
      <c r="F2983" s="11">
        <v>160</v>
      </c>
    </row>
    <row r="2984" spans="2:6" x14ac:dyDescent="0.3">
      <c r="B2984" s="12">
        <v>2981</v>
      </c>
      <c r="C2984" s="28">
        <v>157.13865558001484</v>
      </c>
      <c r="E2984" s="14" t="s">
        <v>4568</v>
      </c>
      <c r="F2984" s="11">
        <v>172</v>
      </c>
    </row>
    <row r="2985" spans="2:6" x14ac:dyDescent="0.3">
      <c r="B2985" s="12">
        <v>2982</v>
      </c>
      <c r="C2985" s="28">
        <v>156.29114087074257</v>
      </c>
      <c r="E2985" s="14" t="s">
        <v>2868</v>
      </c>
      <c r="F2985" s="11">
        <v>178</v>
      </c>
    </row>
    <row r="2986" spans="2:6" x14ac:dyDescent="0.3">
      <c r="B2986" s="12">
        <v>2983</v>
      </c>
      <c r="C2986" s="28">
        <v>159.19548929879633</v>
      </c>
      <c r="E2986" s="14" t="s">
        <v>3536</v>
      </c>
      <c r="F2986" s="11">
        <v>171</v>
      </c>
    </row>
    <row r="2987" spans="2:6" x14ac:dyDescent="0.3">
      <c r="B2987" s="12">
        <v>2984</v>
      </c>
      <c r="C2987" s="28">
        <v>149.93415545427911</v>
      </c>
      <c r="E2987" s="14" t="s">
        <v>2871</v>
      </c>
      <c r="F2987" s="11">
        <v>166</v>
      </c>
    </row>
    <row r="2988" spans="2:6" x14ac:dyDescent="0.3">
      <c r="B2988" s="12">
        <v>2985</v>
      </c>
      <c r="C2988" s="28">
        <v>160.45828897553105</v>
      </c>
      <c r="E2988" s="14" t="s">
        <v>163</v>
      </c>
      <c r="F2988" s="11">
        <v>169</v>
      </c>
    </row>
    <row r="2989" spans="2:6" x14ac:dyDescent="0.3">
      <c r="B2989" s="12">
        <v>2986</v>
      </c>
      <c r="C2989" s="28">
        <v>150.69219843510223</v>
      </c>
      <c r="E2989" s="14" t="s">
        <v>166</v>
      </c>
      <c r="F2989" s="11">
        <v>174</v>
      </c>
    </row>
    <row r="2990" spans="2:6" x14ac:dyDescent="0.3">
      <c r="B2990" s="12">
        <v>2987</v>
      </c>
      <c r="C2990" s="28">
        <v>169.74481279716304</v>
      </c>
      <c r="E2990" s="14" t="s">
        <v>381</v>
      </c>
      <c r="F2990" s="11">
        <v>175</v>
      </c>
    </row>
    <row r="2991" spans="2:6" x14ac:dyDescent="0.3">
      <c r="B2991" s="12">
        <v>2988</v>
      </c>
      <c r="C2991" s="28">
        <v>163.33383677858521</v>
      </c>
      <c r="E2991" s="14" t="s">
        <v>764</v>
      </c>
      <c r="F2991" s="11">
        <v>172</v>
      </c>
    </row>
    <row r="2992" spans="2:6" x14ac:dyDescent="0.3">
      <c r="B2992" s="12">
        <v>2989</v>
      </c>
      <c r="C2992" s="28">
        <v>161.47133463508848</v>
      </c>
      <c r="E2992" s="14" t="s">
        <v>405</v>
      </c>
      <c r="F2992" s="11">
        <v>165</v>
      </c>
    </row>
    <row r="2993" spans="2:6" x14ac:dyDescent="0.3">
      <c r="B2993" s="12">
        <v>2990</v>
      </c>
      <c r="C2993" s="28">
        <v>165.47369454751086</v>
      </c>
      <c r="E2993" s="14" t="s">
        <v>562</v>
      </c>
      <c r="F2993" s="11">
        <v>160</v>
      </c>
    </row>
    <row r="2994" spans="2:6" x14ac:dyDescent="0.3">
      <c r="B2994" s="12">
        <v>2991</v>
      </c>
      <c r="C2994" s="28">
        <v>170.94372415754458</v>
      </c>
      <c r="E2994" s="14" t="s">
        <v>4695</v>
      </c>
      <c r="F2994" s="11">
        <v>168</v>
      </c>
    </row>
    <row r="2995" spans="2:6" x14ac:dyDescent="0.3">
      <c r="B2995" s="12">
        <v>2992</v>
      </c>
      <c r="C2995" s="28">
        <v>159.54513190510005</v>
      </c>
      <c r="E2995" s="14" t="s">
        <v>2459</v>
      </c>
      <c r="F2995" s="11">
        <v>167</v>
      </c>
    </row>
    <row r="2996" spans="2:6" x14ac:dyDescent="0.3">
      <c r="B2996" s="12">
        <v>2993</v>
      </c>
      <c r="C2996" s="28">
        <v>155.13441579980366</v>
      </c>
      <c r="E2996" s="14" t="s">
        <v>3460</v>
      </c>
      <c r="F2996" s="11">
        <v>158</v>
      </c>
    </row>
    <row r="2997" spans="2:6" x14ac:dyDescent="0.3">
      <c r="B2997" s="12">
        <v>2994</v>
      </c>
      <c r="C2997" s="28">
        <v>156.39061560326161</v>
      </c>
      <c r="E2997" s="14" t="s">
        <v>2785</v>
      </c>
      <c r="F2997" s="11">
        <v>167</v>
      </c>
    </row>
    <row r="2998" spans="2:6" x14ac:dyDescent="0.3">
      <c r="B2998" s="12">
        <v>2995</v>
      </c>
      <c r="C2998" s="28">
        <v>167.97681737571216</v>
      </c>
      <c r="E2998" s="14" t="s">
        <v>2629</v>
      </c>
      <c r="F2998" s="11">
        <v>159</v>
      </c>
    </row>
    <row r="2999" spans="2:6" x14ac:dyDescent="0.3">
      <c r="B2999" s="12">
        <v>2996</v>
      </c>
      <c r="C2999" s="28">
        <v>147.68995809232896</v>
      </c>
      <c r="E2999" s="14" t="s">
        <v>4069</v>
      </c>
      <c r="F2999" s="11">
        <v>164</v>
      </c>
    </row>
    <row r="3000" spans="2:6" x14ac:dyDescent="0.3">
      <c r="B3000" s="12">
        <v>2997</v>
      </c>
      <c r="C3000" s="28">
        <v>149.27996428122438</v>
      </c>
      <c r="E3000" s="14" t="s">
        <v>2243</v>
      </c>
      <c r="F3000" s="11">
        <v>158</v>
      </c>
    </row>
    <row r="3001" spans="2:6" x14ac:dyDescent="0.3">
      <c r="B3001" s="12">
        <v>2998</v>
      </c>
      <c r="C3001" s="28">
        <v>159.58033550113086</v>
      </c>
      <c r="E3001" s="14" t="s">
        <v>4269</v>
      </c>
      <c r="F3001" s="11">
        <v>165</v>
      </c>
    </row>
    <row r="3002" spans="2:6" x14ac:dyDescent="0.3">
      <c r="B3002" s="12">
        <v>2999</v>
      </c>
      <c r="C3002" s="28">
        <v>157.99410591111479</v>
      </c>
      <c r="E3002" s="14" t="s">
        <v>1533</v>
      </c>
      <c r="F3002" s="11">
        <v>174</v>
      </c>
    </row>
    <row r="3003" spans="2:6" x14ac:dyDescent="0.3">
      <c r="B3003" s="12">
        <v>3000</v>
      </c>
      <c r="C3003" s="28">
        <v>155.7881940113401</v>
      </c>
      <c r="E3003" s="14" t="s">
        <v>2793</v>
      </c>
      <c r="F3003" s="11">
        <v>166</v>
      </c>
    </row>
    <row r="3004" spans="2:6" x14ac:dyDescent="0.3">
      <c r="B3004" s="12">
        <v>3001</v>
      </c>
      <c r="C3004" s="28">
        <v>156.75261942025887</v>
      </c>
      <c r="E3004" s="14" t="s">
        <v>1375</v>
      </c>
      <c r="F3004" s="11">
        <v>160</v>
      </c>
    </row>
    <row r="3005" spans="2:6" x14ac:dyDescent="0.3">
      <c r="B3005" s="12">
        <v>3002</v>
      </c>
      <c r="C3005" s="28">
        <v>155.05498789788962</v>
      </c>
      <c r="E3005" s="14" t="s">
        <v>2470</v>
      </c>
      <c r="F3005" s="11">
        <v>163</v>
      </c>
    </row>
    <row r="3006" spans="2:6" x14ac:dyDescent="0.3">
      <c r="B3006" s="12">
        <v>3003</v>
      </c>
      <c r="C3006" s="28">
        <v>152.09436308246327</v>
      </c>
      <c r="E3006" s="14" t="s">
        <v>3486</v>
      </c>
      <c r="F3006" s="11">
        <v>163</v>
      </c>
    </row>
    <row r="3007" spans="2:6" x14ac:dyDescent="0.3">
      <c r="B3007" s="12">
        <v>3004</v>
      </c>
      <c r="C3007" s="28">
        <v>142.50763875838766</v>
      </c>
      <c r="E3007" s="14" t="s">
        <v>3688</v>
      </c>
      <c r="F3007" s="11">
        <v>169</v>
      </c>
    </row>
    <row r="3008" spans="2:6" x14ac:dyDescent="0.3">
      <c r="B3008" s="12">
        <v>3005</v>
      </c>
      <c r="C3008" s="28">
        <v>149.767355634583</v>
      </c>
      <c r="E3008" s="14" t="s">
        <v>3892</v>
      </c>
      <c r="F3008" s="11">
        <v>175</v>
      </c>
    </row>
    <row r="3009" spans="2:6" x14ac:dyDescent="0.3">
      <c r="B3009" s="12">
        <v>3006</v>
      </c>
      <c r="C3009" s="28">
        <v>159.08245150960391</v>
      </c>
      <c r="E3009" s="14" t="s">
        <v>4082</v>
      </c>
      <c r="F3009" s="11">
        <v>174</v>
      </c>
    </row>
    <row r="3010" spans="2:6" x14ac:dyDescent="0.3">
      <c r="B3010" s="12">
        <v>3007</v>
      </c>
      <c r="C3010" s="28">
        <v>152.1907819590422</v>
      </c>
      <c r="E3010" s="14" t="s">
        <v>127</v>
      </c>
      <c r="F3010" s="11">
        <v>175</v>
      </c>
    </row>
    <row r="3011" spans="2:6" x14ac:dyDescent="0.3">
      <c r="B3011" s="12">
        <v>3008</v>
      </c>
      <c r="C3011" s="28">
        <v>167.72894305246558</v>
      </c>
      <c r="E3011" s="14" t="s">
        <v>4448</v>
      </c>
      <c r="F3011" s="11">
        <v>173</v>
      </c>
    </row>
    <row r="3012" spans="2:6" x14ac:dyDescent="0.3">
      <c r="B3012" s="12">
        <v>3009</v>
      </c>
      <c r="C3012" s="28">
        <v>150.48140122906551</v>
      </c>
      <c r="E3012" s="14" t="s">
        <v>4572</v>
      </c>
      <c r="F3012" s="11">
        <v>164</v>
      </c>
    </row>
    <row r="3013" spans="2:6" x14ac:dyDescent="0.3">
      <c r="B3013" s="12">
        <v>3010</v>
      </c>
      <c r="C3013" s="28">
        <v>160.88845192283918</v>
      </c>
      <c r="E3013" s="14" t="s">
        <v>4563</v>
      </c>
      <c r="F3013" s="11">
        <v>175</v>
      </c>
    </row>
    <row r="3014" spans="2:6" x14ac:dyDescent="0.3">
      <c r="B3014" s="12">
        <v>3011</v>
      </c>
      <c r="C3014" s="28">
        <v>173.22195648837001</v>
      </c>
      <c r="E3014" s="14" t="s">
        <v>4711</v>
      </c>
      <c r="F3014" s="11">
        <v>174</v>
      </c>
    </row>
    <row r="3015" spans="2:6" x14ac:dyDescent="0.3">
      <c r="B3015" s="12">
        <v>3012</v>
      </c>
      <c r="C3015" s="28">
        <v>159.56649243741447</v>
      </c>
      <c r="E3015" s="14" t="s">
        <v>217</v>
      </c>
      <c r="F3015" s="11">
        <v>175</v>
      </c>
    </row>
    <row r="3016" spans="2:6" x14ac:dyDescent="0.3">
      <c r="B3016" s="12">
        <v>3013</v>
      </c>
      <c r="C3016" s="28">
        <v>169.35376362028734</v>
      </c>
      <c r="E3016" s="14" t="s">
        <v>4727</v>
      </c>
      <c r="F3016" s="11">
        <v>168</v>
      </c>
    </row>
    <row r="3017" spans="2:6" x14ac:dyDescent="0.3">
      <c r="B3017" s="12">
        <v>3014</v>
      </c>
      <c r="C3017" s="28">
        <v>168.5121134078957</v>
      </c>
      <c r="E3017" s="14" t="s">
        <v>4467</v>
      </c>
      <c r="F3017" s="11">
        <v>166</v>
      </c>
    </row>
    <row r="3018" spans="2:6" x14ac:dyDescent="0.3">
      <c r="B3018" s="12">
        <v>3015</v>
      </c>
      <c r="C3018" s="28">
        <v>159.29767074411657</v>
      </c>
      <c r="E3018" s="14" t="s">
        <v>4068</v>
      </c>
      <c r="F3018" s="11">
        <v>165</v>
      </c>
    </row>
    <row r="3019" spans="2:6" x14ac:dyDescent="0.3">
      <c r="B3019" s="12">
        <v>3016</v>
      </c>
      <c r="C3019" s="28">
        <v>159.71342874620521</v>
      </c>
      <c r="E3019" s="14" t="s">
        <v>2602</v>
      </c>
      <c r="F3019" s="11">
        <v>169</v>
      </c>
    </row>
    <row r="3020" spans="2:6" x14ac:dyDescent="0.3">
      <c r="B3020" s="12">
        <v>3017</v>
      </c>
      <c r="C3020" s="28">
        <v>173.08206529376054</v>
      </c>
      <c r="E3020" s="14" t="s">
        <v>4463</v>
      </c>
      <c r="F3020" s="11">
        <v>165</v>
      </c>
    </row>
    <row r="3021" spans="2:6" x14ac:dyDescent="0.3">
      <c r="B3021" s="12">
        <v>3018</v>
      </c>
      <c r="C3021" s="28">
        <v>156.33473224597648</v>
      </c>
      <c r="E3021" s="14" t="s">
        <v>3554</v>
      </c>
      <c r="F3021" s="11">
        <v>174</v>
      </c>
    </row>
    <row r="3022" spans="2:6" x14ac:dyDescent="0.3">
      <c r="B3022" s="12">
        <v>3019</v>
      </c>
      <c r="C3022" s="28">
        <v>162.54111570589413</v>
      </c>
      <c r="E3022" s="14" t="s">
        <v>753</v>
      </c>
      <c r="F3022" s="11">
        <v>160</v>
      </c>
    </row>
    <row r="3023" spans="2:6" x14ac:dyDescent="0.3">
      <c r="B3023" s="12">
        <v>3020</v>
      </c>
      <c r="C3023" s="28">
        <v>174.58287381335944</v>
      </c>
      <c r="E3023" s="14" t="s">
        <v>867</v>
      </c>
      <c r="F3023" s="11">
        <v>159</v>
      </c>
    </row>
    <row r="3024" spans="2:6" x14ac:dyDescent="0.3">
      <c r="B3024" s="12">
        <v>3021</v>
      </c>
      <c r="C3024" s="28">
        <v>159.01772730127232</v>
      </c>
      <c r="E3024" s="14" t="s">
        <v>3981</v>
      </c>
      <c r="F3024" s="11">
        <v>173</v>
      </c>
    </row>
    <row r="3025" spans="2:6" x14ac:dyDescent="0.3">
      <c r="B3025" s="12">
        <v>3022</v>
      </c>
      <c r="C3025" s="28">
        <v>162.50450528358149</v>
      </c>
      <c r="E3025" s="14" t="s">
        <v>1098</v>
      </c>
      <c r="F3025" s="11">
        <v>169</v>
      </c>
    </row>
    <row r="3026" spans="2:6" x14ac:dyDescent="0.3">
      <c r="B3026" s="12">
        <v>3023</v>
      </c>
      <c r="C3026" s="28">
        <v>162.42831930170559</v>
      </c>
      <c r="E3026" s="14" t="s">
        <v>1279</v>
      </c>
      <c r="F3026" s="11">
        <v>173</v>
      </c>
    </row>
    <row r="3027" spans="2:6" x14ac:dyDescent="0.3">
      <c r="B3027" s="12">
        <v>3024</v>
      </c>
      <c r="C3027" s="28">
        <v>154.89113510684757</v>
      </c>
      <c r="E3027" s="14" t="s">
        <v>3232</v>
      </c>
      <c r="F3027" s="11">
        <v>158</v>
      </c>
    </row>
    <row r="3028" spans="2:6" x14ac:dyDescent="0.3">
      <c r="B3028" s="12">
        <v>3025</v>
      </c>
      <c r="C3028" s="28">
        <v>161.33536112687676</v>
      </c>
      <c r="E3028" s="14" t="s">
        <v>1084</v>
      </c>
      <c r="F3028" s="11">
        <v>170</v>
      </c>
    </row>
    <row r="3029" spans="2:6" x14ac:dyDescent="0.3">
      <c r="B3029" s="12">
        <v>3026</v>
      </c>
      <c r="C3029" s="28">
        <v>165.4026723438235</v>
      </c>
      <c r="E3029" s="14" t="s">
        <v>3752</v>
      </c>
      <c r="F3029" s="11">
        <v>155</v>
      </c>
    </row>
    <row r="3030" spans="2:6" x14ac:dyDescent="0.3">
      <c r="B3030" s="12">
        <v>3027</v>
      </c>
      <c r="C3030" s="28">
        <v>164.33560789496076</v>
      </c>
      <c r="E3030" s="14" t="s">
        <v>3350</v>
      </c>
      <c r="F3030" s="11">
        <v>170</v>
      </c>
    </row>
    <row r="3031" spans="2:6" x14ac:dyDescent="0.3">
      <c r="B3031" s="12">
        <v>3028</v>
      </c>
      <c r="C3031" s="28">
        <v>151.06612430791523</v>
      </c>
      <c r="E3031" s="14" t="s">
        <v>3817</v>
      </c>
      <c r="F3031" s="11">
        <v>161</v>
      </c>
    </row>
    <row r="3032" spans="2:6" x14ac:dyDescent="0.3">
      <c r="B3032" s="12">
        <v>3029</v>
      </c>
      <c r="C3032" s="28">
        <v>159.59040411774899</v>
      </c>
      <c r="E3032" s="14" t="s">
        <v>4366</v>
      </c>
      <c r="F3032" s="11">
        <v>195</v>
      </c>
    </row>
    <row r="3033" spans="2:6" x14ac:dyDescent="0.3">
      <c r="B3033" s="12">
        <v>3030</v>
      </c>
      <c r="C3033" s="28">
        <v>160.76316670384648</v>
      </c>
      <c r="E3033" s="14" t="s">
        <v>4011</v>
      </c>
      <c r="F3033" s="11">
        <v>175</v>
      </c>
    </row>
    <row r="3034" spans="2:6" x14ac:dyDescent="0.3">
      <c r="B3034" s="12">
        <v>3031</v>
      </c>
      <c r="C3034" s="28">
        <v>163.17069766691034</v>
      </c>
      <c r="E3034" s="14" t="s">
        <v>4618</v>
      </c>
      <c r="F3034" s="11">
        <v>169</v>
      </c>
    </row>
    <row r="3035" spans="2:6" x14ac:dyDescent="0.3">
      <c r="B3035" s="12">
        <v>3032</v>
      </c>
      <c r="C3035" s="28">
        <v>163.7047083615449</v>
      </c>
      <c r="E3035" s="14" t="s">
        <v>1185</v>
      </c>
      <c r="F3035" s="11">
        <v>163</v>
      </c>
    </row>
    <row r="3036" spans="2:6" x14ac:dyDescent="0.3">
      <c r="B3036" s="12">
        <v>3033</v>
      </c>
      <c r="C3036" s="28">
        <v>162.27775474323153</v>
      </c>
      <c r="E3036" s="14" t="s">
        <v>2350</v>
      </c>
      <c r="F3036" s="11">
        <v>153</v>
      </c>
    </row>
    <row r="3037" spans="2:6" x14ac:dyDescent="0.3">
      <c r="B3037" s="12">
        <v>3034</v>
      </c>
      <c r="C3037" s="28">
        <v>171.00206590163071</v>
      </c>
      <c r="E3037" s="14" t="s">
        <v>3754</v>
      </c>
      <c r="F3037" s="11">
        <v>154</v>
      </c>
    </row>
    <row r="3038" spans="2:6" x14ac:dyDescent="0.3">
      <c r="B3038" s="12">
        <v>3035</v>
      </c>
      <c r="C3038" s="28">
        <v>168.26234586044114</v>
      </c>
      <c r="E3038" s="14" t="s">
        <v>1385</v>
      </c>
      <c r="F3038" s="11">
        <v>171</v>
      </c>
    </row>
    <row r="3039" spans="2:6" x14ac:dyDescent="0.3">
      <c r="B3039" s="12">
        <v>3036</v>
      </c>
      <c r="C3039" s="28">
        <v>169.20058905713921</v>
      </c>
      <c r="E3039" s="14" t="s">
        <v>3562</v>
      </c>
      <c r="F3039" s="11">
        <v>152</v>
      </c>
    </row>
    <row r="3040" spans="2:6" x14ac:dyDescent="0.3">
      <c r="B3040" s="12">
        <v>3037</v>
      </c>
      <c r="C3040" s="28">
        <v>160.67441140376971</v>
      </c>
      <c r="E3040" s="14" t="s">
        <v>2782</v>
      </c>
      <c r="F3040" s="11">
        <v>163</v>
      </c>
    </row>
    <row r="3041" spans="2:6" x14ac:dyDescent="0.3">
      <c r="B3041" s="12">
        <v>3038</v>
      </c>
      <c r="C3041" s="28">
        <v>163.58179471955964</v>
      </c>
      <c r="E3041" s="14" t="s">
        <v>2320</v>
      </c>
      <c r="F3041" s="11">
        <v>181</v>
      </c>
    </row>
    <row r="3042" spans="2:6" x14ac:dyDescent="0.3">
      <c r="B3042" s="12">
        <v>3039</v>
      </c>
      <c r="C3042" s="28">
        <v>156.94417122955934</v>
      </c>
      <c r="E3042" s="14" t="s">
        <v>2693</v>
      </c>
      <c r="F3042" s="11">
        <v>170</v>
      </c>
    </row>
    <row r="3043" spans="2:6" x14ac:dyDescent="0.3">
      <c r="B3043" s="12">
        <v>3040</v>
      </c>
      <c r="C3043" s="28">
        <v>159.30775729361832</v>
      </c>
      <c r="E3043" s="14" t="s">
        <v>3500</v>
      </c>
      <c r="F3043" s="11">
        <v>165</v>
      </c>
    </row>
    <row r="3044" spans="2:6" x14ac:dyDescent="0.3">
      <c r="B3044" s="12">
        <v>3041</v>
      </c>
      <c r="C3044" s="28">
        <v>172.75661998411215</v>
      </c>
      <c r="E3044" s="14" t="s">
        <v>3632</v>
      </c>
      <c r="F3044" s="11">
        <v>171</v>
      </c>
    </row>
    <row r="3045" spans="2:6" x14ac:dyDescent="0.3">
      <c r="B3045" s="12">
        <v>3042</v>
      </c>
      <c r="C3045" s="28">
        <v>157.87552018625118</v>
      </c>
      <c r="E3045" s="14" t="s">
        <v>4672</v>
      </c>
      <c r="F3045" s="11">
        <v>181</v>
      </c>
    </row>
    <row r="3046" spans="2:6" x14ac:dyDescent="0.3">
      <c r="B3046" s="12">
        <v>3043</v>
      </c>
      <c r="C3046" s="28">
        <v>173.04797713726441</v>
      </c>
      <c r="E3046" s="14" t="s">
        <v>4794</v>
      </c>
      <c r="F3046" s="11">
        <v>159</v>
      </c>
    </row>
    <row r="3047" spans="2:6" x14ac:dyDescent="0.3">
      <c r="B3047" s="12">
        <v>3044</v>
      </c>
      <c r="C3047" s="28">
        <v>164.88717085032056</v>
      </c>
      <c r="E3047" s="14" t="s">
        <v>211</v>
      </c>
      <c r="F3047" s="11">
        <v>175</v>
      </c>
    </row>
    <row r="3048" spans="2:6" x14ac:dyDescent="0.3">
      <c r="B3048" s="12">
        <v>3045</v>
      </c>
      <c r="C3048" s="28">
        <v>163.64043835701153</v>
      </c>
      <c r="E3048" s="14" t="s">
        <v>636</v>
      </c>
      <c r="F3048" s="11">
        <v>185</v>
      </c>
    </row>
    <row r="3049" spans="2:6" x14ac:dyDescent="0.3">
      <c r="B3049" s="12">
        <v>3046</v>
      </c>
      <c r="C3049" s="28">
        <v>167.0462141714402</v>
      </c>
      <c r="E3049" s="14" t="s">
        <v>4215</v>
      </c>
      <c r="F3049" s="11">
        <v>159</v>
      </c>
    </row>
    <row r="3050" spans="2:6" x14ac:dyDescent="0.3">
      <c r="B3050" s="12">
        <v>3047</v>
      </c>
      <c r="C3050" s="28">
        <v>160.56631542411552</v>
      </c>
      <c r="E3050" s="14" t="s">
        <v>4877</v>
      </c>
      <c r="F3050" s="11">
        <v>173</v>
      </c>
    </row>
    <row r="3051" spans="2:6" x14ac:dyDescent="0.3">
      <c r="B3051" s="12">
        <v>3048</v>
      </c>
      <c r="C3051" s="28">
        <v>159.34034021379776</v>
      </c>
      <c r="E3051" s="14" t="s">
        <v>980</v>
      </c>
      <c r="F3051" s="11">
        <v>172</v>
      </c>
    </row>
    <row r="3052" spans="2:6" x14ac:dyDescent="0.3">
      <c r="B3052" s="12">
        <v>3049</v>
      </c>
      <c r="C3052" s="28">
        <v>149.75850260053596</v>
      </c>
      <c r="E3052" s="14" t="s">
        <v>1930</v>
      </c>
      <c r="F3052" s="11">
        <v>182</v>
      </c>
    </row>
    <row r="3053" spans="2:6" x14ac:dyDescent="0.3">
      <c r="B3053" s="12">
        <v>3050</v>
      </c>
      <c r="C3053" s="28">
        <v>161.62912566220632</v>
      </c>
      <c r="E3053" s="14" t="s">
        <v>133</v>
      </c>
      <c r="F3053" s="11">
        <v>190</v>
      </c>
    </row>
    <row r="3054" spans="2:6" x14ac:dyDescent="0.3">
      <c r="B3054" s="12">
        <v>3051</v>
      </c>
      <c r="C3054" s="28">
        <v>158.28134091865658</v>
      </c>
      <c r="E3054" s="14" t="s">
        <v>1571</v>
      </c>
      <c r="F3054" s="11">
        <v>160</v>
      </c>
    </row>
    <row r="3055" spans="2:6" x14ac:dyDescent="0.3">
      <c r="B3055" s="12">
        <v>3052</v>
      </c>
      <c r="C3055" s="28">
        <v>145.12874443186229</v>
      </c>
      <c r="E3055" s="14" t="s">
        <v>1073</v>
      </c>
      <c r="F3055" s="11">
        <v>170</v>
      </c>
    </row>
    <row r="3056" spans="2:6" x14ac:dyDescent="0.3">
      <c r="B3056" s="12">
        <v>3053</v>
      </c>
      <c r="C3056" s="28">
        <v>162.19895051448702</v>
      </c>
      <c r="E3056" s="14" t="s">
        <v>3787</v>
      </c>
      <c r="F3056" s="11">
        <v>168</v>
      </c>
    </row>
    <row r="3057" spans="2:6" x14ac:dyDescent="0.3">
      <c r="B3057" s="12">
        <v>3054</v>
      </c>
      <c r="C3057" s="28">
        <v>156.90192920519749</v>
      </c>
      <c r="E3057" s="14" t="s">
        <v>3703</v>
      </c>
      <c r="F3057" s="11">
        <v>190</v>
      </c>
    </row>
    <row r="3058" spans="2:6" x14ac:dyDescent="0.3">
      <c r="B3058" s="12">
        <v>3055</v>
      </c>
      <c r="C3058" s="28">
        <v>172.50489775614159</v>
      </c>
      <c r="E3058" s="14" t="s">
        <v>351</v>
      </c>
      <c r="F3058" s="11">
        <v>166</v>
      </c>
    </row>
    <row r="3059" spans="2:6" x14ac:dyDescent="0.3">
      <c r="B3059" s="12">
        <v>3056</v>
      </c>
      <c r="C3059" s="28">
        <v>156.9291823122972</v>
      </c>
      <c r="E3059" s="14" t="s">
        <v>2268</v>
      </c>
      <c r="F3059" s="11">
        <v>171</v>
      </c>
    </row>
    <row r="3060" spans="2:6" x14ac:dyDescent="0.3">
      <c r="B3060" s="12">
        <v>3057</v>
      </c>
      <c r="C3060" s="28">
        <v>157.34482807504671</v>
      </c>
      <c r="E3060" s="14" t="s">
        <v>1920</v>
      </c>
      <c r="F3060" s="11">
        <v>182</v>
      </c>
    </row>
    <row r="3061" spans="2:6" x14ac:dyDescent="0.3">
      <c r="B3061" s="12">
        <v>3058</v>
      </c>
      <c r="C3061" s="28">
        <v>156.941141772283</v>
      </c>
      <c r="E3061" s="14" t="s">
        <v>2641</v>
      </c>
      <c r="F3061" s="11">
        <v>175</v>
      </c>
    </row>
    <row r="3062" spans="2:6" x14ac:dyDescent="0.3">
      <c r="B3062" s="12">
        <v>3059</v>
      </c>
      <c r="C3062" s="28">
        <v>155.70164353396362</v>
      </c>
      <c r="E3062" s="14" t="s">
        <v>4626</v>
      </c>
      <c r="F3062" s="11">
        <v>169</v>
      </c>
    </row>
    <row r="3063" spans="2:6" x14ac:dyDescent="0.3">
      <c r="B3063" s="12">
        <v>3060</v>
      </c>
      <c r="C3063" s="28">
        <v>155.50666166160457</v>
      </c>
      <c r="E3063" s="14" t="s">
        <v>3458</v>
      </c>
      <c r="F3063" s="11">
        <v>164</v>
      </c>
    </row>
    <row r="3064" spans="2:6" x14ac:dyDescent="0.3">
      <c r="B3064" s="12">
        <v>3061</v>
      </c>
      <c r="C3064" s="28">
        <v>160.44561203737265</v>
      </c>
      <c r="E3064" s="14" t="s">
        <v>1064</v>
      </c>
      <c r="F3064" s="11">
        <v>158</v>
      </c>
    </row>
    <row r="3065" spans="2:6" x14ac:dyDescent="0.3">
      <c r="B3065" s="12">
        <v>3062</v>
      </c>
      <c r="C3065" s="28">
        <v>165.40058261903599</v>
      </c>
      <c r="E3065" s="14" t="s">
        <v>89</v>
      </c>
      <c r="F3065" s="11">
        <v>164</v>
      </c>
    </row>
    <row r="3066" spans="2:6" x14ac:dyDescent="0.3">
      <c r="B3066" s="12">
        <v>3063</v>
      </c>
      <c r="C3066" s="28">
        <v>162.07244583339045</v>
      </c>
      <c r="E3066" s="14" t="s">
        <v>223</v>
      </c>
      <c r="F3066" s="11">
        <v>173</v>
      </c>
    </row>
    <row r="3067" spans="2:6" x14ac:dyDescent="0.3">
      <c r="B3067" s="12">
        <v>3064</v>
      </c>
      <c r="C3067" s="28">
        <v>153.12931183245621</v>
      </c>
      <c r="E3067" s="14" t="s">
        <v>45</v>
      </c>
      <c r="F3067" s="11">
        <v>171</v>
      </c>
    </row>
    <row r="3068" spans="2:6" x14ac:dyDescent="0.3">
      <c r="B3068" s="12">
        <v>3065</v>
      </c>
      <c r="C3068" s="28">
        <v>167.1399381686916</v>
      </c>
      <c r="E3068" s="14" t="s">
        <v>4870</v>
      </c>
      <c r="F3068" s="11">
        <v>180</v>
      </c>
    </row>
    <row r="3069" spans="2:6" x14ac:dyDescent="0.3">
      <c r="B3069" s="12">
        <v>3066</v>
      </c>
      <c r="C3069" s="28">
        <v>159.10921673021687</v>
      </c>
      <c r="E3069" s="14" t="s">
        <v>529</v>
      </c>
      <c r="F3069" s="11">
        <v>173</v>
      </c>
    </row>
    <row r="3070" spans="2:6" x14ac:dyDescent="0.3">
      <c r="B3070" s="12">
        <v>3067</v>
      </c>
      <c r="C3070" s="28">
        <v>166.41650940991167</v>
      </c>
      <c r="E3070" s="14" t="s">
        <v>637</v>
      </c>
      <c r="F3070" s="11">
        <v>162</v>
      </c>
    </row>
    <row r="3071" spans="2:6" x14ac:dyDescent="0.3">
      <c r="B3071" s="12">
        <v>3068</v>
      </c>
      <c r="C3071" s="28">
        <v>154.74491259462391</v>
      </c>
      <c r="E3071" s="14" t="s">
        <v>638</v>
      </c>
      <c r="F3071" s="11">
        <v>169</v>
      </c>
    </row>
    <row r="3072" spans="2:6" x14ac:dyDescent="0.3">
      <c r="B3072" s="12">
        <v>3069</v>
      </c>
      <c r="C3072" s="28">
        <v>150.99730458252168</v>
      </c>
      <c r="E3072" s="14" t="s">
        <v>3673</v>
      </c>
      <c r="F3072" s="11">
        <v>155</v>
      </c>
    </row>
    <row r="3073" spans="2:6" x14ac:dyDescent="0.3">
      <c r="B3073" s="12">
        <v>3070</v>
      </c>
      <c r="C3073" s="28">
        <v>158.53633453133966</v>
      </c>
      <c r="E3073" s="14" t="s">
        <v>1099</v>
      </c>
      <c r="F3073" s="11">
        <v>170</v>
      </c>
    </row>
    <row r="3074" spans="2:6" x14ac:dyDescent="0.3">
      <c r="B3074" s="12">
        <v>3071</v>
      </c>
      <c r="C3074" s="28">
        <v>165.25599129109071</v>
      </c>
      <c r="E3074" s="14" t="s">
        <v>1050</v>
      </c>
      <c r="F3074" s="11">
        <v>162</v>
      </c>
    </row>
    <row r="3075" spans="2:6" x14ac:dyDescent="0.3">
      <c r="B3075" s="12">
        <v>3072</v>
      </c>
      <c r="C3075" s="28">
        <v>163.47266276182197</v>
      </c>
      <c r="E3075" s="14" t="s">
        <v>2030</v>
      </c>
      <c r="F3075" s="11">
        <v>165</v>
      </c>
    </row>
    <row r="3076" spans="2:6" x14ac:dyDescent="0.3">
      <c r="B3076" s="12">
        <v>3073</v>
      </c>
      <c r="C3076" s="28">
        <v>159.26062572032131</v>
      </c>
      <c r="E3076" s="14" t="s">
        <v>2635</v>
      </c>
      <c r="F3076" s="11">
        <v>186</v>
      </c>
    </row>
    <row r="3077" spans="2:6" x14ac:dyDescent="0.3">
      <c r="B3077" s="12">
        <v>3074</v>
      </c>
      <c r="C3077" s="28">
        <v>163.14205702101341</v>
      </c>
      <c r="E3077" s="14" t="s">
        <v>4379</v>
      </c>
      <c r="F3077" s="11">
        <v>153</v>
      </c>
    </row>
    <row r="3078" spans="2:6" x14ac:dyDescent="0.3">
      <c r="B3078" s="12">
        <v>3075</v>
      </c>
      <c r="C3078" s="28">
        <v>155.34127746074574</v>
      </c>
      <c r="E3078" s="14" t="s">
        <v>3440</v>
      </c>
      <c r="F3078" s="11">
        <v>178</v>
      </c>
    </row>
    <row r="3079" spans="2:6" x14ac:dyDescent="0.3">
      <c r="B3079" s="12">
        <v>3076</v>
      </c>
      <c r="C3079" s="28">
        <v>162.5957032404994</v>
      </c>
      <c r="E3079" s="14" t="s">
        <v>4158</v>
      </c>
      <c r="F3079" s="11">
        <v>165</v>
      </c>
    </row>
    <row r="3080" spans="2:6" x14ac:dyDescent="0.3">
      <c r="B3080" s="12">
        <v>3077</v>
      </c>
      <c r="C3080" s="28">
        <v>163.11111009878269</v>
      </c>
      <c r="E3080" s="14" t="s">
        <v>4629</v>
      </c>
      <c r="F3080" s="11">
        <v>175</v>
      </c>
    </row>
    <row r="3081" spans="2:6" x14ac:dyDescent="0.3">
      <c r="B3081" s="12">
        <v>3078</v>
      </c>
      <c r="C3081" s="28">
        <v>156.28956143387808</v>
      </c>
      <c r="E3081" s="14" t="s">
        <v>518</v>
      </c>
      <c r="F3081" s="11">
        <v>162</v>
      </c>
    </row>
    <row r="3082" spans="2:6" x14ac:dyDescent="0.3">
      <c r="B3082" s="12">
        <v>3079</v>
      </c>
      <c r="C3082" s="28">
        <v>146.59421163260276</v>
      </c>
      <c r="E3082" s="14" t="s">
        <v>535</v>
      </c>
      <c r="F3082" s="11">
        <v>162</v>
      </c>
    </row>
    <row r="3083" spans="2:6" x14ac:dyDescent="0.3">
      <c r="B3083" s="12">
        <v>3080</v>
      </c>
      <c r="C3083" s="28">
        <v>178.87474967933611</v>
      </c>
      <c r="E3083" s="14" t="s">
        <v>1896</v>
      </c>
      <c r="F3083" s="11">
        <v>177</v>
      </c>
    </row>
    <row r="3084" spans="2:6" x14ac:dyDescent="0.3">
      <c r="B3084" s="12">
        <v>3081</v>
      </c>
      <c r="C3084" s="28">
        <v>175.65863299829323</v>
      </c>
      <c r="E3084" s="14" t="s">
        <v>1931</v>
      </c>
      <c r="F3084" s="11">
        <v>164</v>
      </c>
    </row>
    <row r="3085" spans="2:6" x14ac:dyDescent="0.3">
      <c r="B3085" s="12">
        <v>3082</v>
      </c>
      <c r="C3085" s="28">
        <v>164.49682492746305</v>
      </c>
      <c r="E3085" s="14" t="s">
        <v>2359</v>
      </c>
      <c r="F3085" s="11">
        <v>178</v>
      </c>
    </row>
    <row r="3086" spans="2:6" x14ac:dyDescent="0.3">
      <c r="B3086" s="12">
        <v>3083</v>
      </c>
      <c r="C3086" s="28">
        <v>157.71808673668178</v>
      </c>
      <c r="E3086" s="14" t="s">
        <v>1017</v>
      </c>
      <c r="F3086" s="11">
        <v>153</v>
      </c>
    </row>
    <row r="3087" spans="2:6" x14ac:dyDescent="0.3">
      <c r="B3087" s="12">
        <v>3084</v>
      </c>
      <c r="C3087" s="28">
        <v>171.27315923505003</v>
      </c>
      <c r="E3087" s="14" t="s">
        <v>660</v>
      </c>
      <c r="F3087" s="11">
        <v>174</v>
      </c>
    </row>
    <row r="3088" spans="2:6" x14ac:dyDescent="0.3">
      <c r="B3088" s="12">
        <v>3085</v>
      </c>
      <c r="C3088" s="28">
        <v>169.83135720598142</v>
      </c>
      <c r="E3088" s="14" t="s">
        <v>3693</v>
      </c>
      <c r="F3088" s="11">
        <v>155</v>
      </c>
    </row>
    <row r="3089" spans="2:6" x14ac:dyDescent="0.3">
      <c r="B3089" s="12">
        <v>3086</v>
      </c>
      <c r="C3089" s="28">
        <v>157.03512288258915</v>
      </c>
      <c r="E3089" s="14" t="s">
        <v>512</v>
      </c>
      <c r="F3089" s="11">
        <v>177</v>
      </c>
    </row>
    <row r="3090" spans="2:6" x14ac:dyDescent="0.3">
      <c r="B3090" s="12">
        <v>3087</v>
      </c>
      <c r="C3090" s="28">
        <v>172.15792927076882</v>
      </c>
      <c r="E3090" s="14" t="s">
        <v>1303</v>
      </c>
      <c r="F3090" s="11">
        <v>182</v>
      </c>
    </row>
    <row r="3091" spans="2:6" x14ac:dyDescent="0.3">
      <c r="B3091" s="12">
        <v>3088</v>
      </c>
      <c r="C3091" s="28">
        <v>165.87411237919355</v>
      </c>
      <c r="E3091" s="14" t="s">
        <v>1516</v>
      </c>
      <c r="F3091" s="11">
        <v>155</v>
      </c>
    </row>
    <row r="3092" spans="2:6" x14ac:dyDescent="0.3">
      <c r="B3092" s="12">
        <v>3089</v>
      </c>
      <c r="C3092" s="28">
        <v>166.43242538163159</v>
      </c>
      <c r="E3092" s="14" t="s">
        <v>3442</v>
      </c>
      <c r="F3092" s="11">
        <v>158</v>
      </c>
    </row>
    <row r="3093" spans="2:6" x14ac:dyDescent="0.3">
      <c r="B3093" s="12">
        <v>3090</v>
      </c>
      <c r="C3093" s="28">
        <v>162.17610518200556</v>
      </c>
      <c r="E3093" s="14" t="s">
        <v>1040</v>
      </c>
      <c r="F3093" s="11">
        <v>167</v>
      </c>
    </row>
    <row r="3094" spans="2:6" x14ac:dyDescent="0.3">
      <c r="B3094" s="12">
        <v>3091</v>
      </c>
      <c r="C3094" s="28">
        <v>154.10151157442419</v>
      </c>
      <c r="E3094" s="14" t="s">
        <v>2164</v>
      </c>
      <c r="F3094" s="11">
        <v>155</v>
      </c>
    </row>
    <row r="3095" spans="2:6" x14ac:dyDescent="0.3">
      <c r="B3095" s="12">
        <v>3092</v>
      </c>
      <c r="C3095" s="28">
        <v>157.78682924076853</v>
      </c>
      <c r="E3095" s="14" t="s">
        <v>2167</v>
      </c>
      <c r="F3095" s="11">
        <v>165</v>
      </c>
    </row>
    <row r="3096" spans="2:6" x14ac:dyDescent="0.3">
      <c r="B3096" s="12">
        <v>3093</v>
      </c>
      <c r="C3096" s="28">
        <v>153.45346627568958</v>
      </c>
      <c r="E3096" s="14" t="s">
        <v>3474</v>
      </c>
      <c r="F3096" s="11">
        <v>166</v>
      </c>
    </row>
    <row r="3097" spans="2:6" x14ac:dyDescent="0.3">
      <c r="B3097" s="12">
        <v>3094</v>
      </c>
      <c r="C3097" s="28">
        <v>164.01896357195071</v>
      </c>
      <c r="E3097" s="14" t="s">
        <v>493</v>
      </c>
      <c r="F3097" s="11">
        <v>184</v>
      </c>
    </row>
    <row r="3098" spans="2:6" x14ac:dyDescent="0.3">
      <c r="B3098" s="12">
        <v>3095</v>
      </c>
      <c r="C3098" s="28">
        <v>152.85030950809849</v>
      </c>
      <c r="E3098" s="14" t="s">
        <v>2601</v>
      </c>
      <c r="F3098" s="11">
        <v>163</v>
      </c>
    </row>
    <row r="3099" spans="2:6" x14ac:dyDescent="0.3">
      <c r="B3099" s="12">
        <v>3096</v>
      </c>
      <c r="C3099" s="28">
        <v>162.09980096534656</v>
      </c>
      <c r="E3099" s="14" t="s">
        <v>1048</v>
      </c>
      <c r="F3099" s="11">
        <v>176</v>
      </c>
    </row>
    <row r="3100" spans="2:6" x14ac:dyDescent="0.3">
      <c r="B3100" s="12">
        <v>3097</v>
      </c>
      <c r="C3100" s="28">
        <v>159.06762475560672</v>
      </c>
      <c r="E3100" s="14" t="s">
        <v>3962</v>
      </c>
      <c r="F3100" s="11">
        <v>166</v>
      </c>
    </row>
    <row r="3101" spans="2:6" x14ac:dyDescent="0.3">
      <c r="B3101" s="12">
        <v>3098</v>
      </c>
      <c r="C3101" s="28">
        <v>149.72851704371624</v>
      </c>
      <c r="E3101" s="14" t="s">
        <v>4092</v>
      </c>
      <c r="F3101" s="11">
        <v>157</v>
      </c>
    </row>
    <row r="3102" spans="2:6" x14ac:dyDescent="0.3">
      <c r="B3102" s="12">
        <v>3099</v>
      </c>
      <c r="C3102" s="28">
        <v>157.65742267323091</v>
      </c>
      <c r="E3102" s="14" t="s">
        <v>4290</v>
      </c>
      <c r="F3102" s="11">
        <v>178</v>
      </c>
    </row>
    <row r="3103" spans="2:6" x14ac:dyDescent="0.3">
      <c r="B3103" s="12">
        <v>3100</v>
      </c>
      <c r="C3103" s="28">
        <v>153.54888955079389</v>
      </c>
      <c r="E3103" s="14" t="s">
        <v>3275</v>
      </c>
      <c r="F3103" s="11">
        <v>161</v>
      </c>
    </row>
    <row r="3104" spans="2:6" x14ac:dyDescent="0.3">
      <c r="B3104" s="12">
        <v>3101</v>
      </c>
      <c r="C3104" s="28">
        <v>163.80292968675641</v>
      </c>
      <c r="E3104" s="14" t="s">
        <v>2178</v>
      </c>
      <c r="F3104" s="11">
        <v>167</v>
      </c>
    </row>
    <row r="3105" spans="2:6" x14ac:dyDescent="0.3">
      <c r="B3105" s="12">
        <v>3102</v>
      </c>
      <c r="C3105" s="28">
        <v>166.66773408412908</v>
      </c>
      <c r="E3105" s="14" t="s">
        <v>4451</v>
      </c>
      <c r="F3105" s="11">
        <v>178</v>
      </c>
    </row>
    <row r="3106" spans="2:6" x14ac:dyDescent="0.3">
      <c r="B3106" s="12">
        <v>3103</v>
      </c>
      <c r="C3106" s="28">
        <v>169.84155815745149</v>
      </c>
      <c r="E3106" s="14" t="s">
        <v>3623</v>
      </c>
      <c r="F3106" s="11">
        <v>171</v>
      </c>
    </row>
    <row r="3107" spans="2:6" x14ac:dyDescent="0.3">
      <c r="B3107" s="12">
        <v>3104</v>
      </c>
      <c r="C3107" s="28">
        <v>178.71724131704048</v>
      </c>
      <c r="E3107" s="14" t="s">
        <v>1937</v>
      </c>
      <c r="F3107" s="11">
        <v>174</v>
      </c>
    </row>
    <row r="3108" spans="2:6" x14ac:dyDescent="0.3">
      <c r="B3108" s="12">
        <v>3105</v>
      </c>
      <c r="C3108" s="28">
        <v>152.98438785956333</v>
      </c>
      <c r="E3108" s="14" t="s">
        <v>3454</v>
      </c>
      <c r="F3108" s="11">
        <v>189</v>
      </c>
    </row>
    <row r="3109" spans="2:6" x14ac:dyDescent="0.3">
      <c r="B3109" s="12">
        <v>3106</v>
      </c>
      <c r="C3109" s="28">
        <v>160.79510390016657</v>
      </c>
      <c r="E3109" s="14" t="s">
        <v>3965</v>
      </c>
      <c r="F3109" s="11">
        <v>164</v>
      </c>
    </row>
    <row r="3110" spans="2:6" x14ac:dyDescent="0.3">
      <c r="B3110" s="12">
        <v>3107</v>
      </c>
      <c r="C3110" s="28">
        <v>151.35181665297745</v>
      </c>
      <c r="E3110" s="14" t="s">
        <v>3937</v>
      </c>
      <c r="F3110" s="11">
        <v>169</v>
      </c>
    </row>
    <row r="3111" spans="2:6" x14ac:dyDescent="0.3">
      <c r="B3111" s="12">
        <v>3108</v>
      </c>
      <c r="C3111" s="28">
        <v>165.92201085781215</v>
      </c>
      <c r="E3111" s="14" t="s">
        <v>4364</v>
      </c>
      <c r="F3111" s="11">
        <v>176</v>
      </c>
    </row>
    <row r="3112" spans="2:6" x14ac:dyDescent="0.3">
      <c r="B3112" s="12">
        <v>3109</v>
      </c>
      <c r="C3112" s="28">
        <v>157.38615026870011</v>
      </c>
      <c r="E3112" s="14" t="s">
        <v>2697</v>
      </c>
      <c r="F3112" s="11">
        <v>171</v>
      </c>
    </row>
    <row r="3113" spans="2:6" x14ac:dyDescent="0.3">
      <c r="B3113" s="12">
        <v>3110</v>
      </c>
      <c r="C3113" s="28">
        <v>156.54930248149148</v>
      </c>
      <c r="E3113" s="14" t="s">
        <v>3100</v>
      </c>
      <c r="F3113" s="11">
        <v>158</v>
      </c>
    </row>
    <row r="3114" spans="2:6" x14ac:dyDescent="0.3">
      <c r="B3114" s="12">
        <v>3111</v>
      </c>
      <c r="C3114" s="28">
        <v>152.96364466120016</v>
      </c>
      <c r="E3114" s="14" t="s">
        <v>4021</v>
      </c>
      <c r="F3114" s="11">
        <v>181</v>
      </c>
    </row>
    <row r="3115" spans="2:6" x14ac:dyDescent="0.3">
      <c r="B3115" s="12">
        <v>3112</v>
      </c>
      <c r="C3115" s="28">
        <v>158.60798538701505</v>
      </c>
      <c r="E3115" s="14" t="s">
        <v>4516</v>
      </c>
      <c r="F3115" s="11">
        <v>178</v>
      </c>
    </row>
    <row r="3116" spans="2:6" x14ac:dyDescent="0.3">
      <c r="B3116" s="12">
        <v>3113</v>
      </c>
      <c r="C3116" s="28">
        <v>156.05301576013292</v>
      </c>
      <c r="E3116" s="14" t="s">
        <v>4116</v>
      </c>
      <c r="F3116" s="11">
        <v>174</v>
      </c>
    </row>
    <row r="3117" spans="2:6" x14ac:dyDescent="0.3">
      <c r="B3117" s="12">
        <v>3114</v>
      </c>
      <c r="C3117" s="28">
        <v>165.18342075348812</v>
      </c>
      <c r="E3117" s="14" t="s">
        <v>2750</v>
      </c>
      <c r="F3117" s="11">
        <v>168</v>
      </c>
    </row>
    <row r="3118" spans="2:6" x14ac:dyDescent="0.3">
      <c r="B3118" s="12">
        <v>3115</v>
      </c>
      <c r="C3118" s="28">
        <v>169.75877944138412</v>
      </c>
      <c r="E3118" s="14" t="s">
        <v>2000</v>
      </c>
      <c r="F3118" s="11">
        <v>172</v>
      </c>
    </row>
    <row r="3119" spans="2:6" x14ac:dyDescent="0.3">
      <c r="B3119" s="12">
        <v>3116</v>
      </c>
      <c r="C3119" s="28">
        <v>155.64890800165944</v>
      </c>
      <c r="E3119" s="14" t="s">
        <v>4109</v>
      </c>
      <c r="F3119" s="11">
        <v>178</v>
      </c>
    </row>
    <row r="3120" spans="2:6" x14ac:dyDescent="0.3">
      <c r="B3120" s="12">
        <v>3117</v>
      </c>
      <c r="C3120" s="28">
        <v>158.15090331689453</v>
      </c>
      <c r="E3120" s="14" t="s">
        <v>268</v>
      </c>
      <c r="F3120" s="11">
        <v>176</v>
      </c>
    </row>
    <row r="3121" spans="2:6" x14ac:dyDescent="0.3">
      <c r="B3121" s="12">
        <v>3118</v>
      </c>
      <c r="C3121" s="28">
        <v>161.77442860158487</v>
      </c>
      <c r="E3121" s="14" t="s">
        <v>275</v>
      </c>
      <c r="F3121" s="11">
        <v>164</v>
      </c>
    </row>
    <row r="3122" spans="2:6" x14ac:dyDescent="0.3">
      <c r="B3122" s="12">
        <v>3119</v>
      </c>
      <c r="C3122" s="28">
        <v>155.52456705111504</v>
      </c>
      <c r="E3122" s="14" t="s">
        <v>3174</v>
      </c>
      <c r="F3122" s="11">
        <v>170</v>
      </c>
    </row>
    <row r="3123" spans="2:6" x14ac:dyDescent="0.3">
      <c r="B3123" s="12">
        <v>3120</v>
      </c>
      <c r="C3123" s="28">
        <v>150.48973141595323</v>
      </c>
      <c r="E3123" s="14" t="s">
        <v>2611</v>
      </c>
      <c r="F3123" s="11">
        <v>170</v>
      </c>
    </row>
    <row r="3124" spans="2:6" x14ac:dyDescent="0.3">
      <c r="B3124" s="12">
        <v>3121</v>
      </c>
      <c r="C3124" s="28">
        <v>165.29642125497639</v>
      </c>
      <c r="E3124" s="14" t="s">
        <v>1317</v>
      </c>
      <c r="F3124" s="11">
        <v>153</v>
      </c>
    </row>
    <row r="3125" spans="2:6" x14ac:dyDescent="0.3">
      <c r="B3125" s="12">
        <v>3122</v>
      </c>
      <c r="C3125" s="28">
        <v>160.87479114338839</v>
      </c>
      <c r="E3125" s="14" t="s">
        <v>1461</v>
      </c>
      <c r="F3125" s="11">
        <v>181</v>
      </c>
    </row>
    <row r="3126" spans="2:6" x14ac:dyDescent="0.3">
      <c r="B3126" s="12">
        <v>3123</v>
      </c>
      <c r="C3126" s="28">
        <v>165.42517970617294</v>
      </c>
      <c r="E3126" s="14" t="s">
        <v>2484</v>
      </c>
      <c r="F3126" s="11">
        <v>168</v>
      </c>
    </row>
    <row r="3127" spans="2:6" x14ac:dyDescent="0.3">
      <c r="B3127" s="12">
        <v>3124</v>
      </c>
      <c r="C3127" s="28">
        <v>168.57284400598999</v>
      </c>
      <c r="E3127" s="14" t="s">
        <v>2760</v>
      </c>
      <c r="F3127" s="11">
        <v>180</v>
      </c>
    </row>
    <row r="3128" spans="2:6" x14ac:dyDescent="0.3">
      <c r="B3128" s="12">
        <v>3125</v>
      </c>
      <c r="C3128" s="28">
        <v>151.453498586824</v>
      </c>
      <c r="E3128" s="14" t="s">
        <v>2022</v>
      </c>
      <c r="F3128" s="11">
        <v>167</v>
      </c>
    </row>
    <row r="3129" spans="2:6" x14ac:dyDescent="0.3">
      <c r="B3129" s="12">
        <v>3126</v>
      </c>
      <c r="C3129" s="28">
        <v>169.53068321704055</v>
      </c>
      <c r="E3129" s="14" t="s">
        <v>3230</v>
      </c>
      <c r="F3129" s="11">
        <v>175</v>
      </c>
    </row>
    <row r="3130" spans="2:6" x14ac:dyDescent="0.3">
      <c r="B3130" s="12">
        <v>3127</v>
      </c>
      <c r="C3130" s="28">
        <v>169.07944920274963</v>
      </c>
      <c r="E3130" s="14" t="s">
        <v>3506</v>
      </c>
      <c r="F3130" s="11">
        <v>172</v>
      </c>
    </row>
    <row r="3131" spans="2:6" x14ac:dyDescent="0.3">
      <c r="B3131" s="12">
        <v>3128</v>
      </c>
      <c r="C3131" s="28">
        <v>165.58508797512411</v>
      </c>
      <c r="E3131" s="14" t="s">
        <v>3709</v>
      </c>
      <c r="F3131" s="11">
        <v>163</v>
      </c>
    </row>
    <row r="3132" spans="2:6" x14ac:dyDescent="0.3">
      <c r="B3132" s="12">
        <v>3129</v>
      </c>
      <c r="C3132" s="28">
        <v>161.86186449380619</v>
      </c>
      <c r="E3132" s="14" t="s">
        <v>2645</v>
      </c>
      <c r="F3132" s="11">
        <v>162</v>
      </c>
    </row>
    <row r="3133" spans="2:6" x14ac:dyDescent="0.3">
      <c r="B3133" s="12">
        <v>3130</v>
      </c>
      <c r="C3133" s="28">
        <v>164.18693975488486</v>
      </c>
      <c r="E3133" s="14" t="s">
        <v>4637</v>
      </c>
      <c r="F3133" s="11">
        <v>165</v>
      </c>
    </row>
    <row r="3134" spans="2:6" x14ac:dyDescent="0.3">
      <c r="B3134" s="12">
        <v>3131</v>
      </c>
      <c r="C3134" s="28">
        <v>173.28433683549628</v>
      </c>
      <c r="E3134" s="14" t="s">
        <v>4776</v>
      </c>
      <c r="F3134" s="11">
        <v>180</v>
      </c>
    </row>
    <row r="3135" spans="2:6" x14ac:dyDescent="0.3">
      <c r="B3135" s="12">
        <v>3132</v>
      </c>
      <c r="C3135" s="28">
        <v>154.34333737928802</v>
      </c>
      <c r="E3135" s="14" t="s">
        <v>345</v>
      </c>
      <c r="F3135" s="11">
        <v>155</v>
      </c>
    </row>
    <row r="3136" spans="2:6" x14ac:dyDescent="0.3">
      <c r="B3136" s="12">
        <v>3133</v>
      </c>
      <c r="C3136" s="28">
        <v>165.29830620822551</v>
      </c>
      <c r="E3136" s="14" t="s">
        <v>2712</v>
      </c>
      <c r="F3136" s="11">
        <v>168</v>
      </c>
    </row>
    <row r="3137" spans="2:6" x14ac:dyDescent="0.3">
      <c r="B3137" s="12">
        <v>3134</v>
      </c>
      <c r="C3137" s="28">
        <v>151.82572231574133</v>
      </c>
      <c r="E3137" s="14" t="s">
        <v>2124</v>
      </c>
      <c r="F3137" s="11">
        <v>177</v>
      </c>
    </row>
    <row r="3138" spans="2:6" x14ac:dyDescent="0.3">
      <c r="B3138" s="12">
        <v>3135</v>
      </c>
      <c r="C3138" s="28">
        <v>170.20172682360419</v>
      </c>
      <c r="E3138" s="14" t="s">
        <v>2592</v>
      </c>
      <c r="F3138" s="11">
        <v>161</v>
      </c>
    </row>
    <row r="3139" spans="2:6" x14ac:dyDescent="0.3">
      <c r="B3139" s="12">
        <v>3136</v>
      </c>
      <c r="C3139" s="28">
        <v>181.74259986184848</v>
      </c>
      <c r="E3139" s="14" t="s">
        <v>3570</v>
      </c>
      <c r="F3139" s="11">
        <v>178</v>
      </c>
    </row>
    <row r="3140" spans="2:6" x14ac:dyDescent="0.3">
      <c r="B3140" s="12">
        <v>3137</v>
      </c>
      <c r="C3140" s="28">
        <v>166.63441498979128</v>
      </c>
      <c r="E3140" s="14" t="s">
        <v>659</v>
      </c>
      <c r="F3140" s="11">
        <v>175</v>
      </c>
    </row>
    <row r="3141" spans="2:6" x14ac:dyDescent="0.3">
      <c r="B3141" s="12">
        <v>3138</v>
      </c>
      <c r="C3141" s="28">
        <v>171.99323688352507</v>
      </c>
      <c r="E3141" s="14" t="s">
        <v>688</v>
      </c>
      <c r="F3141" s="11">
        <v>163</v>
      </c>
    </row>
    <row r="3142" spans="2:6" x14ac:dyDescent="0.3">
      <c r="B3142" s="12">
        <v>3139</v>
      </c>
      <c r="C3142" s="28">
        <v>160.5634648147921</v>
      </c>
      <c r="E3142" s="14" t="s">
        <v>697</v>
      </c>
      <c r="F3142" s="11">
        <v>170</v>
      </c>
    </row>
    <row r="3143" spans="2:6" x14ac:dyDescent="0.3">
      <c r="B3143" s="12">
        <v>3140</v>
      </c>
      <c r="C3143" s="28">
        <v>155.58600992437331</v>
      </c>
      <c r="E3143" s="14" t="s">
        <v>954</v>
      </c>
      <c r="F3143" s="11">
        <v>175</v>
      </c>
    </row>
    <row r="3144" spans="2:6" x14ac:dyDescent="0.3">
      <c r="B3144" s="12">
        <v>3141</v>
      </c>
      <c r="C3144" s="28">
        <v>166.72219870316002</v>
      </c>
      <c r="E3144" s="14" t="s">
        <v>4501</v>
      </c>
      <c r="F3144" s="11">
        <v>166</v>
      </c>
    </row>
    <row r="3145" spans="2:6" x14ac:dyDescent="0.3">
      <c r="B3145" s="12">
        <v>3142</v>
      </c>
      <c r="C3145" s="28">
        <v>150.49158553724322</v>
      </c>
      <c r="E3145" s="14" t="s">
        <v>1528</v>
      </c>
      <c r="F3145" s="11">
        <v>187</v>
      </c>
    </row>
    <row r="3146" spans="2:6" x14ac:dyDescent="0.3">
      <c r="B3146" s="12">
        <v>3143</v>
      </c>
      <c r="C3146" s="28">
        <v>160.68857288496054</v>
      </c>
      <c r="E3146" s="14" t="s">
        <v>1689</v>
      </c>
      <c r="F3146" s="11">
        <v>170</v>
      </c>
    </row>
    <row r="3147" spans="2:6" x14ac:dyDescent="0.3">
      <c r="B3147" s="12">
        <v>3144</v>
      </c>
      <c r="C3147" s="28">
        <v>160.74417136595284</v>
      </c>
      <c r="E3147" s="14" t="s">
        <v>1744</v>
      </c>
      <c r="F3147" s="11">
        <v>177</v>
      </c>
    </row>
    <row r="3148" spans="2:6" x14ac:dyDescent="0.3">
      <c r="B3148" s="12">
        <v>3145</v>
      </c>
      <c r="C3148" s="28">
        <v>168.92626383775954</v>
      </c>
      <c r="E3148" s="14" t="s">
        <v>2138</v>
      </c>
      <c r="F3148" s="11">
        <v>169</v>
      </c>
    </row>
    <row r="3149" spans="2:6" x14ac:dyDescent="0.3">
      <c r="B3149" s="12">
        <v>3146</v>
      </c>
      <c r="C3149" s="28">
        <v>169.76098057225337</v>
      </c>
      <c r="E3149" s="14" t="s">
        <v>2889</v>
      </c>
      <c r="F3149" s="11">
        <v>174</v>
      </c>
    </row>
    <row r="3150" spans="2:6" x14ac:dyDescent="0.3">
      <c r="B3150" s="12">
        <v>3147</v>
      </c>
      <c r="C3150" s="28">
        <v>153.82539697911727</v>
      </c>
      <c r="E3150" s="14" t="s">
        <v>3637</v>
      </c>
      <c r="F3150" s="11">
        <v>174</v>
      </c>
    </row>
    <row r="3151" spans="2:6" x14ac:dyDescent="0.3">
      <c r="B3151" s="12">
        <v>3148</v>
      </c>
      <c r="C3151" s="28">
        <v>163.77556058190294</v>
      </c>
      <c r="E3151" s="14" t="s">
        <v>3646</v>
      </c>
      <c r="F3151" s="11">
        <v>153</v>
      </c>
    </row>
    <row r="3152" spans="2:6" x14ac:dyDescent="0.3">
      <c r="B3152" s="12">
        <v>3149</v>
      </c>
      <c r="C3152" s="28">
        <v>161.87988834818032</v>
      </c>
      <c r="E3152" s="14" t="s">
        <v>4148</v>
      </c>
      <c r="F3152" s="11">
        <v>159</v>
      </c>
    </row>
    <row r="3153" spans="2:6" x14ac:dyDescent="0.3">
      <c r="B3153" s="12">
        <v>3150</v>
      </c>
      <c r="C3153" s="28">
        <v>173.0860585979967</v>
      </c>
      <c r="E3153" s="14" t="s">
        <v>4023</v>
      </c>
      <c r="F3153" s="11">
        <v>172</v>
      </c>
    </row>
    <row r="3154" spans="2:6" x14ac:dyDescent="0.3">
      <c r="B3154" s="12">
        <v>3151</v>
      </c>
      <c r="C3154" s="28">
        <v>166.07338950006749</v>
      </c>
      <c r="E3154" s="14" t="s">
        <v>1478</v>
      </c>
      <c r="F3154" s="11">
        <v>168</v>
      </c>
    </row>
    <row r="3155" spans="2:6" x14ac:dyDescent="0.3">
      <c r="B3155" s="12">
        <v>3152</v>
      </c>
      <c r="C3155" s="28">
        <v>160.91582528807331</v>
      </c>
      <c r="E3155" s="14" t="s">
        <v>2806</v>
      </c>
      <c r="F3155" s="11">
        <v>176</v>
      </c>
    </row>
    <row r="3156" spans="2:6" x14ac:dyDescent="0.3">
      <c r="B3156" s="12">
        <v>3153</v>
      </c>
      <c r="C3156" s="28">
        <v>161.50642632826916</v>
      </c>
      <c r="E3156" s="14" t="s">
        <v>4394</v>
      </c>
      <c r="F3156" s="11">
        <v>171</v>
      </c>
    </row>
    <row r="3157" spans="2:6" x14ac:dyDescent="0.3">
      <c r="B3157" s="12">
        <v>3154</v>
      </c>
      <c r="C3157" s="28">
        <v>169.00692975683555</v>
      </c>
      <c r="E3157" s="14" t="s">
        <v>701</v>
      </c>
      <c r="F3157" s="11">
        <v>177</v>
      </c>
    </row>
    <row r="3158" spans="2:6" x14ac:dyDescent="0.3">
      <c r="B3158" s="12">
        <v>3155</v>
      </c>
      <c r="C3158" s="28">
        <v>169.2770967505632</v>
      </c>
      <c r="E3158" s="14" t="s">
        <v>145</v>
      </c>
      <c r="F3158" s="11">
        <v>160</v>
      </c>
    </row>
    <row r="3159" spans="2:6" x14ac:dyDescent="0.3">
      <c r="B3159" s="12">
        <v>3156</v>
      </c>
      <c r="C3159" s="28">
        <v>158.6046031105561</v>
      </c>
      <c r="E3159" s="14" t="s">
        <v>81</v>
      </c>
      <c r="F3159" s="11">
        <v>170</v>
      </c>
    </row>
    <row r="3160" spans="2:6" x14ac:dyDescent="0.3">
      <c r="B3160" s="12">
        <v>3157</v>
      </c>
      <c r="C3160" s="28">
        <v>151.35452354461444</v>
      </c>
      <c r="E3160" s="14" t="s">
        <v>1585</v>
      </c>
      <c r="F3160" s="11">
        <v>173</v>
      </c>
    </row>
    <row r="3161" spans="2:6" x14ac:dyDescent="0.3">
      <c r="B3161" s="12">
        <v>3158</v>
      </c>
      <c r="C3161" s="28">
        <v>157.62089753727167</v>
      </c>
      <c r="E3161" s="14" t="s">
        <v>4216</v>
      </c>
      <c r="F3161" s="11">
        <v>149</v>
      </c>
    </row>
    <row r="3162" spans="2:6" x14ac:dyDescent="0.3">
      <c r="B3162" s="12">
        <v>3159</v>
      </c>
      <c r="C3162" s="28">
        <v>172.71859963773696</v>
      </c>
      <c r="E3162" s="14" t="s">
        <v>3179</v>
      </c>
      <c r="F3162" s="11">
        <v>152</v>
      </c>
    </row>
    <row r="3163" spans="2:6" x14ac:dyDescent="0.3">
      <c r="B3163" s="12">
        <v>3160</v>
      </c>
      <c r="C3163" s="28">
        <v>164.17462638580045</v>
      </c>
      <c r="E3163" s="14" t="s">
        <v>757</v>
      </c>
      <c r="F3163" s="11">
        <v>162</v>
      </c>
    </row>
    <row r="3164" spans="2:6" x14ac:dyDescent="0.3">
      <c r="B3164" s="12">
        <v>3161</v>
      </c>
      <c r="C3164" s="28">
        <v>152.77047458349946</v>
      </c>
      <c r="E3164" s="14" t="s">
        <v>369</v>
      </c>
      <c r="F3164" s="11">
        <v>174</v>
      </c>
    </row>
    <row r="3165" spans="2:6" x14ac:dyDescent="0.3">
      <c r="B3165" s="12">
        <v>3162</v>
      </c>
      <c r="C3165" s="28">
        <v>156.20654400910098</v>
      </c>
      <c r="E3165" s="14" t="s">
        <v>2256</v>
      </c>
      <c r="F3165" s="11">
        <v>164</v>
      </c>
    </row>
    <row r="3166" spans="2:6" x14ac:dyDescent="0.3">
      <c r="B3166" s="12">
        <v>3163</v>
      </c>
      <c r="C3166" s="28">
        <v>153.58485240880199</v>
      </c>
      <c r="E3166" s="14" t="s">
        <v>644</v>
      </c>
      <c r="F3166" s="11">
        <v>177</v>
      </c>
    </row>
    <row r="3167" spans="2:6" x14ac:dyDescent="0.3">
      <c r="B3167" s="12">
        <v>3164</v>
      </c>
      <c r="C3167" s="28">
        <v>156.18064050348644</v>
      </c>
      <c r="E3167" s="14" t="s">
        <v>2681</v>
      </c>
      <c r="F3167" s="11">
        <v>173</v>
      </c>
    </row>
    <row r="3168" spans="2:6" x14ac:dyDescent="0.3">
      <c r="B3168" s="12">
        <v>3165</v>
      </c>
      <c r="C3168" s="28">
        <v>166.45461430416808</v>
      </c>
      <c r="E3168" s="14" t="s">
        <v>3773</v>
      </c>
      <c r="F3168" s="11">
        <v>177</v>
      </c>
    </row>
    <row r="3169" spans="2:6" x14ac:dyDescent="0.3">
      <c r="B3169" s="12">
        <v>3166</v>
      </c>
      <c r="C3169" s="28">
        <v>146.90666314375409</v>
      </c>
      <c r="E3169" s="14" t="s">
        <v>3989</v>
      </c>
      <c r="F3169" s="11">
        <v>169</v>
      </c>
    </row>
    <row r="3170" spans="2:6" x14ac:dyDescent="0.3">
      <c r="B3170" s="12">
        <v>3167</v>
      </c>
      <c r="C3170" s="28">
        <v>165.2042491467121</v>
      </c>
      <c r="E3170" s="14" t="s">
        <v>565</v>
      </c>
      <c r="F3170" s="11">
        <v>171</v>
      </c>
    </row>
    <row r="3171" spans="2:6" x14ac:dyDescent="0.3">
      <c r="B3171" s="12">
        <v>3168</v>
      </c>
      <c r="C3171" s="28">
        <v>163.02109902616232</v>
      </c>
      <c r="E3171" s="14" t="s">
        <v>165</v>
      </c>
      <c r="F3171" s="11">
        <v>173</v>
      </c>
    </row>
    <row r="3172" spans="2:6" x14ac:dyDescent="0.3">
      <c r="B3172" s="12">
        <v>3169</v>
      </c>
      <c r="C3172" s="28">
        <v>161.11413179315065</v>
      </c>
      <c r="E3172" s="14" t="s">
        <v>801</v>
      </c>
      <c r="F3172" s="11">
        <v>166</v>
      </c>
    </row>
    <row r="3173" spans="2:6" x14ac:dyDescent="0.3">
      <c r="B3173" s="12">
        <v>3170</v>
      </c>
      <c r="C3173" s="28">
        <v>158.72703602082899</v>
      </c>
      <c r="E3173" s="14" t="s">
        <v>948</v>
      </c>
      <c r="F3173" s="11">
        <v>172</v>
      </c>
    </row>
    <row r="3174" spans="2:6" x14ac:dyDescent="0.3">
      <c r="B3174" s="12">
        <v>3171</v>
      </c>
      <c r="C3174" s="28">
        <v>171.16116438870463</v>
      </c>
      <c r="E3174" s="14" t="s">
        <v>2283</v>
      </c>
      <c r="F3174" s="11">
        <v>167</v>
      </c>
    </row>
    <row r="3175" spans="2:6" x14ac:dyDescent="0.3">
      <c r="B3175" s="12">
        <v>3172</v>
      </c>
      <c r="C3175" s="28">
        <v>164.49929727203471</v>
      </c>
      <c r="E3175" s="14" t="s">
        <v>3816</v>
      </c>
      <c r="F3175" s="11">
        <v>158</v>
      </c>
    </row>
    <row r="3176" spans="2:6" x14ac:dyDescent="0.3">
      <c r="B3176" s="12">
        <v>3173</v>
      </c>
      <c r="C3176" s="28">
        <v>161.49677263248947</v>
      </c>
      <c r="E3176" s="14" t="s">
        <v>1132</v>
      </c>
      <c r="F3176" s="11">
        <v>172</v>
      </c>
    </row>
    <row r="3177" spans="2:6" x14ac:dyDescent="0.3">
      <c r="B3177" s="12">
        <v>3174</v>
      </c>
      <c r="C3177" s="28">
        <v>162.04825946285828</v>
      </c>
      <c r="E3177" s="14" t="s">
        <v>3192</v>
      </c>
      <c r="F3177" s="11">
        <v>174</v>
      </c>
    </row>
    <row r="3178" spans="2:6" x14ac:dyDescent="0.3">
      <c r="B3178" s="12">
        <v>3175</v>
      </c>
      <c r="C3178" s="28">
        <v>154.88263269692152</v>
      </c>
      <c r="E3178" s="14" t="s">
        <v>4207</v>
      </c>
      <c r="F3178" s="11">
        <v>170</v>
      </c>
    </row>
    <row r="3179" spans="2:6" x14ac:dyDescent="0.3">
      <c r="B3179" s="12">
        <v>3176</v>
      </c>
      <c r="C3179" s="28">
        <v>156.80899913179664</v>
      </c>
      <c r="E3179" s="14" t="s">
        <v>4505</v>
      </c>
      <c r="F3179" s="11">
        <v>180</v>
      </c>
    </row>
    <row r="3180" spans="2:6" x14ac:dyDescent="0.3">
      <c r="B3180" s="12">
        <v>3177</v>
      </c>
      <c r="C3180" s="28">
        <v>163.0461483329056</v>
      </c>
      <c r="E3180" s="14" t="s">
        <v>2569</v>
      </c>
      <c r="F3180" s="11">
        <v>167</v>
      </c>
    </row>
    <row r="3181" spans="2:6" x14ac:dyDescent="0.3">
      <c r="B3181" s="12">
        <v>3178</v>
      </c>
      <c r="C3181" s="28">
        <v>153.80256825881952</v>
      </c>
      <c r="E3181" s="14" t="s">
        <v>2173</v>
      </c>
      <c r="F3181" s="11">
        <v>176</v>
      </c>
    </row>
    <row r="3182" spans="2:6" x14ac:dyDescent="0.3">
      <c r="B3182" s="12">
        <v>3179</v>
      </c>
      <c r="C3182" s="28">
        <v>170.64248323220113</v>
      </c>
      <c r="E3182" s="14" t="s">
        <v>771</v>
      </c>
      <c r="F3182" s="11">
        <v>157</v>
      </c>
    </row>
    <row r="3183" spans="2:6" x14ac:dyDescent="0.3">
      <c r="B3183" s="12">
        <v>3180</v>
      </c>
      <c r="C3183" s="28">
        <v>167.32413839197213</v>
      </c>
      <c r="E3183" s="14" t="s">
        <v>2884</v>
      </c>
      <c r="F3183" s="11">
        <v>183</v>
      </c>
    </row>
    <row r="3184" spans="2:6" x14ac:dyDescent="0.3">
      <c r="B3184" s="12">
        <v>3181</v>
      </c>
      <c r="C3184" s="28">
        <v>153.25491160219775</v>
      </c>
      <c r="E3184" s="14" t="s">
        <v>3586</v>
      </c>
      <c r="F3184" s="11">
        <v>170</v>
      </c>
    </row>
    <row r="3185" spans="2:6" x14ac:dyDescent="0.3">
      <c r="B3185" s="12">
        <v>3182</v>
      </c>
      <c r="C3185" s="28">
        <v>150.17757997168408</v>
      </c>
      <c r="E3185" s="14" t="s">
        <v>2696</v>
      </c>
      <c r="F3185" s="11">
        <v>168</v>
      </c>
    </row>
    <row r="3186" spans="2:6" x14ac:dyDescent="0.3">
      <c r="B3186" s="12">
        <v>3183</v>
      </c>
      <c r="C3186" s="28">
        <v>173.19510468255274</v>
      </c>
      <c r="E3186" s="14" t="s">
        <v>903</v>
      </c>
      <c r="F3186" s="11">
        <v>177</v>
      </c>
    </row>
    <row r="3187" spans="2:6" x14ac:dyDescent="0.3">
      <c r="B3187" s="12">
        <v>3184</v>
      </c>
      <c r="C3187" s="28">
        <v>159.05982330965415</v>
      </c>
      <c r="E3187" s="14" t="s">
        <v>1674</v>
      </c>
      <c r="F3187" s="11">
        <v>163</v>
      </c>
    </row>
    <row r="3188" spans="2:6" x14ac:dyDescent="0.3">
      <c r="B3188" s="12">
        <v>3185</v>
      </c>
      <c r="C3188" s="28">
        <v>164.49585425828803</v>
      </c>
      <c r="E3188" s="14" t="s">
        <v>3356</v>
      </c>
      <c r="F3188" s="11">
        <v>180</v>
      </c>
    </row>
    <row r="3189" spans="2:6" x14ac:dyDescent="0.3">
      <c r="B3189" s="12">
        <v>3186</v>
      </c>
      <c r="C3189" s="28">
        <v>161.84126639908575</v>
      </c>
      <c r="E3189" s="14" t="s">
        <v>1573</v>
      </c>
      <c r="F3189" s="11">
        <v>174</v>
      </c>
    </row>
    <row r="3190" spans="2:6" x14ac:dyDescent="0.3">
      <c r="B3190" s="12">
        <v>3187</v>
      </c>
      <c r="C3190" s="28">
        <v>159.48296407027669</v>
      </c>
      <c r="E3190" s="14" t="s">
        <v>3173</v>
      </c>
      <c r="F3190" s="11">
        <v>170</v>
      </c>
    </row>
    <row r="3191" spans="2:6" x14ac:dyDescent="0.3">
      <c r="B3191" s="12">
        <v>3188</v>
      </c>
      <c r="C3191" s="28">
        <v>168.50698771297817</v>
      </c>
      <c r="E3191" s="14" t="s">
        <v>3365</v>
      </c>
      <c r="F3191" s="11">
        <v>178</v>
      </c>
    </row>
    <row r="3192" spans="2:6" x14ac:dyDescent="0.3">
      <c r="B3192" s="12">
        <v>3189</v>
      </c>
      <c r="C3192" s="28">
        <v>164.70824884415563</v>
      </c>
      <c r="E3192" s="14" t="s">
        <v>80</v>
      </c>
      <c r="F3192" s="11">
        <v>182</v>
      </c>
    </row>
    <row r="3193" spans="2:6" x14ac:dyDescent="0.3">
      <c r="B3193" s="12">
        <v>3190</v>
      </c>
      <c r="C3193" s="28">
        <v>167.0201083183218</v>
      </c>
      <c r="E3193" s="14" t="s">
        <v>399</v>
      </c>
      <c r="F3193" s="11">
        <v>186</v>
      </c>
    </row>
    <row r="3194" spans="2:6" x14ac:dyDescent="0.3">
      <c r="B3194" s="12">
        <v>3191</v>
      </c>
      <c r="C3194" s="28">
        <v>168.41863658547911</v>
      </c>
      <c r="E3194" s="14" t="s">
        <v>393</v>
      </c>
      <c r="F3194" s="11">
        <v>155</v>
      </c>
    </row>
    <row r="3195" spans="2:6" x14ac:dyDescent="0.3">
      <c r="B3195" s="12">
        <v>3192</v>
      </c>
      <c r="C3195" s="28">
        <v>163.16386459401488</v>
      </c>
      <c r="E3195" s="14" t="s">
        <v>4605</v>
      </c>
      <c r="F3195" s="11">
        <v>179</v>
      </c>
    </row>
    <row r="3196" spans="2:6" x14ac:dyDescent="0.3">
      <c r="B3196" s="12">
        <v>3193</v>
      </c>
      <c r="C3196" s="28">
        <v>160.28666031007353</v>
      </c>
      <c r="E3196" s="14" t="s">
        <v>3565</v>
      </c>
      <c r="F3196" s="11">
        <v>168</v>
      </c>
    </row>
    <row r="3197" spans="2:6" x14ac:dyDescent="0.3">
      <c r="B3197" s="12">
        <v>3194</v>
      </c>
      <c r="C3197" s="28">
        <v>159.46196613626174</v>
      </c>
      <c r="E3197" s="14" t="s">
        <v>1949</v>
      </c>
      <c r="F3197" s="11">
        <v>178</v>
      </c>
    </row>
    <row r="3198" spans="2:6" x14ac:dyDescent="0.3">
      <c r="B3198" s="12">
        <v>3195</v>
      </c>
      <c r="C3198" s="28">
        <v>161.22177205653975</v>
      </c>
      <c r="E3198" s="14" t="s">
        <v>1517</v>
      </c>
      <c r="F3198" s="11">
        <v>163</v>
      </c>
    </row>
    <row r="3199" spans="2:6" x14ac:dyDescent="0.3">
      <c r="B3199" s="12">
        <v>3196</v>
      </c>
      <c r="C3199" s="28">
        <v>169.54288378251715</v>
      </c>
      <c r="E3199" s="14" t="s">
        <v>2288</v>
      </c>
      <c r="F3199" s="11">
        <v>178</v>
      </c>
    </row>
    <row r="3200" spans="2:6" x14ac:dyDescent="0.3">
      <c r="B3200" s="12">
        <v>3197</v>
      </c>
      <c r="C3200" s="28">
        <v>168.98491310785292</v>
      </c>
      <c r="E3200" s="14" t="s">
        <v>2515</v>
      </c>
      <c r="F3200" s="11">
        <v>170</v>
      </c>
    </row>
    <row r="3201" spans="2:6" x14ac:dyDescent="0.3">
      <c r="B3201" s="12">
        <v>3198</v>
      </c>
      <c r="C3201" s="28">
        <v>164.95406514310474</v>
      </c>
      <c r="E3201" s="14" t="s">
        <v>3992</v>
      </c>
      <c r="F3201" s="11">
        <v>157</v>
      </c>
    </row>
    <row r="3202" spans="2:6" x14ac:dyDescent="0.3">
      <c r="B3202" s="12">
        <v>3199</v>
      </c>
      <c r="C3202" s="28">
        <v>163.20709027555804</v>
      </c>
      <c r="E3202" s="14" t="s">
        <v>2108</v>
      </c>
      <c r="F3202" s="11">
        <v>157</v>
      </c>
    </row>
    <row r="3203" spans="2:6" x14ac:dyDescent="0.3">
      <c r="B3203" s="12">
        <v>3200</v>
      </c>
      <c r="C3203" s="28">
        <v>166.73393387864769</v>
      </c>
      <c r="E3203" s="14" t="s">
        <v>2950</v>
      </c>
      <c r="F3203" s="11">
        <v>183</v>
      </c>
    </row>
    <row r="3204" spans="2:6" x14ac:dyDescent="0.3">
      <c r="B3204" s="12">
        <v>3201</v>
      </c>
      <c r="C3204" s="28">
        <v>169.32245179568557</v>
      </c>
      <c r="E3204" s="14" t="s">
        <v>3146</v>
      </c>
      <c r="F3204" s="11">
        <v>183</v>
      </c>
    </row>
    <row r="3205" spans="2:6" x14ac:dyDescent="0.3">
      <c r="B3205" s="12">
        <v>3202</v>
      </c>
      <c r="C3205" s="28">
        <v>152.93273480159024</v>
      </c>
      <c r="E3205" s="14" t="s">
        <v>1816</v>
      </c>
      <c r="F3205" s="11">
        <v>157</v>
      </c>
    </row>
    <row r="3206" spans="2:6" x14ac:dyDescent="0.3">
      <c r="B3206" s="12">
        <v>3203</v>
      </c>
      <c r="C3206" s="28">
        <v>163.96471483801531</v>
      </c>
      <c r="E3206" s="14" t="s">
        <v>2244</v>
      </c>
      <c r="F3206" s="11">
        <v>160</v>
      </c>
    </row>
    <row r="3207" spans="2:6" x14ac:dyDescent="0.3">
      <c r="B3207" s="12">
        <v>3204</v>
      </c>
      <c r="C3207" s="28">
        <v>166.42698101822339</v>
      </c>
      <c r="E3207" s="14" t="s">
        <v>2746</v>
      </c>
      <c r="F3207" s="11">
        <v>180</v>
      </c>
    </row>
    <row r="3208" spans="2:6" x14ac:dyDescent="0.3">
      <c r="B3208" s="12">
        <v>3205</v>
      </c>
      <c r="C3208" s="28">
        <v>162.97640577848523</v>
      </c>
      <c r="E3208" s="14" t="s">
        <v>2885</v>
      </c>
      <c r="F3208" s="11">
        <v>172</v>
      </c>
    </row>
    <row r="3209" spans="2:6" x14ac:dyDescent="0.3">
      <c r="B3209" s="12">
        <v>3206</v>
      </c>
      <c r="C3209" s="28">
        <v>161.0988669867227</v>
      </c>
      <c r="E3209" s="14" t="s">
        <v>850</v>
      </c>
      <c r="F3209" s="11">
        <v>180</v>
      </c>
    </row>
    <row r="3210" spans="2:6" x14ac:dyDescent="0.3">
      <c r="B3210" s="12">
        <v>3207</v>
      </c>
      <c r="C3210" s="28">
        <v>174.18226422299426</v>
      </c>
      <c r="E3210" s="14" t="s">
        <v>365</v>
      </c>
      <c r="F3210" s="11">
        <v>172</v>
      </c>
    </row>
    <row r="3211" spans="2:6" x14ac:dyDescent="0.3">
      <c r="B3211" s="12">
        <v>3208</v>
      </c>
      <c r="C3211" s="28">
        <v>171.35011584770876</v>
      </c>
      <c r="E3211" s="14" t="s">
        <v>2715</v>
      </c>
      <c r="F3211" s="11">
        <v>173</v>
      </c>
    </row>
    <row r="3212" spans="2:6" x14ac:dyDescent="0.3">
      <c r="B3212" s="12">
        <v>3209</v>
      </c>
      <c r="C3212" s="28">
        <v>166.58945278662668</v>
      </c>
      <c r="E3212" s="14" t="s">
        <v>4740</v>
      </c>
      <c r="F3212" s="11">
        <v>184</v>
      </c>
    </row>
    <row r="3213" spans="2:6" x14ac:dyDescent="0.3">
      <c r="B3213" s="12">
        <v>3210</v>
      </c>
      <c r="C3213" s="28">
        <v>171.1545671567292</v>
      </c>
      <c r="E3213" s="14" t="s">
        <v>2364</v>
      </c>
      <c r="F3213" s="11">
        <v>173</v>
      </c>
    </row>
    <row r="3214" spans="2:6" x14ac:dyDescent="0.3">
      <c r="B3214" s="12">
        <v>3211</v>
      </c>
      <c r="C3214" s="28">
        <v>165.86310196713538</v>
      </c>
      <c r="E3214" s="14" t="s">
        <v>2633</v>
      </c>
      <c r="F3214" s="11">
        <v>173</v>
      </c>
    </row>
    <row r="3215" spans="2:6" x14ac:dyDescent="0.3">
      <c r="B3215" s="12">
        <v>3212</v>
      </c>
      <c r="C3215" s="28">
        <v>174.49040570392981</v>
      </c>
      <c r="E3215" s="14" t="s">
        <v>3372</v>
      </c>
      <c r="F3215" s="11">
        <v>167</v>
      </c>
    </row>
    <row r="3216" spans="2:6" x14ac:dyDescent="0.3">
      <c r="B3216" s="12">
        <v>3213</v>
      </c>
      <c r="C3216" s="28">
        <v>159.71989773182855</v>
      </c>
      <c r="E3216" s="14" t="s">
        <v>1670</v>
      </c>
      <c r="F3216" s="11">
        <v>165</v>
      </c>
    </row>
    <row r="3217" spans="2:6" x14ac:dyDescent="0.3">
      <c r="B3217" s="12">
        <v>3214</v>
      </c>
      <c r="C3217" s="28">
        <v>163.83570341266656</v>
      </c>
      <c r="E3217" s="14" t="s">
        <v>1755</v>
      </c>
      <c r="F3217" s="11">
        <v>165</v>
      </c>
    </row>
    <row r="3218" spans="2:6" x14ac:dyDescent="0.3">
      <c r="B3218" s="12">
        <v>3215</v>
      </c>
      <c r="C3218" s="28">
        <v>170.50919052552413</v>
      </c>
      <c r="E3218" s="14" t="s">
        <v>1392</v>
      </c>
      <c r="F3218" s="11">
        <v>177</v>
      </c>
    </row>
    <row r="3219" spans="2:6" x14ac:dyDescent="0.3">
      <c r="B3219" s="12">
        <v>3216</v>
      </c>
      <c r="C3219" s="28">
        <v>162.28869725170489</v>
      </c>
      <c r="E3219" s="14" t="s">
        <v>1412</v>
      </c>
      <c r="F3219" s="11">
        <v>160</v>
      </c>
    </row>
    <row r="3220" spans="2:6" x14ac:dyDescent="0.3">
      <c r="B3220" s="12">
        <v>3217</v>
      </c>
      <c r="C3220" s="28">
        <v>162.4256063274465</v>
      </c>
      <c r="E3220" s="14" t="s">
        <v>1462</v>
      </c>
      <c r="F3220" s="11">
        <v>161</v>
      </c>
    </row>
    <row r="3221" spans="2:6" x14ac:dyDescent="0.3">
      <c r="B3221" s="12">
        <v>3218</v>
      </c>
      <c r="C3221" s="28">
        <v>155.531997603771</v>
      </c>
      <c r="E3221" s="14" t="s">
        <v>471</v>
      </c>
      <c r="F3221" s="11">
        <v>176</v>
      </c>
    </row>
    <row r="3222" spans="2:6" x14ac:dyDescent="0.3">
      <c r="B3222" s="12">
        <v>3219</v>
      </c>
      <c r="C3222" s="28">
        <v>158.40924173569618</v>
      </c>
      <c r="E3222" s="14" t="s">
        <v>532</v>
      </c>
      <c r="F3222" s="11">
        <v>174</v>
      </c>
    </row>
    <row r="3223" spans="2:6" x14ac:dyDescent="0.3">
      <c r="B3223" s="12">
        <v>3220</v>
      </c>
      <c r="C3223" s="28">
        <v>162.25823913381709</v>
      </c>
      <c r="E3223" s="14" t="s">
        <v>444</v>
      </c>
      <c r="F3223" s="11">
        <v>173</v>
      </c>
    </row>
    <row r="3224" spans="2:6" x14ac:dyDescent="0.3">
      <c r="B3224" s="12">
        <v>3221</v>
      </c>
      <c r="C3224" s="28">
        <v>170.8407148844548</v>
      </c>
      <c r="E3224" s="14" t="s">
        <v>1727</v>
      </c>
      <c r="F3224" s="11">
        <v>175</v>
      </c>
    </row>
    <row r="3225" spans="2:6" x14ac:dyDescent="0.3">
      <c r="B3225" s="12">
        <v>3222</v>
      </c>
      <c r="C3225" s="28">
        <v>157.43154308347613</v>
      </c>
      <c r="E3225" s="14" t="s">
        <v>1308</v>
      </c>
      <c r="F3225" s="11">
        <v>188</v>
      </c>
    </row>
    <row r="3226" spans="2:6" x14ac:dyDescent="0.3">
      <c r="B3226" s="12">
        <v>3223</v>
      </c>
      <c r="C3226" s="28">
        <v>157.32253521202597</v>
      </c>
      <c r="E3226" s="14" t="s">
        <v>2862</v>
      </c>
      <c r="F3226" s="11">
        <v>178</v>
      </c>
    </row>
    <row r="3227" spans="2:6" x14ac:dyDescent="0.3">
      <c r="B3227" s="12">
        <v>3224</v>
      </c>
      <c r="C3227" s="28">
        <v>165.41406321783953</v>
      </c>
      <c r="E3227" s="14" t="s">
        <v>3231</v>
      </c>
      <c r="F3227" s="11">
        <v>180</v>
      </c>
    </row>
    <row r="3228" spans="2:6" x14ac:dyDescent="0.3">
      <c r="B3228" s="12">
        <v>3225</v>
      </c>
      <c r="C3228" s="28">
        <v>152.27278088756194</v>
      </c>
      <c r="E3228" s="14" t="s">
        <v>4770</v>
      </c>
      <c r="F3228" s="11">
        <v>152</v>
      </c>
    </row>
    <row r="3229" spans="2:6" x14ac:dyDescent="0.3">
      <c r="B3229" s="12">
        <v>3226</v>
      </c>
      <c r="C3229" s="28">
        <v>149.02422054449138</v>
      </c>
      <c r="E3229" s="14" t="s">
        <v>4251</v>
      </c>
      <c r="F3229" s="11">
        <v>177</v>
      </c>
    </row>
    <row r="3230" spans="2:6" x14ac:dyDescent="0.3">
      <c r="B3230" s="12">
        <v>3227</v>
      </c>
      <c r="C3230" s="28">
        <v>156.10443064091842</v>
      </c>
      <c r="E3230" s="14" t="s">
        <v>3888</v>
      </c>
      <c r="F3230" s="11">
        <v>183</v>
      </c>
    </row>
    <row r="3231" spans="2:6" x14ac:dyDescent="0.3">
      <c r="B3231" s="12">
        <v>3228</v>
      </c>
      <c r="C3231" s="28">
        <v>168.50203818276273</v>
      </c>
      <c r="E3231" s="14" t="s">
        <v>4256</v>
      </c>
      <c r="F3231" s="11">
        <v>166</v>
      </c>
    </row>
    <row r="3232" spans="2:6" x14ac:dyDescent="0.3">
      <c r="B3232" s="12">
        <v>3229</v>
      </c>
      <c r="C3232" s="28">
        <v>171.66388046130933</v>
      </c>
      <c r="E3232" s="14" t="s">
        <v>15</v>
      </c>
      <c r="F3232" s="11">
        <v>170</v>
      </c>
    </row>
    <row r="3233" spans="2:6" x14ac:dyDescent="0.3">
      <c r="B3233" s="12">
        <v>3230</v>
      </c>
      <c r="C3233" s="28">
        <v>167.93189121615723</v>
      </c>
      <c r="E3233" s="14" t="s">
        <v>4101</v>
      </c>
      <c r="F3233" s="11">
        <v>173</v>
      </c>
    </row>
    <row r="3234" spans="2:6" x14ac:dyDescent="0.3">
      <c r="B3234" s="12">
        <v>3231</v>
      </c>
      <c r="C3234" s="28">
        <v>159.34874328527252</v>
      </c>
      <c r="E3234" s="14" t="s">
        <v>1967</v>
      </c>
      <c r="F3234" s="11">
        <v>160</v>
      </c>
    </row>
    <row r="3235" spans="2:6" x14ac:dyDescent="0.3">
      <c r="B3235" s="12">
        <v>3232</v>
      </c>
      <c r="C3235" s="28">
        <v>159.35226573961015</v>
      </c>
      <c r="E3235" s="14" t="s">
        <v>2763</v>
      </c>
      <c r="F3235" s="11">
        <v>173</v>
      </c>
    </row>
    <row r="3236" spans="2:6" x14ac:dyDescent="0.3">
      <c r="B3236" s="12">
        <v>3233</v>
      </c>
      <c r="C3236" s="28">
        <v>153.91085173830368</v>
      </c>
      <c r="E3236" s="14" t="s">
        <v>277</v>
      </c>
      <c r="F3236" s="11">
        <v>176</v>
      </c>
    </row>
    <row r="3237" spans="2:6" x14ac:dyDescent="0.3">
      <c r="B3237" s="12">
        <v>3234</v>
      </c>
      <c r="C3237" s="28">
        <v>163.22975540456724</v>
      </c>
      <c r="E3237" s="14" t="s">
        <v>3337</v>
      </c>
      <c r="F3237" s="11">
        <v>165</v>
      </c>
    </row>
    <row r="3238" spans="2:6" x14ac:dyDescent="0.3">
      <c r="B3238" s="12">
        <v>3235</v>
      </c>
      <c r="C3238" s="28">
        <v>161.51745301845858</v>
      </c>
      <c r="E3238" s="14" t="s">
        <v>2786</v>
      </c>
      <c r="F3238" s="11">
        <v>162</v>
      </c>
    </row>
    <row r="3239" spans="2:6" x14ac:dyDescent="0.3">
      <c r="B3239" s="12">
        <v>3236</v>
      </c>
      <c r="C3239" s="28">
        <v>153.72694965307556</v>
      </c>
      <c r="E3239" s="14" t="s">
        <v>456</v>
      </c>
      <c r="F3239" s="11">
        <v>171</v>
      </c>
    </row>
    <row r="3240" spans="2:6" x14ac:dyDescent="0.3">
      <c r="B3240" s="12">
        <v>3237</v>
      </c>
      <c r="C3240" s="28">
        <v>166.75237231314358</v>
      </c>
      <c r="E3240" s="14" t="s">
        <v>890</v>
      </c>
      <c r="F3240" s="11">
        <v>174</v>
      </c>
    </row>
    <row r="3241" spans="2:6" x14ac:dyDescent="0.3">
      <c r="B3241" s="12">
        <v>3238</v>
      </c>
      <c r="C3241" s="28">
        <v>163.49576016403449</v>
      </c>
      <c r="E3241" s="14" t="s">
        <v>2575</v>
      </c>
      <c r="F3241" s="11">
        <v>185</v>
      </c>
    </row>
    <row r="3242" spans="2:6" x14ac:dyDescent="0.3">
      <c r="B3242" s="12">
        <v>3239</v>
      </c>
      <c r="C3242" s="28">
        <v>172.95957186349693</v>
      </c>
      <c r="E3242" s="14" t="s">
        <v>4500</v>
      </c>
      <c r="F3242" s="11">
        <v>170</v>
      </c>
    </row>
    <row r="3243" spans="2:6" x14ac:dyDescent="0.3">
      <c r="B3243" s="12">
        <v>3240</v>
      </c>
      <c r="C3243" s="28">
        <v>155.96286873227064</v>
      </c>
      <c r="E3243" s="14" t="s">
        <v>1169</v>
      </c>
      <c r="F3243" s="11">
        <v>172</v>
      </c>
    </row>
    <row r="3244" spans="2:6" x14ac:dyDescent="0.3">
      <c r="B3244" s="12">
        <v>3241</v>
      </c>
      <c r="C3244" s="28">
        <v>161.68450567870335</v>
      </c>
      <c r="E3244" s="14" t="s">
        <v>73</v>
      </c>
      <c r="F3244" s="11">
        <v>171</v>
      </c>
    </row>
    <row r="3245" spans="2:6" x14ac:dyDescent="0.3">
      <c r="B3245" s="12">
        <v>3242</v>
      </c>
      <c r="C3245" s="28">
        <v>142.66493993301731</v>
      </c>
      <c r="E3245" s="14" t="s">
        <v>1665</v>
      </c>
      <c r="F3245" s="11">
        <v>175</v>
      </c>
    </row>
    <row r="3246" spans="2:6" x14ac:dyDescent="0.3">
      <c r="B3246" s="12">
        <v>3243</v>
      </c>
      <c r="C3246" s="28">
        <v>154.58264533699651</v>
      </c>
      <c r="E3246" s="14" t="s">
        <v>2290</v>
      </c>
      <c r="F3246" s="11">
        <v>170</v>
      </c>
    </row>
    <row r="3247" spans="2:6" x14ac:dyDescent="0.3">
      <c r="B3247" s="12">
        <v>3244</v>
      </c>
      <c r="C3247" s="28">
        <v>166.353566420139</v>
      </c>
      <c r="E3247" s="14" t="s">
        <v>2784</v>
      </c>
      <c r="F3247" s="11">
        <v>186</v>
      </c>
    </row>
    <row r="3248" spans="2:6" x14ac:dyDescent="0.3">
      <c r="B3248" s="12">
        <v>3245</v>
      </c>
      <c r="C3248" s="28">
        <v>152.62904374573685</v>
      </c>
      <c r="E3248" s="14" t="s">
        <v>1131</v>
      </c>
      <c r="F3248" s="11">
        <v>174</v>
      </c>
    </row>
    <row r="3249" spans="2:6" x14ac:dyDescent="0.3">
      <c r="B3249" s="12">
        <v>3246</v>
      </c>
      <c r="C3249" s="28">
        <v>165.50154988794992</v>
      </c>
      <c r="E3249" s="14" t="s">
        <v>1749</v>
      </c>
      <c r="F3249" s="11">
        <v>188</v>
      </c>
    </row>
    <row r="3250" spans="2:6" x14ac:dyDescent="0.3">
      <c r="B3250" s="12">
        <v>3247</v>
      </c>
      <c r="C3250" s="28">
        <v>153.87426857834876</v>
      </c>
      <c r="E3250" s="14" t="s">
        <v>4338</v>
      </c>
      <c r="F3250" s="11">
        <v>175</v>
      </c>
    </row>
    <row r="3251" spans="2:6" x14ac:dyDescent="0.3">
      <c r="B3251" s="12">
        <v>3248</v>
      </c>
      <c r="C3251" s="28">
        <v>152.01251376359988</v>
      </c>
      <c r="E3251" s="14" t="s">
        <v>3304</v>
      </c>
      <c r="F3251" s="11">
        <v>177</v>
      </c>
    </row>
    <row r="3252" spans="2:6" x14ac:dyDescent="0.3">
      <c r="B3252" s="12">
        <v>3249</v>
      </c>
      <c r="C3252" s="28">
        <v>152.85494564551405</v>
      </c>
      <c r="E3252" s="14" t="s">
        <v>1876</v>
      </c>
      <c r="F3252" s="11">
        <v>172</v>
      </c>
    </row>
    <row r="3253" spans="2:6" x14ac:dyDescent="0.3">
      <c r="B3253" s="12">
        <v>3250</v>
      </c>
      <c r="C3253" s="28">
        <v>162.07042120554968</v>
      </c>
      <c r="E3253" s="14" t="s">
        <v>1221</v>
      </c>
      <c r="F3253" s="11">
        <v>173</v>
      </c>
    </row>
    <row r="3254" spans="2:6" x14ac:dyDescent="0.3">
      <c r="B3254" s="12">
        <v>3251</v>
      </c>
      <c r="C3254" s="28">
        <v>165.50535915401895</v>
      </c>
      <c r="E3254" s="14" t="s">
        <v>665</v>
      </c>
      <c r="F3254" s="11">
        <v>176</v>
      </c>
    </row>
    <row r="3255" spans="2:6" x14ac:dyDescent="0.3">
      <c r="B3255" s="12">
        <v>3252</v>
      </c>
      <c r="C3255" s="28">
        <v>155.52633814801808</v>
      </c>
      <c r="E3255" s="14" t="s">
        <v>824</v>
      </c>
      <c r="F3255" s="11">
        <v>186</v>
      </c>
    </row>
    <row r="3256" spans="2:6" x14ac:dyDescent="0.3">
      <c r="B3256" s="12">
        <v>3253</v>
      </c>
      <c r="C3256" s="28">
        <v>168.29154534851202</v>
      </c>
      <c r="E3256" s="14" t="s">
        <v>1257</v>
      </c>
      <c r="F3256" s="11">
        <v>152</v>
      </c>
    </row>
    <row r="3257" spans="2:6" x14ac:dyDescent="0.3">
      <c r="B3257" s="12">
        <v>3254</v>
      </c>
      <c r="C3257" s="28">
        <v>158.24032483740493</v>
      </c>
      <c r="E3257" s="14" t="s">
        <v>1466</v>
      </c>
      <c r="F3257" s="11">
        <v>178</v>
      </c>
    </row>
    <row r="3258" spans="2:6" x14ac:dyDescent="0.3">
      <c r="B3258" s="12">
        <v>3255</v>
      </c>
      <c r="C3258" s="28">
        <v>171.05043441253537</v>
      </c>
      <c r="E3258" s="14" t="s">
        <v>2134</v>
      </c>
      <c r="F3258" s="11">
        <v>170</v>
      </c>
    </row>
    <row r="3259" spans="2:6" x14ac:dyDescent="0.3">
      <c r="B3259" s="12">
        <v>3256</v>
      </c>
      <c r="C3259" s="28">
        <v>163.78568646183859</v>
      </c>
      <c r="E3259" s="14" t="s">
        <v>1679</v>
      </c>
      <c r="F3259" s="11">
        <v>178</v>
      </c>
    </row>
    <row r="3260" spans="2:6" x14ac:dyDescent="0.3">
      <c r="B3260" s="12">
        <v>3257</v>
      </c>
      <c r="C3260" s="28">
        <v>166.13943564511567</v>
      </c>
      <c r="E3260" s="14" t="s">
        <v>3420</v>
      </c>
      <c r="F3260" s="11">
        <v>190</v>
      </c>
    </row>
    <row r="3261" spans="2:6" x14ac:dyDescent="0.3">
      <c r="B3261" s="12">
        <v>3258</v>
      </c>
      <c r="C3261" s="28">
        <v>160.83241315854181</v>
      </c>
      <c r="E3261" s="14" t="s">
        <v>1979</v>
      </c>
      <c r="F3261" s="11">
        <v>161</v>
      </c>
    </row>
    <row r="3262" spans="2:6" x14ac:dyDescent="0.3">
      <c r="B3262" s="12">
        <v>3259</v>
      </c>
      <c r="C3262" s="28">
        <v>177.79567506418147</v>
      </c>
      <c r="E3262" s="14" t="s">
        <v>4598</v>
      </c>
      <c r="F3262" s="11">
        <v>161</v>
      </c>
    </row>
    <row r="3263" spans="2:6" x14ac:dyDescent="0.3">
      <c r="B3263" s="12">
        <v>3260</v>
      </c>
      <c r="C3263" s="28">
        <v>154.38119963719961</v>
      </c>
      <c r="E3263" s="14" t="s">
        <v>4617</v>
      </c>
      <c r="F3263" s="11">
        <v>167</v>
      </c>
    </row>
    <row r="3264" spans="2:6" x14ac:dyDescent="0.3">
      <c r="B3264" s="12">
        <v>3261</v>
      </c>
      <c r="C3264" s="28">
        <v>159.29296334841936</v>
      </c>
      <c r="E3264" s="14" t="s">
        <v>4676</v>
      </c>
      <c r="F3264" s="11">
        <v>166</v>
      </c>
    </row>
    <row r="3265" spans="2:6" x14ac:dyDescent="0.3">
      <c r="B3265" s="12">
        <v>3262</v>
      </c>
      <c r="C3265" s="28">
        <v>162.72034055892047</v>
      </c>
      <c r="E3265" s="14" t="s">
        <v>4728</v>
      </c>
      <c r="F3265" s="11">
        <v>175</v>
      </c>
    </row>
    <row r="3266" spans="2:6" x14ac:dyDescent="0.3">
      <c r="B3266" s="12">
        <v>3263</v>
      </c>
      <c r="C3266" s="28">
        <v>170.84230103773464</v>
      </c>
      <c r="E3266" s="14" t="s">
        <v>65</v>
      </c>
      <c r="F3266" s="11">
        <v>160</v>
      </c>
    </row>
    <row r="3267" spans="2:6" x14ac:dyDescent="0.3">
      <c r="B3267" s="12">
        <v>3264</v>
      </c>
      <c r="C3267" s="28">
        <v>158.05743773820629</v>
      </c>
      <c r="E3267" s="14" t="s">
        <v>2980</v>
      </c>
      <c r="F3267" s="11">
        <v>160</v>
      </c>
    </row>
    <row r="3268" spans="2:6" x14ac:dyDescent="0.3">
      <c r="B3268" s="12">
        <v>3265</v>
      </c>
      <c r="C3268" s="28">
        <v>150.42653279891641</v>
      </c>
      <c r="E3268" s="14" t="s">
        <v>3055</v>
      </c>
      <c r="F3268" s="11">
        <v>184</v>
      </c>
    </row>
    <row r="3269" spans="2:6" x14ac:dyDescent="0.3">
      <c r="B3269" s="12">
        <v>3266</v>
      </c>
      <c r="C3269" s="28">
        <v>148.25839749105879</v>
      </c>
      <c r="E3269" s="14" t="s">
        <v>2215</v>
      </c>
      <c r="F3269" s="11">
        <v>181</v>
      </c>
    </row>
    <row r="3270" spans="2:6" x14ac:dyDescent="0.3">
      <c r="B3270" s="12">
        <v>3267</v>
      </c>
      <c r="C3270" s="28">
        <v>152.34244310548004</v>
      </c>
      <c r="E3270" s="14" t="s">
        <v>1393</v>
      </c>
      <c r="F3270" s="11">
        <v>152</v>
      </c>
    </row>
    <row r="3271" spans="2:6" x14ac:dyDescent="0.3">
      <c r="B3271" s="12">
        <v>3268</v>
      </c>
      <c r="C3271" s="28">
        <v>158.07007556243221</v>
      </c>
      <c r="E3271" s="14" t="s">
        <v>2139</v>
      </c>
      <c r="F3271" s="11">
        <v>165</v>
      </c>
    </row>
    <row r="3272" spans="2:6" x14ac:dyDescent="0.3">
      <c r="B3272" s="12">
        <v>3269</v>
      </c>
      <c r="C3272" s="28">
        <v>155.96789599395549</v>
      </c>
      <c r="E3272" s="14" t="s">
        <v>2556</v>
      </c>
      <c r="F3272" s="11">
        <v>172</v>
      </c>
    </row>
    <row r="3273" spans="2:6" x14ac:dyDescent="0.3">
      <c r="B3273" s="12">
        <v>3270</v>
      </c>
      <c r="C3273" s="28">
        <v>169.39843562072625</v>
      </c>
      <c r="E3273" s="14" t="s">
        <v>3363</v>
      </c>
      <c r="F3273" s="11">
        <v>190</v>
      </c>
    </row>
    <row r="3274" spans="2:6" x14ac:dyDescent="0.3">
      <c r="B3274" s="12">
        <v>3271</v>
      </c>
      <c r="C3274" s="28">
        <v>154.50616228774828</v>
      </c>
      <c r="E3274" s="14" t="s">
        <v>4228</v>
      </c>
      <c r="F3274" s="11">
        <v>161</v>
      </c>
    </row>
    <row r="3275" spans="2:6" x14ac:dyDescent="0.3">
      <c r="B3275" s="12">
        <v>3272</v>
      </c>
      <c r="C3275" s="28">
        <v>166.70680483928939</v>
      </c>
      <c r="E3275" s="14" t="s">
        <v>4295</v>
      </c>
      <c r="F3275" s="11">
        <v>165</v>
      </c>
    </row>
    <row r="3276" spans="2:6" x14ac:dyDescent="0.3">
      <c r="B3276" s="12">
        <v>3273</v>
      </c>
      <c r="C3276" s="28">
        <v>152.88597927071032</v>
      </c>
      <c r="E3276" s="14" t="s">
        <v>4847</v>
      </c>
      <c r="F3276" s="11">
        <v>177</v>
      </c>
    </row>
    <row r="3277" spans="2:6" x14ac:dyDescent="0.3">
      <c r="B3277" s="12">
        <v>3274</v>
      </c>
      <c r="C3277" s="28">
        <v>167.89074599632363</v>
      </c>
      <c r="E3277" s="14" t="s">
        <v>2242</v>
      </c>
      <c r="F3277" s="11">
        <v>176</v>
      </c>
    </row>
    <row r="3278" spans="2:6" x14ac:dyDescent="0.3">
      <c r="B3278" s="12">
        <v>3275</v>
      </c>
      <c r="C3278" s="28">
        <v>163.58954213572821</v>
      </c>
      <c r="E3278" s="14" t="s">
        <v>2699</v>
      </c>
      <c r="F3278" s="11">
        <v>175</v>
      </c>
    </row>
    <row r="3279" spans="2:6" x14ac:dyDescent="0.3">
      <c r="B3279" s="12">
        <v>3276</v>
      </c>
      <c r="C3279" s="28">
        <v>164.83165888748417</v>
      </c>
      <c r="E3279" s="14" t="s">
        <v>2779</v>
      </c>
      <c r="F3279" s="11">
        <v>163</v>
      </c>
    </row>
    <row r="3280" spans="2:6" x14ac:dyDescent="0.3">
      <c r="B3280" s="12">
        <v>3277</v>
      </c>
      <c r="C3280" s="28">
        <v>162.21293900448484</v>
      </c>
      <c r="E3280" s="14" t="s">
        <v>4443</v>
      </c>
      <c r="F3280" s="11">
        <v>173</v>
      </c>
    </row>
    <row r="3281" spans="2:6" x14ac:dyDescent="0.3">
      <c r="B3281" s="12">
        <v>3278</v>
      </c>
      <c r="C3281" s="28">
        <v>155.49273574673788</v>
      </c>
      <c r="E3281" s="14" t="s">
        <v>161</v>
      </c>
      <c r="F3281" s="11">
        <v>155</v>
      </c>
    </row>
    <row r="3282" spans="2:6" x14ac:dyDescent="0.3">
      <c r="B3282" s="12">
        <v>3279</v>
      </c>
      <c r="C3282" s="28">
        <v>177.80025314011525</v>
      </c>
      <c r="E3282" s="14" t="s">
        <v>4262</v>
      </c>
      <c r="F3282" s="11">
        <v>163</v>
      </c>
    </row>
    <row r="3283" spans="2:6" x14ac:dyDescent="0.3">
      <c r="B3283" s="12">
        <v>3280</v>
      </c>
      <c r="C3283" s="28">
        <v>163.79722153781714</v>
      </c>
      <c r="E3283" s="14" t="s">
        <v>910</v>
      </c>
      <c r="F3283" s="11">
        <v>165</v>
      </c>
    </row>
    <row r="3284" spans="2:6" x14ac:dyDescent="0.3">
      <c r="B3284" s="12">
        <v>3281</v>
      </c>
      <c r="C3284" s="28">
        <v>170.15107603421382</v>
      </c>
      <c r="E3284" s="14" t="s">
        <v>4480</v>
      </c>
      <c r="F3284" s="11">
        <v>176</v>
      </c>
    </row>
    <row r="3285" spans="2:6" x14ac:dyDescent="0.3">
      <c r="B3285" s="12">
        <v>3282</v>
      </c>
      <c r="C3285" s="28">
        <v>148.08268164854044</v>
      </c>
      <c r="E3285" s="14" t="s">
        <v>3399</v>
      </c>
      <c r="F3285" s="11">
        <v>164</v>
      </c>
    </row>
    <row r="3286" spans="2:6" x14ac:dyDescent="0.3">
      <c r="B3286" s="12">
        <v>3283</v>
      </c>
      <c r="C3286" s="28">
        <v>163.46477038744138</v>
      </c>
      <c r="E3286" s="14" t="s">
        <v>2119</v>
      </c>
      <c r="F3286" s="11">
        <v>177</v>
      </c>
    </row>
    <row r="3287" spans="2:6" x14ac:dyDescent="0.3">
      <c r="B3287" s="12">
        <v>3284</v>
      </c>
      <c r="C3287" s="28">
        <v>171.21900271349512</v>
      </c>
      <c r="E3287" s="14" t="s">
        <v>3567</v>
      </c>
      <c r="F3287" s="11">
        <v>191</v>
      </c>
    </row>
    <row r="3288" spans="2:6" x14ac:dyDescent="0.3">
      <c r="B3288" s="12">
        <v>3285</v>
      </c>
      <c r="C3288" s="28">
        <v>170.01822872188583</v>
      </c>
      <c r="E3288" s="14" t="s">
        <v>907</v>
      </c>
      <c r="F3288" s="11">
        <v>173</v>
      </c>
    </row>
    <row r="3289" spans="2:6" x14ac:dyDescent="0.3">
      <c r="B3289" s="12">
        <v>3286</v>
      </c>
      <c r="C3289" s="28">
        <v>154.25891635420862</v>
      </c>
      <c r="E3289" s="14" t="s">
        <v>2608</v>
      </c>
      <c r="F3289" s="11">
        <v>180</v>
      </c>
    </row>
    <row r="3290" spans="2:6" x14ac:dyDescent="0.3">
      <c r="B3290" s="12">
        <v>3287</v>
      </c>
      <c r="C3290" s="28">
        <v>165.60069914336475</v>
      </c>
      <c r="E3290" s="14" t="s">
        <v>4104</v>
      </c>
      <c r="F3290" s="11">
        <v>176</v>
      </c>
    </row>
    <row r="3291" spans="2:6" x14ac:dyDescent="0.3">
      <c r="B3291" s="12">
        <v>3288</v>
      </c>
      <c r="C3291" s="28">
        <v>152.28813375365317</v>
      </c>
      <c r="E3291" s="14" t="s">
        <v>156</v>
      </c>
      <c r="F3291" s="11">
        <v>170</v>
      </c>
    </row>
    <row r="3292" spans="2:6" x14ac:dyDescent="0.3">
      <c r="B3292" s="12">
        <v>3289</v>
      </c>
      <c r="C3292" s="28">
        <v>166.98024242802705</v>
      </c>
      <c r="E3292" s="14" t="s">
        <v>1300</v>
      </c>
      <c r="F3292" s="11">
        <v>155</v>
      </c>
    </row>
    <row r="3293" spans="2:6" x14ac:dyDescent="0.3">
      <c r="B3293" s="12">
        <v>3290</v>
      </c>
      <c r="C3293" s="28">
        <v>160.46218569230351</v>
      </c>
      <c r="E3293" s="14" t="s">
        <v>2767</v>
      </c>
      <c r="F3293" s="11">
        <v>155</v>
      </c>
    </row>
    <row r="3294" spans="2:6" x14ac:dyDescent="0.3">
      <c r="B3294" s="12">
        <v>3291</v>
      </c>
      <c r="C3294" s="28">
        <v>155.99285754699977</v>
      </c>
      <c r="E3294" s="14" t="s">
        <v>2827</v>
      </c>
      <c r="F3294" s="11">
        <v>165</v>
      </c>
    </row>
    <row r="3295" spans="2:6" x14ac:dyDescent="0.3">
      <c r="B3295" s="12">
        <v>3292</v>
      </c>
      <c r="C3295" s="28">
        <v>157.36256380703006</v>
      </c>
      <c r="E3295" s="14" t="s">
        <v>1827</v>
      </c>
      <c r="F3295" s="11">
        <v>150</v>
      </c>
    </row>
    <row r="3296" spans="2:6" x14ac:dyDescent="0.3">
      <c r="B3296" s="12">
        <v>3293</v>
      </c>
      <c r="C3296" s="28">
        <v>164.43034321521998</v>
      </c>
      <c r="E3296" s="14" t="s">
        <v>378</v>
      </c>
      <c r="F3296" s="11">
        <v>169</v>
      </c>
    </row>
    <row r="3297" spans="2:6" x14ac:dyDescent="0.3">
      <c r="B3297" s="12">
        <v>3294</v>
      </c>
      <c r="C3297" s="28">
        <v>145.37196325877218</v>
      </c>
      <c r="E3297" s="14" t="s">
        <v>1747</v>
      </c>
      <c r="F3297" s="11">
        <v>163</v>
      </c>
    </row>
    <row r="3298" spans="2:6" x14ac:dyDescent="0.3">
      <c r="B3298" s="12">
        <v>3295</v>
      </c>
      <c r="C3298" s="28">
        <v>167.64428044388765</v>
      </c>
      <c r="E3298" s="14" t="s">
        <v>1850</v>
      </c>
      <c r="F3298" s="11">
        <v>176</v>
      </c>
    </row>
    <row r="3299" spans="2:6" x14ac:dyDescent="0.3">
      <c r="B3299" s="12">
        <v>3296</v>
      </c>
      <c r="C3299" s="28">
        <v>167.73030077232394</v>
      </c>
      <c r="E3299" s="14" t="s">
        <v>1825</v>
      </c>
      <c r="F3299" s="11">
        <v>150</v>
      </c>
    </row>
    <row r="3300" spans="2:6" x14ac:dyDescent="0.3">
      <c r="B3300" s="12">
        <v>3297</v>
      </c>
      <c r="C3300" s="28">
        <v>167.95622027581649</v>
      </c>
      <c r="E3300" s="14" t="s">
        <v>3955</v>
      </c>
      <c r="F3300" s="11">
        <v>158</v>
      </c>
    </row>
    <row r="3301" spans="2:6" x14ac:dyDescent="0.3">
      <c r="B3301" s="12">
        <v>3298</v>
      </c>
      <c r="C3301" s="28">
        <v>152.07883299974728</v>
      </c>
      <c r="E3301" s="14" t="s">
        <v>4044</v>
      </c>
      <c r="F3301" s="11">
        <v>159</v>
      </c>
    </row>
    <row r="3302" spans="2:6" x14ac:dyDescent="0.3">
      <c r="B3302" s="12">
        <v>3299</v>
      </c>
      <c r="C3302" s="28">
        <v>163.21549217914662</v>
      </c>
      <c r="E3302" s="14" t="s">
        <v>2343</v>
      </c>
      <c r="F3302" s="11">
        <v>165</v>
      </c>
    </row>
    <row r="3303" spans="2:6" x14ac:dyDescent="0.3">
      <c r="B3303" s="12">
        <v>3300</v>
      </c>
      <c r="C3303" s="28">
        <v>163.889116298076</v>
      </c>
      <c r="E3303" s="14" t="s">
        <v>3060</v>
      </c>
      <c r="F3303" s="11">
        <v>169</v>
      </c>
    </row>
    <row r="3304" spans="2:6" x14ac:dyDescent="0.3">
      <c r="B3304" s="12">
        <v>3301</v>
      </c>
      <c r="C3304" s="28">
        <v>178.81223420494183</v>
      </c>
      <c r="E3304" s="14" t="s">
        <v>4796</v>
      </c>
      <c r="F3304" s="11">
        <v>157</v>
      </c>
    </row>
    <row r="3305" spans="2:6" x14ac:dyDescent="0.3">
      <c r="B3305" s="12">
        <v>3302</v>
      </c>
      <c r="C3305" s="28">
        <v>171.9163616715455</v>
      </c>
      <c r="E3305" s="14" t="s">
        <v>3468</v>
      </c>
      <c r="F3305" s="11">
        <v>165</v>
      </c>
    </row>
    <row r="3306" spans="2:6" x14ac:dyDescent="0.3">
      <c r="B3306" s="12">
        <v>3303</v>
      </c>
      <c r="C3306" s="28">
        <v>154.88782814177981</v>
      </c>
      <c r="E3306" s="14" t="s">
        <v>1292</v>
      </c>
      <c r="F3306" s="11">
        <v>162</v>
      </c>
    </row>
    <row r="3307" spans="2:6" x14ac:dyDescent="0.3">
      <c r="B3307" s="12">
        <v>3304</v>
      </c>
      <c r="C3307" s="28">
        <v>165.00337538125572</v>
      </c>
      <c r="E3307" s="14" t="s">
        <v>1408</v>
      </c>
      <c r="F3307" s="11">
        <v>169</v>
      </c>
    </row>
    <row r="3308" spans="2:6" x14ac:dyDescent="0.3">
      <c r="B3308" s="12">
        <v>3305</v>
      </c>
      <c r="C3308" s="28">
        <v>159.5781472888799</v>
      </c>
      <c r="E3308" s="14" t="s">
        <v>258</v>
      </c>
      <c r="F3308" s="11">
        <v>190</v>
      </c>
    </row>
    <row r="3309" spans="2:6" x14ac:dyDescent="0.3">
      <c r="B3309" s="12">
        <v>3306</v>
      </c>
      <c r="C3309" s="28">
        <v>160.48726537371249</v>
      </c>
      <c r="E3309" s="14" t="s">
        <v>2757</v>
      </c>
      <c r="F3309" s="11">
        <v>157</v>
      </c>
    </row>
    <row r="3310" spans="2:6" x14ac:dyDescent="0.3">
      <c r="B3310" s="12">
        <v>3307</v>
      </c>
      <c r="C3310" s="28">
        <v>164.95632734779849</v>
      </c>
      <c r="E3310" s="14" t="s">
        <v>386</v>
      </c>
      <c r="F3310" s="11">
        <v>170</v>
      </c>
    </row>
    <row r="3311" spans="2:6" x14ac:dyDescent="0.3">
      <c r="B3311" s="12">
        <v>3308</v>
      </c>
      <c r="C3311" s="28">
        <v>159.21800012639181</v>
      </c>
      <c r="E3311" s="14" t="s">
        <v>984</v>
      </c>
      <c r="F3311" s="11">
        <v>180</v>
      </c>
    </row>
    <row r="3312" spans="2:6" x14ac:dyDescent="0.3">
      <c r="B3312" s="12">
        <v>3309</v>
      </c>
      <c r="C3312" s="28">
        <v>164.66047876595988</v>
      </c>
      <c r="E3312" s="14" t="s">
        <v>672</v>
      </c>
      <c r="F3312" s="11">
        <v>164</v>
      </c>
    </row>
    <row r="3313" spans="2:6" x14ac:dyDescent="0.3">
      <c r="B3313" s="12">
        <v>3310</v>
      </c>
      <c r="C3313" s="28">
        <v>161.90153668259123</v>
      </c>
      <c r="E3313" s="14" t="s">
        <v>4199</v>
      </c>
      <c r="F3313" s="11">
        <v>184</v>
      </c>
    </row>
    <row r="3314" spans="2:6" x14ac:dyDescent="0.3">
      <c r="B3314" s="12">
        <v>3311</v>
      </c>
      <c r="C3314" s="28">
        <v>177.3484736082151</v>
      </c>
      <c r="E3314" s="14" t="s">
        <v>2970</v>
      </c>
      <c r="F3314" s="11">
        <v>172</v>
      </c>
    </row>
    <row r="3315" spans="2:6" x14ac:dyDescent="0.3">
      <c r="B3315" s="12">
        <v>3312</v>
      </c>
      <c r="C3315" s="28">
        <v>160.87260552030801</v>
      </c>
      <c r="E3315" s="14" t="s">
        <v>4691</v>
      </c>
      <c r="F3315" s="11">
        <v>171</v>
      </c>
    </row>
    <row r="3316" spans="2:6" x14ac:dyDescent="0.3">
      <c r="B3316" s="12">
        <v>3313</v>
      </c>
      <c r="C3316" s="28">
        <v>167.13180305779952</v>
      </c>
      <c r="E3316" s="14" t="s">
        <v>3193</v>
      </c>
      <c r="F3316" s="11">
        <v>158</v>
      </c>
    </row>
    <row r="3317" spans="2:6" x14ac:dyDescent="0.3">
      <c r="B3317" s="12">
        <v>3314</v>
      </c>
      <c r="C3317" s="28">
        <v>157.06622593421503</v>
      </c>
      <c r="E3317" s="14" t="s">
        <v>4376</v>
      </c>
      <c r="F3317" s="11">
        <v>181</v>
      </c>
    </row>
    <row r="3318" spans="2:6" x14ac:dyDescent="0.3">
      <c r="B3318" s="12">
        <v>3315</v>
      </c>
      <c r="C3318" s="28">
        <v>151.25419233543474</v>
      </c>
      <c r="E3318" s="14" t="s">
        <v>3699</v>
      </c>
      <c r="F3318" s="11">
        <v>165</v>
      </c>
    </row>
    <row r="3319" spans="2:6" x14ac:dyDescent="0.3">
      <c r="B3319" s="12">
        <v>3316</v>
      </c>
      <c r="C3319" s="28">
        <v>157.8017032689155</v>
      </c>
      <c r="E3319" s="14" t="s">
        <v>1046</v>
      </c>
      <c r="F3319" s="11">
        <v>159</v>
      </c>
    </row>
    <row r="3320" spans="2:6" x14ac:dyDescent="0.3">
      <c r="B3320" s="12">
        <v>3317</v>
      </c>
      <c r="C3320" s="28">
        <v>165.92516886224342</v>
      </c>
      <c r="E3320" s="14" t="s">
        <v>2686</v>
      </c>
      <c r="F3320" s="11">
        <v>160</v>
      </c>
    </row>
    <row r="3321" spans="2:6" x14ac:dyDescent="0.3">
      <c r="B3321" s="12">
        <v>3318</v>
      </c>
      <c r="C3321" s="28">
        <v>169.20068333134137</v>
      </c>
      <c r="E3321" s="14" t="s">
        <v>3172</v>
      </c>
      <c r="F3321" s="11">
        <v>164</v>
      </c>
    </row>
    <row r="3322" spans="2:6" x14ac:dyDescent="0.3">
      <c r="B3322" s="12">
        <v>3319</v>
      </c>
      <c r="C3322" s="28">
        <v>161.88594289152508</v>
      </c>
      <c r="E3322" s="14" t="s">
        <v>4795</v>
      </c>
      <c r="F3322" s="11">
        <v>165</v>
      </c>
    </row>
    <row r="3323" spans="2:6" x14ac:dyDescent="0.3">
      <c r="B3323" s="12">
        <v>3320</v>
      </c>
      <c r="C3323" s="28">
        <v>152.81693395928687</v>
      </c>
      <c r="E3323" s="14" t="s">
        <v>2978</v>
      </c>
      <c r="F3323" s="11">
        <v>157</v>
      </c>
    </row>
    <row r="3324" spans="2:6" x14ac:dyDescent="0.3">
      <c r="B3324" s="12">
        <v>3321</v>
      </c>
      <c r="C3324" s="28">
        <v>166.86119465096408</v>
      </c>
      <c r="E3324" s="14" t="s">
        <v>2967</v>
      </c>
      <c r="F3324" s="11">
        <v>179</v>
      </c>
    </row>
    <row r="3325" spans="2:6" x14ac:dyDescent="0.3">
      <c r="B3325" s="12">
        <v>3322</v>
      </c>
      <c r="C3325" s="28">
        <v>163.55292657439179</v>
      </c>
      <c r="E3325" s="14" t="s">
        <v>2974</v>
      </c>
      <c r="F3325" s="11">
        <v>161</v>
      </c>
    </row>
    <row r="3326" spans="2:6" x14ac:dyDescent="0.3">
      <c r="B3326" s="12">
        <v>3323</v>
      </c>
      <c r="C3326" s="28">
        <v>165.97317371963203</v>
      </c>
      <c r="E3326" s="14" t="s">
        <v>4446</v>
      </c>
      <c r="F3326" s="11">
        <v>154</v>
      </c>
    </row>
    <row r="3327" spans="2:6" x14ac:dyDescent="0.3">
      <c r="B3327" s="12">
        <v>3324</v>
      </c>
      <c r="C3327" s="28">
        <v>168.36355297399504</v>
      </c>
      <c r="E3327" s="14" t="s">
        <v>1648</v>
      </c>
      <c r="F3327" s="11">
        <v>171</v>
      </c>
    </row>
    <row r="3328" spans="2:6" x14ac:dyDescent="0.3">
      <c r="B3328" s="12">
        <v>3325</v>
      </c>
      <c r="C3328" s="28">
        <v>162.91720774977406</v>
      </c>
      <c r="E3328" s="14" t="s">
        <v>621</v>
      </c>
      <c r="F3328" s="11">
        <v>176</v>
      </c>
    </row>
    <row r="3329" spans="2:6" x14ac:dyDescent="0.3">
      <c r="B3329" s="12">
        <v>3326</v>
      </c>
      <c r="C3329" s="28">
        <v>164.82039357195467</v>
      </c>
      <c r="E3329" s="14" t="s">
        <v>3649</v>
      </c>
      <c r="F3329" s="11">
        <v>180</v>
      </c>
    </row>
    <row r="3330" spans="2:6" x14ac:dyDescent="0.3">
      <c r="B3330" s="12">
        <v>3327</v>
      </c>
      <c r="C3330" s="28">
        <v>164.33944731873476</v>
      </c>
      <c r="E3330" s="14" t="s">
        <v>2875</v>
      </c>
      <c r="F3330" s="11">
        <v>168</v>
      </c>
    </row>
    <row r="3331" spans="2:6" x14ac:dyDescent="0.3">
      <c r="B3331" s="12">
        <v>3328</v>
      </c>
      <c r="C3331" s="28">
        <v>152.16846569827629</v>
      </c>
      <c r="E3331" s="14" t="s">
        <v>1052</v>
      </c>
      <c r="F3331" s="11">
        <v>162</v>
      </c>
    </row>
    <row r="3332" spans="2:6" x14ac:dyDescent="0.3">
      <c r="B3332" s="12">
        <v>3329</v>
      </c>
      <c r="C3332" s="28">
        <v>158.5812307548079</v>
      </c>
      <c r="E3332" s="14" t="s">
        <v>190</v>
      </c>
      <c r="F3332" s="11">
        <v>165</v>
      </c>
    </row>
    <row r="3333" spans="2:6" x14ac:dyDescent="0.3">
      <c r="B3333" s="12">
        <v>3330</v>
      </c>
      <c r="C3333" s="28">
        <v>164.52277385421024</v>
      </c>
      <c r="E3333" s="14" t="s">
        <v>2876</v>
      </c>
      <c r="F3333" s="11">
        <v>164</v>
      </c>
    </row>
    <row r="3334" spans="2:6" x14ac:dyDescent="0.3">
      <c r="B3334" s="12">
        <v>3331</v>
      </c>
      <c r="C3334" s="28">
        <v>159.7816080994632</v>
      </c>
      <c r="E3334" s="14" t="s">
        <v>2877</v>
      </c>
      <c r="F3334" s="11">
        <v>163</v>
      </c>
    </row>
    <row r="3335" spans="2:6" x14ac:dyDescent="0.3">
      <c r="B3335" s="12">
        <v>3332</v>
      </c>
      <c r="C3335" s="28">
        <v>158.15015369212858</v>
      </c>
      <c r="E3335" s="14" t="s">
        <v>4911</v>
      </c>
      <c r="F3335" s="11">
        <v>173</v>
      </c>
    </row>
    <row r="3336" spans="2:6" x14ac:dyDescent="0.3">
      <c r="B3336" s="12">
        <v>3333</v>
      </c>
      <c r="C3336" s="28">
        <v>167.73827209641962</v>
      </c>
      <c r="E3336" s="14" t="s">
        <v>2968</v>
      </c>
      <c r="F3336" s="11">
        <v>177</v>
      </c>
    </row>
    <row r="3337" spans="2:6" x14ac:dyDescent="0.3">
      <c r="B3337" s="12">
        <v>3334</v>
      </c>
      <c r="C3337" s="28">
        <v>175.79645353120685</v>
      </c>
      <c r="E3337" s="14" t="s">
        <v>3895</v>
      </c>
      <c r="F3337" s="11">
        <v>178</v>
      </c>
    </row>
    <row r="3338" spans="2:6" x14ac:dyDescent="0.3">
      <c r="B3338" s="12">
        <v>3335</v>
      </c>
      <c r="C3338" s="28">
        <v>155.75169825532186</v>
      </c>
      <c r="E3338" s="14" t="s">
        <v>1465</v>
      </c>
      <c r="F3338" s="11">
        <v>183</v>
      </c>
    </row>
    <row r="3339" spans="2:6" x14ac:dyDescent="0.3">
      <c r="B3339" s="12">
        <v>3336</v>
      </c>
      <c r="C3339" s="28">
        <v>152.60575743237993</v>
      </c>
      <c r="E3339" s="14" t="s">
        <v>1587</v>
      </c>
      <c r="F3339" s="11">
        <v>170</v>
      </c>
    </row>
    <row r="3340" spans="2:6" x14ac:dyDescent="0.3">
      <c r="B3340" s="12">
        <v>3337</v>
      </c>
      <c r="C3340" s="28">
        <v>175.22337180890801</v>
      </c>
      <c r="E3340" s="14" t="s">
        <v>1767</v>
      </c>
      <c r="F3340" s="11">
        <v>166</v>
      </c>
    </row>
    <row r="3341" spans="2:6" x14ac:dyDescent="0.3">
      <c r="B3341" s="12">
        <v>3338</v>
      </c>
      <c r="C3341" s="28">
        <v>156.95334960606945</v>
      </c>
      <c r="E3341" s="14" t="s">
        <v>2744</v>
      </c>
      <c r="F3341" s="11">
        <v>178</v>
      </c>
    </row>
    <row r="3342" spans="2:6" x14ac:dyDescent="0.3">
      <c r="B3342" s="12">
        <v>3339</v>
      </c>
      <c r="C3342" s="28">
        <v>159.7853800321657</v>
      </c>
      <c r="E3342" s="14" t="s">
        <v>3601</v>
      </c>
      <c r="F3342" s="11">
        <v>175</v>
      </c>
    </row>
    <row r="3343" spans="2:6" x14ac:dyDescent="0.3">
      <c r="B3343" s="12">
        <v>3340</v>
      </c>
      <c r="C3343" s="28">
        <v>164.08458963096578</v>
      </c>
      <c r="E3343" s="14" t="s">
        <v>3920</v>
      </c>
      <c r="F3343" s="11">
        <v>152</v>
      </c>
    </row>
    <row r="3344" spans="2:6" x14ac:dyDescent="0.3">
      <c r="B3344" s="12">
        <v>3341</v>
      </c>
      <c r="C3344" s="28">
        <v>153.7168364446668</v>
      </c>
      <c r="E3344" s="14" t="s">
        <v>78</v>
      </c>
      <c r="F3344" s="11">
        <v>183</v>
      </c>
    </row>
    <row r="3345" spans="2:6" x14ac:dyDescent="0.3">
      <c r="B3345" s="12">
        <v>3342</v>
      </c>
      <c r="C3345" s="28">
        <v>169.98693916267462</v>
      </c>
      <c r="E3345" s="14" t="s">
        <v>945</v>
      </c>
      <c r="F3345" s="11">
        <v>174</v>
      </c>
    </row>
    <row r="3346" spans="2:6" x14ac:dyDescent="0.3">
      <c r="B3346" s="12">
        <v>3343</v>
      </c>
      <c r="C3346" s="28">
        <v>160.19169098613526</v>
      </c>
      <c r="E3346" s="14" t="s">
        <v>3396</v>
      </c>
      <c r="F3346" s="11">
        <v>171</v>
      </c>
    </row>
    <row r="3347" spans="2:6" x14ac:dyDescent="0.3">
      <c r="B3347" s="12">
        <v>3344</v>
      </c>
      <c r="C3347" s="28">
        <v>166.45257599686036</v>
      </c>
      <c r="E3347" s="14" t="s">
        <v>2294</v>
      </c>
      <c r="F3347" s="11">
        <v>180</v>
      </c>
    </row>
    <row r="3348" spans="2:6" x14ac:dyDescent="0.3">
      <c r="B3348" s="12">
        <v>3345</v>
      </c>
      <c r="C3348" s="28">
        <v>165.14535730169365</v>
      </c>
      <c r="E3348" s="14" t="s">
        <v>3053</v>
      </c>
      <c r="F3348" s="11">
        <v>168</v>
      </c>
    </row>
    <row r="3349" spans="2:6" x14ac:dyDescent="0.3">
      <c r="B3349" s="12">
        <v>3346</v>
      </c>
      <c r="C3349" s="28">
        <v>153.29010967949489</v>
      </c>
      <c r="E3349" s="14" t="s">
        <v>3508</v>
      </c>
      <c r="F3349" s="11">
        <v>170</v>
      </c>
    </row>
    <row r="3350" spans="2:6" x14ac:dyDescent="0.3">
      <c r="B3350" s="12">
        <v>3347</v>
      </c>
      <c r="C3350" s="28">
        <v>168.07353194957241</v>
      </c>
      <c r="E3350" s="14" t="s">
        <v>3680</v>
      </c>
      <c r="F3350" s="11">
        <v>173</v>
      </c>
    </row>
    <row r="3351" spans="2:6" x14ac:dyDescent="0.3">
      <c r="B3351" s="12">
        <v>3348</v>
      </c>
      <c r="C3351" s="28">
        <v>172.95095680060086</v>
      </c>
      <c r="E3351" s="14" t="s">
        <v>564</v>
      </c>
      <c r="F3351" s="11">
        <v>173</v>
      </c>
    </row>
    <row r="3352" spans="2:6" x14ac:dyDescent="0.3">
      <c r="B3352" s="12">
        <v>3349</v>
      </c>
      <c r="C3352" s="28">
        <v>162.02782838750409</v>
      </c>
      <c r="E3352" s="14" t="s">
        <v>795</v>
      </c>
      <c r="F3352" s="11">
        <v>182</v>
      </c>
    </row>
    <row r="3353" spans="2:6" x14ac:dyDescent="0.3">
      <c r="B3353" s="12">
        <v>3350</v>
      </c>
      <c r="C3353" s="28">
        <v>157.21254598819533</v>
      </c>
      <c r="E3353" s="14" t="s">
        <v>2787</v>
      </c>
      <c r="F3353" s="11">
        <v>167</v>
      </c>
    </row>
    <row r="3354" spans="2:6" x14ac:dyDescent="0.3">
      <c r="B3354" s="12">
        <v>3351</v>
      </c>
      <c r="C3354" s="28">
        <v>166.91908842181894</v>
      </c>
      <c r="E3354" s="14" t="s">
        <v>1972</v>
      </c>
      <c r="F3354" s="11">
        <v>158</v>
      </c>
    </row>
    <row r="3355" spans="2:6" x14ac:dyDescent="0.3">
      <c r="B3355" s="12">
        <v>3352</v>
      </c>
      <c r="C3355" s="28">
        <v>164.95021843058228</v>
      </c>
      <c r="E3355" s="14" t="s">
        <v>2588</v>
      </c>
      <c r="F3355" s="11">
        <v>162</v>
      </c>
    </row>
    <row r="3356" spans="2:6" x14ac:dyDescent="0.3">
      <c r="B3356" s="12">
        <v>3353</v>
      </c>
      <c r="C3356" s="28">
        <v>158.91343969083269</v>
      </c>
      <c r="E3356" s="14" t="s">
        <v>1081</v>
      </c>
      <c r="F3356" s="11">
        <v>160</v>
      </c>
    </row>
    <row r="3357" spans="2:6" x14ac:dyDescent="0.3">
      <c r="B3357" s="12">
        <v>3354</v>
      </c>
      <c r="C3357" s="28">
        <v>162.74352024030324</v>
      </c>
      <c r="E3357" s="14" t="s">
        <v>844</v>
      </c>
      <c r="F3357" s="11">
        <v>168</v>
      </c>
    </row>
    <row r="3358" spans="2:6" x14ac:dyDescent="0.3">
      <c r="B3358" s="12">
        <v>3355</v>
      </c>
      <c r="C3358" s="28">
        <v>164.19649026856916</v>
      </c>
      <c r="E3358" s="14" t="s">
        <v>4163</v>
      </c>
      <c r="F3358" s="11">
        <v>167</v>
      </c>
    </row>
    <row r="3359" spans="2:6" x14ac:dyDescent="0.3">
      <c r="B3359" s="12">
        <v>3356</v>
      </c>
      <c r="C3359" s="28">
        <v>158.20052411135148</v>
      </c>
      <c r="E3359" s="14" t="s">
        <v>2653</v>
      </c>
      <c r="F3359" s="11">
        <v>164</v>
      </c>
    </row>
    <row r="3360" spans="2:6" x14ac:dyDescent="0.3">
      <c r="B3360" s="12">
        <v>3357</v>
      </c>
      <c r="C3360" s="28">
        <v>172.89850653390724</v>
      </c>
      <c r="E3360" s="14" t="s">
        <v>2274</v>
      </c>
      <c r="F3360" s="11">
        <v>180</v>
      </c>
    </row>
    <row r="3361" spans="2:6" x14ac:dyDescent="0.3">
      <c r="B3361" s="12">
        <v>3358</v>
      </c>
      <c r="C3361" s="28">
        <v>152.40166916873682</v>
      </c>
      <c r="E3361" s="14" t="s">
        <v>862</v>
      </c>
      <c r="F3361" s="11">
        <v>160</v>
      </c>
    </row>
    <row r="3362" spans="2:6" x14ac:dyDescent="0.3">
      <c r="B3362" s="12">
        <v>3359</v>
      </c>
      <c r="C3362" s="28">
        <v>156.69652233269076</v>
      </c>
      <c r="E3362" s="14" t="s">
        <v>2834</v>
      </c>
      <c r="F3362" s="11">
        <v>177</v>
      </c>
    </row>
    <row r="3363" spans="2:6" x14ac:dyDescent="0.3">
      <c r="B3363" s="12">
        <v>3360</v>
      </c>
      <c r="C3363" s="28">
        <v>177.30423508547389</v>
      </c>
      <c r="E3363" s="14" t="s">
        <v>537</v>
      </c>
      <c r="F3363" s="11">
        <v>170</v>
      </c>
    </row>
    <row r="3364" spans="2:6" x14ac:dyDescent="0.3">
      <c r="B3364" s="12">
        <v>3361</v>
      </c>
      <c r="C3364" s="28">
        <v>161.48587941321142</v>
      </c>
      <c r="E3364" s="14" t="s">
        <v>1432</v>
      </c>
      <c r="F3364" s="11">
        <v>159</v>
      </c>
    </row>
    <row r="3365" spans="2:6" x14ac:dyDescent="0.3">
      <c r="B3365" s="12">
        <v>3362</v>
      </c>
      <c r="C3365" s="28">
        <v>161.29880625443954</v>
      </c>
      <c r="E3365" s="14" t="s">
        <v>2087</v>
      </c>
      <c r="F3365" s="11">
        <v>153</v>
      </c>
    </row>
    <row r="3366" spans="2:6" x14ac:dyDescent="0.3">
      <c r="B3366" s="12">
        <v>3363</v>
      </c>
      <c r="C3366" s="28">
        <v>158.74960125387599</v>
      </c>
      <c r="E3366" s="14" t="s">
        <v>75</v>
      </c>
      <c r="F3366" s="11">
        <v>163</v>
      </c>
    </row>
    <row r="3367" spans="2:6" x14ac:dyDescent="0.3">
      <c r="B3367" s="12">
        <v>3364</v>
      </c>
      <c r="C3367" s="28">
        <v>150.89718700549409</v>
      </c>
      <c r="E3367" s="14" t="s">
        <v>1993</v>
      </c>
      <c r="F3367" s="11">
        <v>157</v>
      </c>
    </row>
    <row r="3368" spans="2:6" x14ac:dyDescent="0.3">
      <c r="B3368" s="12">
        <v>3365</v>
      </c>
      <c r="C3368" s="28">
        <v>153.86129987103018</v>
      </c>
      <c r="E3368" s="14" t="s">
        <v>930</v>
      </c>
      <c r="F3368" s="11">
        <v>149</v>
      </c>
    </row>
    <row r="3369" spans="2:6" x14ac:dyDescent="0.3">
      <c r="B3369" s="12">
        <v>3366</v>
      </c>
      <c r="C3369" s="28">
        <v>170.316947797334</v>
      </c>
      <c r="E3369" s="14" t="s">
        <v>894</v>
      </c>
      <c r="F3369" s="11">
        <v>166</v>
      </c>
    </row>
    <row r="3370" spans="2:6" x14ac:dyDescent="0.3">
      <c r="B3370" s="12">
        <v>3367</v>
      </c>
      <c r="C3370" s="28">
        <v>163.24280382812876</v>
      </c>
      <c r="E3370" s="14" t="s">
        <v>1339</v>
      </c>
      <c r="F3370" s="11">
        <v>161</v>
      </c>
    </row>
    <row r="3371" spans="2:6" x14ac:dyDescent="0.3">
      <c r="B3371" s="12">
        <v>3368</v>
      </c>
      <c r="C3371" s="28">
        <v>167.98577174578051</v>
      </c>
      <c r="E3371" s="14" t="s">
        <v>1168</v>
      </c>
      <c r="F3371" s="11">
        <v>175</v>
      </c>
    </row>
    <row r="3372" spans="2:6" x14ac:dyDescent="0.3">
      <c r="B3372" s="12">
        <v>3369</v>
      </c>
      <c r="C3372" s="28">
        <v>163.35046225498826</v>
      </c>
      <c r="E3372" s="14" t="s">
        <v>1154</v>
      </c>
      <c r="F3372" s="11">
        <v>168</v>
      </c>
    </row>
    <row r="3373" spans="2:6" x14ac:dyDescent="0.3">
      <c r="B3373" s="12">
        <v>3370</v>
      </c>
      <c r="C3373" s="28">
        <v>159.60013251495053</v>
      </c>
      <c r="E3373" s="14" t="s">
        <v>1954</v>
      </c>
      <c r="F3373" s="11">
        <v>168</v>
      </c>
    </row>
    <row r="3374" spans="2:6" x14ac:dyDescent="0.3">
      <c r="B3374" s="12">
        <v>3371</v>
      </c>
      <c r="C3374" s="28">
        <v>154.2245440471022</v>
      </c>
      <c r="E3374" s="14" t="s">
        <v>830</v>
      </c>
      <c r="F3374" s="11">
        <v>160</v>
      </c>
    </row>
    <row r="3375" spans="2:6" x14ac:dyDescent="0.3">
      <c r="B3375" s="12">
        <v>3372</v>
      </c>
      <c r="C3375" s="28">
        <v>165.83471813163496</v>
      </c>
      <c r="E3375" s="14" t="s">
        <v>62</v>
      </c>
      <c r="F3375" s="11">
        <v>165</v>
      </c>
    </row>
    <row r="3376" spans="2:6" x14ac:dyDescent="0.3">
      <c r="B3376" s="12">
        <v>3373</v>
      </c>
      <c r="C3376" s="28">
        <v>157.00498194807</v>
      </c>
      <c r="E3376" s="14" t="s">
        <v>2958</v>
      </c>
      <c r="F3376" s="11">
        <v>168</v>
      </c>
    </row>
    <row r="3377" spans="2:6" x14ac:dyDescent="0.3">
      <c r="B3377" s="12">
        <v>3374</v>
      </c>
      <c r="C3377" s="28">
        <v>154.89169856254134</v>
      </c>
      <c r="E3377" s="14" t="s">
        <v>3860</v>
      </c>
      <c r="F3377" s="11">
        <v>183</v>
      </c>
    </row>
    <row r="3378" spans="2:6" x14ac:dyDescent="0.3">
      <c r="B3378" s="12">
        <v>3375</v>
      </c>
      <c r="C3378" s="28">
        <v>166.10202370297043</v>
      </c>
      <c r="E3378" s="14" t="s">
        <v>2961</v>
      </c>
      <c r="F3378" s="11">
        <v>163</v>
      </c>
    </row>
    <row r="3379" spans="2:6" x14ac:dyDescent="0.3">
      <c r="B3379" s="12">
        <v>3376</v>
      </c>
      <c r="C3379" s="28">
        <v>165.78171408901255</v>
      </c>
      <c r="E3379" s="14" t="s">
        <v>904</v>
      </c>
      <c r="F3379" s="11">
        <v>165</v>
      </c>
    </row>
    <row r="3380" spans="2:6" x14ac:dyDescent="0.3">
      <c r="B3380" s="12">
        <v>3377</v>
      </c>
      <c r="C3380" s="28">
        <v>165.42194052913646</v>
      </c>
      <c r="E3380" s="14" t="s">
        <v>1561</v>
      </c>
      <c r="F3380" s="11">
        <v>168</v>
      </c>
    </row>
    <row r="3381" spans="2:6" x14ac:dyDescent="0.3">
      <c r="B3381" s="12">
        <v>3378</v>
      </c>
      <c r="C3381" s="28">
        <v>161.28910424486872</v>
      </c>
      <c r="E3381" s="14" t="s">
        <v>2739</v>
      </c>
      <c r="F3381" s="11">
        <v>180</v>
      </c>
    </row>
    <row r="3382" spans="2:6" x14ac:dyDescent="0.3">
      <c r="B3382" s="12">
        <v>3379</v>
      </c>
      <c r="C3382" s="28">
        <v>160.04216217461942</v>
      </c>
      <c r="E3382" s="14" t="s">
        <v>84</v>
      </c>
      <c r="F3382" s="11">
        <v>162</v>
      </c>
    </row>
    <row r="3383" spans="2:6" x14ac:dyDescent="0.3">
      <c r="B3383" s="12">
        <v>3380</v>
      </c>
      <c r="C3383" s="28">
        <v>157.09743540712589</v>
      </c>
      <c r="E3383" s="14" t="s">
        <v>188</v>
      </c>
      <c r="F3383" s="11">
        <v>163</v>
      </c>
    </row>
    <row r="3384" spans="2:6" x14ac:dyDescent="0.3">
      <c r="B3384" s="12">
        <v>3381</v>
      </c>
      <c r="C3384" s="28">
        <v>155.14999938400953</v>
      </c>
      <c r="E3384" s="14" t="s">
        <v>3739</v>
      </c>
      <c r="F3384" s="11">
        <v>168</v>
      </c>
    </row>
    <row r="3385" spans="2:6" x14ac:dyDescent="0.3">
      <c r="B3385" s="12">
        <v>3382</v>
      </c>
      <c r="C3385" s="28">
        <v>168.68941608383113</v>
      </c>
      <c r="E3385" s="14" t="s">
        <v>1136</v>
      </c>
      <c r="F3385" s="11">
        <v>162</v>
      </c>
    </row>
    <row r="3386" spans="2:6" x14ac:dyDescent="0.3">
      <c r="B3386" s="12">
        <v>3383</v>
      </c>
      <c r="C3386" s="28">
        <v>177.11235390783139</v>
      </c>
      <c r="E3386" s="14" t="s">
        <v>2175</v>
      </c>
      <c r="F3386" s="11">
        <v>172</v>
      </c>
    </row>
    <row r="3387" spans="2:6" x14ac:dyDescent="0.3">
      <c r="B3387" s="12">
        <v>3384</v>
      </c>
      <c r="C3387" s="28">
        <v>171.27481271083045</v>
      </c>
      <c r="E3387" s="14" t="s">
        <v>3452</v>
      </c>
      <c r="F3387" s="11">
        <v>172</v>
      </c>
    </row>
    <row r="3388" spans="2:6" x14ac:dyDescent="0.3">
      <c r="B3388" s="12">
        <v>3385</v>
      </c>
      <c r="C3388" s="28">
        <v>163.71082289101636</v>
      </c>
      <c r="E3388" s="14" t="s">
        <v>1431</v>
      </c>
      <c r="F3388" s="11">
        <v>175</v>
      </c>
    </row>
    <row r="3389" spans="2:6" x14ac:dyDescent="0.3">
      <c r="B3389" s="12">
        <v>3386</v>
      </c>
      <c r="C3389" s="28">
        <v>163.9290468208049</v>
      </c>
      <c r="E3389" s="14" t="s">
        <v>347</v>
      </c>
      <c r="F3389" s="11">
        <v>170</v>
      </c>
    </row>
    <row r="3390" spans="2:6" x14ac:dyDescent="0.3">
      <c r="B3390" s="12">
        <v>3387</v>
      </c>
      <c r="C3390" s="28">
        <v>153.54784168694752</v>
      </c>
      <c r="E3390" s="14" t="s">
        <v>698</v>
      </c>
      <c r="F3390" s="11">
        <v>182</v>
      </c>
    </row>
    <row r="3391" spans="2:6" x14ac:dyDescent="0.3">
      <c r="B3391" s="12">
        <v>3388</v>
      </c>
      <c r="C3391" s="28">
        <v>164.67059430130638</v>
      </c>
      <c r="E3391" s="14" t="s">
        <v>3013</v>
      </c>
      <c r="F3391" s="11">
        <v>170</v>
      </c>
    </row>
    <row r="3392" spans="2:6" x14ac:dyDescent="0.3">
      <c r="B3392" s="12">
        <v>3389</v>
      </c>
      <c r="C3392" s="28">
        <v>162.94987030176</v>
      </c>
      <c r="E3392" s="14" t="s">
        <v>1456</v>
      </c>
      <c r="F3392" s="11">
        <v>168</v>
      </c>
    </row>
    <row r="3393" spans="2:6" x14ac:dyDescent="0.3">
      <c r="B3393" s="12">
        <v>3390</v>
      </c>
      <c r="C3393" s="28">
        <v>176.81170707131218</v>
      </c>
      <c r="E3393" s="14" t="s">
        <v>1683</v>
      </c>
      <c r="F3393" s="11">
        <v>159</v>
      </c>
    </row>
    <row r="3394" spans="2:6" x14ac:dyDescent="0.3">
      <c r="B3394" s="12">
        <v>3391</v>
      </c>
      <c r="C3394" s="28">
        <v>154.2831452488559</v>
      </c>
      <c r="E3394" s="14" t="s">
        <v>547</v>
      </c>
      <c r="F3394" s="11">
        <v>171</v>
      </c>
    </row>
    <row r="3395" spans="2:6" x14ac:dyDescent="0.3">
      <c r="B3395" s="12">
        <v>3392</v>
      </c>
      <c r="C3395" s="28">
        <v>166.43158775965682</v>
      </c>
      <c r="E3395" s="14" t="s">
        <v>2933</v>
      </c>
      <c r="F3395" s="11">
        <v>193</v>
      </c>
    </row>
    <row r="3396" spans="2:6" x14ac:dyDescent="0.3">
      <c r="B3396" s="12">
        <v>3393</v>
      </c>
      <c r="C3396" s="28">
        <v>167.94785581003211</v>
      </c>
      <c r="E3396" s="14" t="s">
        <v>4596</v>
      </c>
      <c r="F3396" s="11">
        <v>175</v>
      </c>
    </row>
    <row r="3397" spans="2:6" x14ac:dyDescent="0.3">
      <c r="B3397" s="12">
        <v>3394</v>
      </c>
      <c r="C3397" s="28">
        <v>155.15419071735838</v>
      </c>
      <c r="E3397" s="14" t="s">
        <v>4960</v>
      </c>
      <c r="F3397" s="11">
        <v>172</v>
      </c>
    </row>
    <row r="3398" spans="2:6" x14ac:dyDescent="0.3">
      <c r="B3398" s="12">
        <v>3395</v>
      </c>
      <c r="C3398" s="28">
        <v>161.7780777871285</v>
      </c>
      <c r="E3398" s="14" t="s">
        <v>1100</v>
      </c>
      <c r="F3398" s="11">
        <v>174</v>
      </c>
    </row>
    <row r="3399" spans="2:6" x14ac:dyDescent="0.3">
      <c r="B3399" s="12">
        <v>3396</v>
      </c>
      <c r="C3399" s="28">
        <v>162.5180746787035</v>
      </c>
      <c r="E3399" s="14" t="s">
        <v>3498</v>
      </c>
      <c r="F3399" s="11">
        <v>163</v>
      </c>
    </row>
    <row r="3400" spans="2:6" x14ac:dyDescent="0.3">
      <c r="B3400" s="12">
        <v>3397</v>
      </c>
      <c r="C3400" s="28">
        <v>169.51843789755384</v>
      </c>
      <c r="E3400" s="14" t="s">
        <v>2044</v>
      </c>
      <c r="F3400" s="11">
        <v>172</v>
      </c>
    </row>
    <row r="3401" spans="2:6" x14ac:dyDescent="0.3">
      <c r="B3401" s="12">
        <v>3398</v>
      </c>
      <c r="C3401" s="28">
        <v>162.86488687281636</v>
      </c>
      <c r="E3401" s="14" t="s">
        <v>1725</v>
      </c>
      <c r="F3401" s="11">
        <v>166</v>
      </c>
    </row>
    <row r="3402" spans="2:6" x14ac:dyDescent="0.3">
      <c r="B3402" s="12">
        <v>3399</v>
      </c>
      <c r="C3402" s="28">
        <v>164.51794400520501</v>
      </c>
      <c r="E3402" s="14" t="s">
        <v>3488</v>
      </c>
      <c r="F3402" s="11">
        <v>161</v>
      </c>
    </row>
    <row r="3403" spans="2:6" x14ac:dyDescent="0.3">
      <c r="B3403" s="12">
        <v>3400</v>
      </c>
      <c r="C3403" s="28">
        <v>159.52233315927293</v>
      </c>
      <c r="E3403" s="14" t="s">
        <v>4311</v>
      </c>
      <c r="F3403" s="11">
        <v>184</v>
      </c>
    </row>
    <row r="3404" spans="2:6" x14ac:dyDescent="0.3">
      <c r="B3404" s="12">
        <v>3401</v>
      </c>
      <c r="C3404" s="28">
        <v>163.84719822647673</v>
      </c>
      <c r="E3404" s="14" t="s">
        <v>1627</v>
      </c>
      <c r="F3404" s="11">
        <v>165</v>
      </c>
    </row>
    <row r="3405" spans="2:6" x14ac:dyDescent="0.3">
      <c r="B3405" s="12">
        <v>3402</v>
      </c>
      <c r="C3405" s="28">
        <v>162.93547317752129</v>
      </c>
      <c r="E3405" s="14" t="s">
        <v>2847</v>
      </c>
      <c r="F3405" s="11">
        <v>165</v>
      </c>
    </row>
    <row r="3406" spans="2:6" x14ac:dyDescent="0.3">
      <c r="B3406" s="12">
        <v>3403</v>
      </c>
      <c r="C3406" s="28">
        <v>153.21403043920637</v>
      </c>
      <c r="E3406" s="14" t="s">
        <v>1127</v>
      </c>
      <c r="F3406" s="11">
        <v>173</v>
      </c>
    </row>
    <row r="3407" spans="2:6" x14ac:dyDescent="0.3">
      <c r="B3407" s="12">
        <v>3404</v>
      </c>
      <c r="C3407" s="28">
        <v>157.95670886167713</v>
      </c>
      <c r="E3407" s="14" t="s">
        <v>283</v>
      </c>
      <c r="F3407" s="11">
        <v>170</v>
      </c>
    </row>
    <row r="3408" spans="2:6" x14ac:dyDescent="0.3">
      <c r="B3408" s="12">
        <v>3405</v>
      </c>
      <c r="C3408" s="28">
        <v>169.96482549450278</v>
      </c>
      <c r="E3408" s="14" t="s">
        <v>2026</v>
      </c>
      <c r="F3408" s="11">
        <v>159</v>
      </c>
    </row>
    <row r="3409" spans="2:6" x14ac:dyDescent="0.3">
      <c r="B3409" s="12">
        <v>3406</v>
      </c>
      <c r="C3409" s="28">
        <v>162.42406597558917</v>
      </c>
      <c r="E3409" s="14" t="s">
        <v>2982</v>
      </c>
      <c r="F3409" s="11">
        <v>155</v>
      </c>
    </row>
    <row r="3410" spans="2:6" x14ac:dyDescent="0.3">
      <c r="B3410" s="12">
        <v>3407</v>
      </c>
      <c r="C3410" s="28">
        <v>164.56799983567228</v>
      </c>
      <c r="E3410" s="14" t="s">
        <v>2983</v>
      </c>
      <c r="F3410" s="11">
        <v>171</v>
      </c>
    </row>
    <row r="3411" spans="2:6" x14ac:dyDescent="0.3">
      <c r="B3411" s="12">
        <v>3408</v>
      </c>
      <c r="C3411" s="28">
        <v>165.13382861518821</v>
      </c>
      <c r="E3411" s="14" t="s">
        <v>2984</v>
      </c>
      <c r="F3411" s="11">
        <v>175</v>
      </c>
    </row>
    <row r="3412" spans="2:6" x14ac:dyDescent="0.3">
      <c r="B3412" s="12">
        <v>3409</v>
      </c>
      <c r="C3412" s="28">
        <v>164.63014948809968</v>
      </c>
      <c r="E3412" s="14" t="s">
        <v>2985</v>
      </c>
      <c r="F3412" s="11">
        <v>169</v>
      </c>
    </row>
    <row r="3413" spans="2:6" x14ac:dyDescent="0.3">
      <c r="B3413" s="12">
        <v>3410</v>
      </c>
      <c r="C3413" s="28">
        <v>164.81057003761575</v>
      </c>
      <c r="E3413" s="14" t="s">
        <v>2684</v>
      </c>
      <c r="F3413" s="11">
        <v>158</v>
      </c>
    </row>
    <row r="3414" spans="2:6" x14ac:dyDescent="0.3">
      <c r="B3414" s="12">
        <v>3411</v>
      </c>
      <c r="C3414" s="28">
        <v>160.35226628764721</v>
      </c>
      <c r="E3414" s="14" t="s">
        <v>4377</v>
      </c>
      <c r="F3414" s="11">
        <v>163</v>
      </c>
    </row>
    <row r="3415" spans="2:6" x14ac:dyDescent="0.3">
      <c r="B3415" s="12">
        <v>3412</v>
      </c>
      <c r="C3415" s="28">
        <v>165.94331511753481</v>
      </c>
      <c r="E3415" s="14" t="s">
        <v>2553</v>
      </c>
      <c r="F3415" s="11">
        <v>171</v>
      </c>
    </row>
    <row r="3416" spans="2:6" x14ac:dyDescent="0.3">
      <c r="B3416" s="12">
        <v>3413</v>
      </c>
      <c r="C3416" s="28">
        <v>158.17964449557232</v>
      </c>
      <c r="E3416" s="14" t="s">
        <v>4477</v>
      </c>
      <c r="F3416" s="11">
        <v>170</v>
      </c>
    </row>
    <row r="3417" spans="2:6" x14ac:dyDescent="0.3">
      <c r="B3417" s="12">
        <v>3414</v>
      </c>
      <c r="C3417" s="28">
        <v>155.32765038345408</v>
      </c>
      <c r="E3417" s="14" t="s">
        <v>2146</v>
      </c>
      <c r="F3417" s="11">
        <v>159</v>
      </c>
    </row>
    <row r="3418" spans="2:6" x14ac:dyDescent="0.3">
      <c r="B3418" s="12">
        <v>3415</v>
      </c>
      <c r="C3418" s="28">
        <v>160.87855835518388</v>
      </c>
      <c r="E3418" s="14" t="s">
        <v>1680</v>
      </c>
      <c r="F3418" s="11">
        <v>163</v>
      </c>
    </row>
    <row r="3419" spans="2:6" x14ac:dyDescent="0.3">
      <c r="B3419" s="12">
        <v>3416</v>
      </c>
      <c r="C3419" s="28">
        <v>156.31803270614472</v>
      </c>
      <c r="E3419" s="14" t="s">
        <v>1819</v>
      </c>
      <c r="F3419" s="11">
        <v>157</v>
      </c>
    </row>
    <row r="3420" spans="2:6" x14ac:dyDescent="0.3">
      <c r="B3420" s="12">
        <v>3417</v>
      </c>
      <c r="C3420" s="28">
        <v>164.17923211624355</v>
      </c>
      <c r="E3420" s="14" t="s">
        <v>1283</v>
      </c>
      <c r="F3420" s="11">
        <v>169</v>
      </c>
    </row>
    <row r="3421" spans="2:6" x14ac:dyDescent="0.3">
      <c r="B3421" s="12">
        <v>3418</v>
      </c>
      <c r="C3421" s="28">
        <v>170.99489422448158</v>
      </c>
      <c r="E3421" s="14" t="s">
        <v>1273</v>
      </c>
      <c r="F3421" s="11">
        <v>175</v>
      </c>
    </row>
    <row r="3422" spans="2:6" x14ac:dyDescent="0.3">
      <c r="B3422" s="12">
        <v>3419</v>
      </c>
      <c r="C3422" s="28">
        <v>166.77202211250562</v>
      </c>
      <c r="E3422" s="14" t="s">
        <v>4499</v>
      </c>
      <c r="F3422" s="11">
        <v>179</v>
      </c>
    </row>
    <row r="3423" spans="2:6" x14ac:dyDescent="0.3">
      <c r="B3423" s="12">
        <v>3420</v>
      </c>
      <c r="C3423" s="28">
        <v>168.70866283152401</v>
      </c>
      <c r="E3423" s="14" t="s">
        <v>3881</v>
      </c>
      <c r="F3423" s="11">
        <v>170</v>
      </c>
    </row>
    <row r="3424" spans="2:6" x14ac:dyDescent="0.3">
      <c r="B3424" s="12">
        <v>3421</v>
      </c>
      <c r="C3424" s="28">
        <v>160.64470829029744</v>
      </c>
      <c r="E3424" s="14" t="s">
        <v>2285</v>
      </c>
      <c r="F3424" s="11">
        <v>165</v>
      </c>
    </row>
    <row r="3425" spans="2:6" x14ac:dyDescent="0.3">
      <c r="B3425" s="12">
        <v>3422</v>
      </c>
      <c r="C3425" s="28">
        <v>162.74660393546984</v>
      </c>
      <c r="E3425" s="14" t="s">
        <v>131</v>
      </c>
      <c r="F3425" s="11">
        <v>169</v>
      </c>
    </row>
    <row r="3426" spans="2:6" x14ac:dyDescent="0.3">
      <c r="B3426" s="12">
        <v>3423</v>
      </c>
      <c r="C3426" s="28">
        <v>158.22632442939135</v>
      </c>
      <c r="E3426" s="14" t="s">
        <v>2526</v>
      </c>
      <c r="F3426" s="11">
        <v>160</v>
      </c>
    </row>
    <row r="3427" spans="2:6" x14ac:dyDescent="0.3">
      <c r="B3427" s="12">
        <v>3424</v>
      </c>
      <c r="C3427" s="28">
        <v>156.51748378123287</v>
      </c>
      <c r="E3427" s="14" t="s">
        <v>3338</v>
      </c>
      <c r="F3427" s="11">
        <v>168</v>
      </c>
    </row>
    <row r="3428" spans="2:6" x14ac:dyDescent="0.3">
      <c r="B3428" s="12">
        <v>3425</v>
      </c>
      <c r="C3428" s="28">
        <v>161.39102293021307</v>
      </c>
      <c r="E3428" s="14" t="s">
        <v>105</v>
      </c>
      <c r="F3428" s="11">
        <v>165</v>
      </c>
    </row>
    <row r="3429" spans="2:6" x14ac:dyDescent="0.3">
      <c r="B3429" s="12">
        <v>3426</v>
      </c>
      <c r="C3429" s="28">
        <v>159.04281433626451</v>
      </c>
      <c r="E3429" s="14" t="s">
        <v>219</v>
      </c>
      <c r="F3429" s="11">
        <v>178</v>
      </c>
    </row>
    <row r="3430" spans="2:6" x14ac:dyDescent="0.3">
      <c r="B3430" s="12">
        <v>3427</v>
      </c>
      <c r="C3430" s="28">
        <v>158.01584565874239</v>
      </c>
      <c r="E3430" s="14" t="s">
        <v>1380</v>
      </c>
      <c r="F3430" s="11">
        <v>170</v>
      </c>
    </row>
    <row r="3431" spans="2:6" x14ac:dyDescent="0.3">
      <c r="B3431" s="12">
        <v>3428</v>
      </c>
      <c r="C3431" s="28">
        <v>151.21545321087302</v>
      </c>
      <c r="E3431" s="14" t="s">
        <v>4487</v>
      </c>
      <c r="F3431" s="11">
        <v>170</v>
      </c>
    </row>
    <row r="3432" spans="2:6" x14ac:dyDescent="0.3">
      <c r="B3432" s="12">
        <v>3429</v>
      </c>
      <c r="C3432" s="28">
        <v>160.56412054439861</v>
      </c>
      <c r="E3432" s="14" t="s">
        <v>953</v>
      </c>
      <c r="F3432" s="11">
        <v>167</v>
      </c>
    </row>
    <row r="3433" spans="2:6" x14ac:dyDescent="0.3">
      <c r="B3433" s="12">
        <v>3430</v>
      </c>
      <c r="C3433" s="28">
        <v>163.38729143622507</v>
      </c>
      <c r="E3433" s="14" t="s">
        <v>3694</v>
      </c>
      <c r="F3433" s="11">
        <v>163</v>
      </c>
    </row>
    <row r="3434" spans="2:6" x14ac:dyDescent="0.3">
      <c r="B3434" s="12">
        <v>3431</v>
      </c>
      <c r="C3434" s="28">
        <v>174.44322014628204</v>
      </c>
      <c r="E3434" s="14" t="s">
        <v>1088</v>
      </c>
      <c r="F3434" s="11">
        <v>177</v>
      </c>
    </row>
    <row r="3435" spans="2:6" x14ac:dyDescent="0.3">
      <c r="B3435" s="12">
        <v>3432</v>
      </c>
      <c r="C3435" s="28">
        <v>164.05733209332271</v>
      </c>
      <c r="E3435" s="14" t="s">
        <v>1333</v>
      </c>
      <c r="F3435" s="11">
        <v>164</v>
      </c>
    </row>
    <row r="3436" spans="2:6" x14ac:dyDescent="0.3">
      <c r="B3436" s="12">
        <v>3433</v>
      </c>
      <c r="C3436" s="28">
        <v>161.48773540462616</v>
      </c>
      <c r="E3436" s="14" t="s">
        <v>2549</v>
      </c>
      <c r="F3436" s="11">
        <v>175</v>
      </c>
    </row>
    <row r="3437" spans="2:6" x14ac:dyDescent="0.3">
      <c r="B3437" s="12">
        <v>3434</v>
      </c>
      <c r="C3437" s="28">
        <v>154.68631034029806</v>
      </c>
      <c r="E3437" s="14" t="s">
        <v>3227</v>
      </c>
      <c r="F3437" s="11">
        <v>169</v>
      </c>
    </row>
    <row r="3438" spans="2:6" x14ac:dyDescent="0.3">
      <c r="B3438" s="12">
        <v>3435</v>
      </c>
      <c r="C3438" s="28">
        <v>162.55625074155566</v>
      </c>
      <c r="E3438" s="14" t="s">
        <v>3272</v>
      </c>
      <c r="F3438" s="11">
        <v>173</v>
      </c>
    </row>
    <row r="3439" spans="2:6" x14ac:dyDescent="0.3">
      <c r="B3439" s="12">
        <v>3436</v>
      </c>
      <c r="C3439" s="28">
        <v>166.89471238387313</v>
      </c>
      <c r="E3439" s="14" t="s">
        <v>3492</v>
      </c>
      <c r="F3439" s="11">
        <v>168</v>
      </c>
    </row>
    <row r="3440" spans="2:6" x14ac:dyDescent="0.3">
      <c r="B3440" s="12">
        <v>3437</v>
      </c>
      <c r="C3440" s="28">
        <v>162.66526242988164</v>
      </c>
      <c r="E3440" s="14" t="s">
        <v>3731</v>
      </c>
      <c r="F3440" s="11">
        <v>162</v>
      </c>
    </row>
    <row r="3441" spans="2:6" x14ac:dyDescent="0.3">
      <c r="B3441" s="12">
        <v>3438</v>
      </c>
      <c r="C3441" s="28">
        <v>149.24372226512969</v>
      </c>
      <c r="E3441" s="14" t="s">
        <v>3788</v>
      </c>
      <c r="F3441" s="11">
        <v>166</v>
      </c>
    </row>
    <row r="3442" spans="2:6" x14ac:dyDescent="0.3">
      <c r="B3442" s="12">
        <v>3439</v>
      </c>
      <c r="C3442" s="28">
        <v>152.13049031149038</v>
      </c>
      <c r="E3442" s="14" t="s">
        <v>597</v>
      </c>
      <c r="F3442" s="11">
        <v>194</v>
      </c>
    </row>
    <row r="3443" spans="2:6" x14ac:dyDescent="0.3">
      <c r="B3443" s="12">
        <v>3440</v>
      </c>
      <c r="C3443" s="28">
        <v>169.06188287019404</v>
      </c>
      <c r="E3443" s="14" t="s">
        <v>30</v>
      </c>
      <c r="F3443" s="11">
        <v>173</v>
      </c>
    </row>
    <row r="3444" spans="2:6" x14ac:dyDescent="0.3">
      <c r="B3444" s="12">
        <v>3441</v>
      </c>
      <c r="C3444" s="28">
        <v>156.62241251845779</v>
      </c>
      <c r="E3444" s="14" t="s">
        <v>25</v>
      </c>
      <c r="F3444" s="11">
        <v>190</v>
      </c>
    </row>
    <row r="3445" spans="2:6" x14ac:dyDescent="0.3">
      <c r="B3445" s="12">
        <v>3442</v>
      </c>
      <c r="C3445" s="28">
        <v>157.82056807950863</v>
      </c>
      <c r="E3445" s="14" t="s">
        <v>1662</v>
      </c>
      <c r="F3445" s="11">
        <v>170</v>
      </c>
    </row>
    <row r="3446" spans="2:6" x14ac:dyDescent="0.3">
      <c r="B3446" s="12">
        <v>3443</v>
      </c>
      <c r="C3446" s="28">
        <v>155.74844233246719</v>
      </c>
      <c r="E3446" s="14" t="s">
        <v>2672</v>
      </c>
      <c r="F3446" s="11">
        <v>178</v>
      </c>
    </row>
    <row r="3447" spans="2:6" x14ac:dyDescent="0.3">
      <c r="B3447" s="12">
        <v>3444</v>
      </c>
      <c r="C3447" s="28">
        <v>178.24692494172899</v>
      </c>
      <c r="E3447" s="14" t="s">
        <v>2721</v>
      </c>
      <c r="F3447" s="11">
        <v>160</v>
      </c>
    </row>
    <row r="3448" spans="2:6" x14ac:dyDescent="0.3">
      <c r="B3448" s="12">
        <v>3445</v>
      </c>
      <c r="C3448" s="28">
        <v>157.87955310646242</v>
      </c>
      <c r="E3448" s="14" t="s">
        <v>3476</v>
      </c>
      <c r="F3448" s="11">
        <v>175</v>
      </c>
    </row>
    <row r="3449" spans="2:6" x14ac:dyDescent="0.3">
      <c r="B3449" s="12">
        <v>3446</v>
      </c>
      <c r="C3449" s="28">
        <v>165.41853485065701</v>
      </c>
      <c r="E3449" s="14" t="s">
        <v>3696</v>
      </c>
      <c r="F3449" s="11">
        <v>181</v>
      </c>
    </row>
    <row r="3450" spans="2:6" x14ac:dyDescent="0.3">
      <c r="B3450" s="12">
        <v>3447</v>
      </c>
      <c r="C3450" s="28">
        <v>162.97101663279898</v>
      </c>
      <c r="E3450" s="14" t="s">
        <v>4633</v>
      </c>
      <c r="F3450" s="11">
        <v>176</v>
      </c>
    </row>
    <row r="3451" spans="2:6" x14ac:dyDescent="0.3">
      <c r="B3451" s="12">
        <v>3448</v>
      </c>
      <c r="C3451" s="28">
        <v>151.25110935357407</v>
      </c>
      <c r="E3451" s="14" t="s">
        <v>3348</v>
      </c>
      <c r="F3451" s="11">
        <v>164</v>
      </c>
    </row>
    <row r="3452" spans="2:6" x14ac:dyDescent="0.3">
      <c r="B3452" s="12">
        <v>3449</v>
      </c>
      <c r="C3452" s="28">
        <v>149.85056849281278</v>
      </c>
      <c r="E3452" s="14" t="s">
        <v>226</v>
      </c>
      <c r="F3452" s="11">
        <v>177</v>
      </c>
    </row>
    <row r="3453" spans="2:6" x14ac:dyDescent="0.3">
      <c r="B3453" s="12">
        <v>3450</v>
      </c>
      <c r="C3453" s="28">
        <v>168.09389221121631</v>
      </c>
      <c r="E3453" s="14" t="s">
        <v>1452</v>
      </c>
      <c r="F3453" s="11">
        <v>194</v>
      </c>
    </row>
    <row r="3454" spans="2:6" x14ac:dyDescent="0.3">
      <c r="B3454" s="12">
        <v>3451</v>
      </c>
      <c r="C3454" s="28">
        <v>161.6810688881441</v>
      </c>
      <c r="E3454" s="14" t="s">
        <v>3914</v>
      </c>
      <c r="F3454" s="11">
        <v>164</v>
      </c>
    </row>
    <row r="3455" spans="2:6" x14ac:dyDescent="0.3">
      <c r="B3455" s="12">
        <v>3452</v>
      </c>
      <c r="C3455" s="28">
        <v>157.52016026434325</v>
      </c>
      <c r="E3455" s="14" t="s">
        <v>1950</v>
      </c>
      <c r="F3455" s="11">
        <v>168</v>
      </c>
    </row>
    <row r="3456" spans="2:6" x14ac:dyDescent="0.3">
      <c r="B3456" s="12">
        <v>3453</v>
      </c>
      <c r="C3456" s="28">
        <v>161.84039647274102</v>
      </c>
      <c r="E3456" s="14" t="s">
        <v>3430</v>
      </c>
      <c r="F3456" s="11">
        <v>171</v>
      </c>
    </row>
    <row r="3457" spans="2:6" x14ac:dyDescent="0.3">
      <c r="B3457" s="12">
        <v>3454</v>
      </c>
      <c r="C3457" s="28">
        <v>167.92236054266513</v>
      </c>
      <c r="E3457" s="14" t="s">
        <v>4953</v>
      </c>
      <c r="F3457" s="11">
        <v>180</v>
      </c>
    </row>
    <row r="3458" spans="2:6" x14ac:dyDescent="0.3">
      <c r="B3458" s="12">
        <v>3455</v>
      </c>
      <c r="C3458" s="28">
        <v>165.37842077543573</v>
      </c>
      <c r="E3458" s="14" t="s">
        <v>3503</v>
      </c>
      <c r="F3458" s="11">
        <v>163</v>
      </c>
    </row>
    <row r="3459" spans="2:6" x14ac:dyDescent="0.3">
      <c r="B3459" s="12">
        <v>3456</v>
      </c>
      <c r="C3459" s="28">
        <v>147.79533832301132</v>
      </c>
      <c r="E3459" s="14" t="s">
        <v>2523</v>
      </c>
      <c r="F3459" s="11">
        <v>175</v>
      </c>
    </row>
    <row r="3460" spans="2:6" x14ac:dyDescent="0.3">
      <c r="B3460" s="12">
        <v>3457</v>
      </c>
      <c r="C3460" s="28">
        <v>158.26308445575634</v>
      </c>
      <c r="E3460" s="14" t="s">
        <v>1817</v>
      </c>
      <c r="F3460" s="11">
        <v>177</v>
      </c>
    </row>
    <row r="3461" spans="2:6" x14ac:dyDescent="0.3">
      <c r="B3461" s="12">
        <v>3458</v>
      </c>
      <c r="C3461" s="28">
        <v>162.11661253469137</v>
      </c>
      <c r="E3461" s="14" t="s">
        <v>2353</v>
      </c>
      <c r="F3461" s="11">
        <v>161</v>
      </c>
    </row>
    <row r="3462" spans="2:6" x14ac:dyDescent="0.3">
      <c r="B3462" s="12">
        <v>3459</v>
      </c>
      <c r="C3462" s="28">
        <v>162.52559741946544</v>
      </c>
      <c r="E3462" s="14" t="s">
        <v>4005</v>
      </c>
      <c r="F3462" s="11">
        <v>160</v>
      </c>
    </row>
    <row r="3463" spans="2:6" x14ac:dyDescent="0.3">
      <c r="B3463" s="12">
        <v>3460</v>
      </c>
      <c r="C3463" s="28">
        <v>156.99805795637167</v>
      </c>
      <c r="E3463" s="14" t="s">
        <v>1280</v>
      </c>
      <c r="F3463" s="11">
        <v>178</v>
      </c>
    </row>
    <row r="3464" spans="2:6" x14ac:dyDescent="0.3">
      <c r="B3464" s="12">
        <v>3461</v>
      </c>
      <c r="C3464" s="28">
        <v>165.21937349419437</v>
      </c>
      <c r="E3464" s="14" t="s">
        <v>4613</v>
      </c>
      <c r="F3464" s="11">
        <v>174</v>
      </c>
    </row>
    <row r="3465" spans="2:6" x14ac:dyDescent="0.3">
      <c r="B3465" s="12">
        <v>3462</v>
      </c>
      <c r="C3465" s="28">
        <v>170.04588305722729</v>
      </c>
      <c r="E3465" s="14" t="s">
        <v>2496</v>
      </c>
      <c r="F3465" s="11">
        <v>177</v>
      </c>
    </row>
    <row r="3466" spans="2:6" x14ac:dyDescent="0.3">
      <c r="B3466" s="12">
        <v>3463</v>
      </c>
      <c r="C3466" s="28">
        <v>173.52494033645951</v>
      </c>
      <c r="E3466" s="14" t="s">
        <v>2904</v>
      </c>
      <c r="F3466" s="11">
        <v>167</v>
      </c>
    </row>
    <row r="3467" spans="2:6" x14ac:dyDescent="0.3">
      <c r="B3467" s="12">
        <v>3464</v>
      </c>
      <c r="C3467" s="28">
        <v>165.34581110168236</v>
      </c>
      <c r="E3467" s="14" t="s">
        <v>4145</v>
      </c>
      <c r="F3467" s="11">
        <v>169</v>
      </c>
    </row>
    <row r="3468" spans="2:6" x14ac:dyDescent="0.3">
      <c r="B3468" s="12">
        <v>3465</v>
      </c>
      <c r="C3468" s="28">
        <v>180.51894612319742</v>
      </c>
      <c r="E3468" s="14" t="s">
        <v>2252</v>
      </c>
      <c r="F3468" s="11">
        <v>160</v>
      </c>
    </row>
    <row r="3469" spans="2:6" x14ac:dyDescent="0.3">
      <c r="B3469" s="12">
        <v>3466</v>
      </c>
      <c r="C3469" s="28">
        <v>175.61800167171253</v>
      </c>
      <c r="E3469" s="14" t="s">
        <v>2789</v>
      </c>
      <c r="F3469" s="11">
        <v>171</v>
      </c>
    </row>
    <row r="3470" spans="2:6" x14ac:dyDescent="0.3">
      <c r="B3470" s="12">
        <v>3467</v>
      </c>
      <c r="C3470" s="28">
        <v>158.03524223951786</v>
      </c>
      <c r="E3470" s="14" t="s">
        <v>859</v>
      </c>
      <c r="F3470" s="11">
        <v>170</v>
      </c>
    </row>
    <row r="3471" spans="2:6" x14ac:dyDescent="0.3">
      <c r="B3471" s="12">
        <v>3468</v>
      </c>
      <c r="C3471" s="28">
        <v>159.61563425530511</v>
      </c>
      <c r="E3471" s="14" t="s">
        <v>1066</v>
      </c>
      <c r="F3471" s="11">
        <v>174</v>
      </c>
    </row>
    <row r="3472" spans="2:6" x14ac:dyDescent="0.3">
      <c r="B3472" s="12">
        <v>3469</v>
      </c>
      <c r="C3472" s="28">
        <v>170.75180824432456</v>
      </c>
      <c r="E3472" s="14" t="s">
        <v>1590</v>
      </c>
      <c r="F3472" s="11">
        <v>167</v>
      </c>
    </row>
    <row r="3473" spans="2:6" x14ac:dyDescent="0.3">
      <c r="B3473" s="12">
        <v>3470</v>
      </c>
      <c r="C3473" s="28">
        <v>153.08725769883515</v>
      </c>
      <c r="E3473" s="14" t="s">
        <v>1772</v>
      </c>
      <c r="F3473" s="11">
        <v>165</v>
      </c>
    </row>
    <row r="3474" spans="2:6" x14ac:dyDescent="0.3">
      <c r="B3474" s="12">
        <v>3471</v>
      </c>
      <c r="C3474" s="28">
        <v>159.89501321473506</v>
      </c>
      <c r="E3474" s="14" t="s">
        <v>1618</v>
      </c>
      <c r="F3474" s="11">
        <v>173</v>
      </c>
    </row>
    <row r="3475" spans="2:6" x14ac:dyDescent="0.3">
      <c r="B3475" s="12">
        <v>3472</v>
      </c>
      <c r="C3475" s="28">
        <v>175.25935448694278</v>
      </c>
      <c r="E3475" s="14" t="s">
        <v>4667</v>
      </c>
      <c r="F3475" s="11">
        <v>170</v>
      </c>
    </row>
    <row r="3476" spans="2:6" x14ac:dyDescent="0.3">
      <c r="B3476" s="12">
        <v>3473</v>
      </c>
      <c r="C3476" s="28">
        <v>161.30218829196093</v>
      </c>
      <c r="E3476" s="14" t="s">
        <v>4749</v>
      </c>
      <c r="F3476" s="11">
        <v>160</v>
      </c>
    </row>
    <row r="3477" spans="2:6" x14ac:dyDescent="0.3">
      <c r="B3477" s="12">
        <v>3474</v>
      </c>
      <c r="C3477" s="28">
        <v>158.88647768051604</v>
      </c>
      <c r="E3477" s="14" t="s">
        <v>556</v>
      </c>
      <c r="F3477" s="11">
        <v>174</v>
      </c>
    </row>
    <row r="3478" spans="2:6" x14ac:dyDescent="0.3">
      <c r="B3478" s="12">
        <v>3475</v>
      </c>
      <c r="C3478" s="28">
        <v>162.41996339143751</v>
      </c>
      <c r="E3478" s="14" t="s">
        <v>1563</v>
      </c>
      <c r="F3478" s="11">
        <v>167</v>
      </c>
    </row>
    <row r="3479" spans="2:6" x14ac:dyDescent="0.3">
      <c r="B3479" s="12">
        <v>3476</v>
      </c>
      <c r="C3479" s="28">
        <v>170.23796228623675</v>
      </c>
      <c r="E3479" s="14" t="s">
        <v>2851</v>
      </c>
      <c r="F3479" s="11">
        <v>177</v>
      </c>
    </row>
    <row r="3480" spans="2:6" x14ac:dyDescent="0.3">
      <c r="B3480" s="12">
        <v>3477</v>
      </c>
      <c r="C3480" s="28">
        <v>164.28772728751463</v>
      </c>
      <c r="E3480" s="14" t="s">
        <v>2628</v>
      </c>
      <c r="F3480" s="11">
        <v>170</v>
      </c>
    </row>
    <row r="3481" spans="2:6" x14ac:dyDescent="0.3">
      <c r="B3481" s="12">
        <v>3478</v>
      </c>
      <c r="C3481" s="28">
        <v>152.49032550242788</v>
      </c>
      <c r="E3481" s="14" t="s">
        <v>406</v>
      </c>
      <c r="F3481" s="11">
        <v>170</v>
      </c>
    </row>
    <row r="3482" spans="2:6" x14ac:dyDescent="0.3">
      <c r="B3482" s="12">
        <v>3479</v>
      </c>
      <c r="C3482" s="28">
        <v>151.03921801006371</v>
      </c>
      <c r="E3482" s="14" t="s">
        <v>2993</v>
      </c>
      <c r="F3482" s="11">
        <v>184</v>
      </c>
    </row>
    <row r="3483" spans="2:6" x14ac:dyDescent="0.3">
      <c r="B3483" s="12">
        <v>3480</v>
      </c>
      <c r="C3483" s="28">
        <v>171.54950075514924</v>
      </c>
      <c r="E3483" s="14" t="s">
        <v>1475</v>
      </c>
      <c r="F3483" s="11">
        <v>152</v>
      </c>
    </row>
    <row r="3484" spans="2:6" x14ac:dyDescent="0.3">
      <c r="B3484" s="12">
        <v>3481</v>
      </c>
      <c r="C3484" s="28">
        <v>156.90419569686338</v>
      </c>
      <c r="E3484" s="14" t="s">
        <v>1726</v>
      </c>
      <c r="F3484" s="11">
        <v>164</v>
      </c>
    </row>
    <row r="3485" spans="2:6" x14ac:dyDescent="0.3">
      <c r="B3485" s="12">
        <v>3482</v>
      </c>
      <c r="C3485" s="28">
        <v>161.41417472050884</v>
      </c>
      <c r="E3485" s="14" t="s">
        <v>3759</v>
      </c>
      <c r="F3485" s="11">
        <v>172</v>
      </c>
    </row>
    <row r="3486" spans="2:6" x14ac:dyDescent="0.3">
      <c r="B3486" s="12">
        <v>3483</v>
      </c>
      <c r="C3486" s="28">
        <v>167.03326200964071</v>
      </c>
      <c r="E3486" s="14" t="s">
        <v>4371</v>
      </c>
      <c r="F3486" s="11">
        <v>169</v>
      </c>
    </row>
    <row r="3487" spans="2:6" x14ac:dyDescent="0.3">
      <c r="B3487" s="12">
        <v>3484</v>
      </c>
      <c r="C3487" s="28">
        <v>175.71740652768906</v>
      </c>
      <c r="E3487" s="14" t="s">
        <v>717</v>
      </c>
      <c r="F3487" s="11">
        <v>166</v>
      </c>
    </row>
    <row r="3488" spans="2:6" x14ac:dyDescent="0.3">
      <c r="B3488" s="12">
        <v>3485</v>
      </c>
      <c r="C3488" s="28">
        <v>164.58870983717165</v>
      </c>
      <c r="E3488" s="14" t="s">
        <v>4309</v>
      </c>
      <c r="F3488" s="11">
        <v>158</v>
      </c>
    </row>
    <row r="3489" spans="2:6" x14ac:dyDescent="0.3">
      <c r="B3489" s="12">
        <v>3486</v>
      </c>
      <c r="C3489" s="28">
        <v>170.68960151606035</v>
      </c>
      <c r="E3489" s="14" t="s">
        <v>1991</v>
      </c>
      <c r="F3489" s="11">
        <v>167</v>
      </c>
    </row>
    <row r="3490" spans="2:6" x14ac:dyDescent="0.3">
      <c r="B3490" s="12">
        <v>3487</v>
      </c>
      <c r="C3490" s="28">
        <v>156.52268170156248</v>
      </c>
      <c r="E3490" s="14" t="s">
        <v>250</v>
      </c>
      <c r="F3490" s="11">
        <v>157</v>
      </c>
    </row>
    <row r="3491" spans="2:6" x14ac:dyDescent="0.3">
      <c r="B3491" s="12">
        <v>3488</v>
      </c>
      <c r="C3491" s="28">
        <v>167.67767720413491</v>
      </c>
      <c r="E3491" s="14" t="s">
        <v>1055</v>
      </c>
      <c r="F3491" s="11">
        <v>173</v>
      </c>
    </row>
    <row r="3492" spans="2:6" x14ac:dyDescent="0.3">
      <c r="B3492" s="12">
        <v>3489</v>
      </c>
      <c r="C3492" s="28">
        <v>155.78965587155506</v>
      </c>
      <c r="E3492" s="14" t="s">
        <v>2858</v>
      </c>
      <c r="F3492" s="11">
        <v>160</v>
      </c>
    </row>
    <row r="3493" spans="2:6" x14ac:dyDescent="0.3">
      <c r="B3493" s="12">
        <v>3490</v>
      </c>
      <c r="C3493" s="28">
        <v>156.48989135675794</v>
      </c>
      <c r="E3493" s="14" t="s">
        <v>4039</v>
      </c>
      <c r="F3493" s="11">
        <v>176</v>
      </c>
    </row>
    <row r="3494" spans="2:6" x14ac:dyDescent="0.3">
      <c r="B3494" s="12">
        <v>3491</v>
      </c>
      <c r="C3494" s="28">
        <v>168.21859248375608</v>
      </c>
      <c r="E3494" s="14" t="s">
        <v>825</v>
      </c>
      <c r="F3494" s="11">
        <v>194</v>
      </c>
    </row>
    <row r="3495" spans="2:6" x14ac:dyDescent="0.3">
      <c r="B3495" s="12">
        <v>3492</v>
      </c>
      <c r="C3495" s="28">
        <v>157.97241107075678</v>
      </c>
      <c r="E3495" s="14" t="s">
        <v>1555</v>
      </c>
      <c r="F3495" s="11">
        <v>159</v>
      </c>
    </row>
    <row r="3496" spans="2:6" x14ac:dyDescent="0.3">
      <c r="B3496" s="12">
        <v>3493</v>
      </c>
      <c r="C3496" s="28">
        <v>162.94832733513323</v>
      </c>
      <c r="E3496" s="14" t="s">
        <v>3919</v>
      </c>
      <c r="F3496" s="11">
        <v>167</v>
      </c>
    </row>
    <row r="3497" spans="2:6" x14ac:dyDescent="0.3">
      <c r="B3497" s="12">
        <v>3494</v>
      </c>
      <c r="C3497" s="28">
        <v>149.58688304225558</v>
      </c>
      <c r="E3497" s="14" t="s">
        <v>3740</v>
      </c>
      <c r="F3497" s="11">
        <v>164</v>
      </c>
    </row>
    <row r="3498" spans="2:6" x14ac:dyDescent="0.3">
      <c r="B3498" s="12">
        <v>3495</v>
      </c>
      <c r="C3498" s="28">
        <v>163.31726068431431</v>
      </c>
      <c r="E3498" s="14" t="s">
        <v>916</v>
      </c>
      <c r="F3498" s="11">
        <v>167</v>
      </c>
    </row>
    <row r="3499" spans="2:6" x14ac:dyDescent="0.3">
      <c r="B3499" s="12">
        <v>3496</v>
      </c>
      <c r="C3499" s="28">
        <v>171.59124906711801</v>
      </c>
      <c r="E3499" s="14" t="s">
        <v>4035</v>
      </c>
      <c r="F3499" s="11">
        <v>157</v>
      </c>
    </row>
    <row r="3500" spans="2:6" x14ac:dyDescent="0.3">
      <c r="B3500" s="12">
        <v>3497</v>
      </c>
      <c r="C3500" s="28">
        <v>155.92930622871836</v>
      </c>
      <c r="E3500" s="14" t="s">
        <v>2658</v>
      </c>
      <c r="F3500" s="11">
        <v>150</v>
      </c>
    </row>
    <row r="3501" spans="2:6" x14ac:dyDescent="0.3">
      <c r="B3501" s="12">
        <v>3498</v>
      </c>
      <c r="C3501" s="28">
        <v>167.28551481079907</v>
      </c>
      <c r="E3501" s="14" t="s">
        <v>94</v>
      </c>
      <c r="F3501" s="11">
        <v>179</v>
      </c>
    </row>
    <row r="3502" spans="2:6" x14ac:dyDescent="0.3">
      <c r="B3502" s="12">
        <v>3499</v>
      </c>
      <c r="C3502" s="28">
        <v>155.20323867857951</v>
      </c>
      <c r="E3502" s="14" t="s">
        <v>3025</v>
      </c>
      <c r="F3502" s="11">
        <v>168</v>
      </c>
    </row>
    <row r="3503" spans="2:6" x14ac:dyDescent="0.3">
      <c r="B3503" s="12">
        <v>3500</v>
      </c>
      <c r="C3503" s="28">
        <v>167.74791871756699</v>
      </c>
      <c r="E3503" s="14" t="s">
        <v>4063</v>
      </c>
      <c r="F3503" s="11">
        <v>169</v>
      </c>
    </row>
    <row r="3504" spans="2:6" x14ac:dyDescent="0.3">
      <c r="B3504" s="12">
        <v>3501</v>
      </c>
      <c r="C3504" s="28">
        <v>157.53839377257214</v>
      </c>
      <c r="E3504" s="14" t="s">
        <v>3315</v>
      </c>
      <c r="F3504" s="11">
        <v>175</v>
      </c>
    </row>
    <row r="3505" spans="2:6" x14ac:dyDescent="0.3">
      <c r="B3505" s="12">
        <v>3502</v>
      </c>
      <c r="C3505" s="28">
        <v>163.25607312543494</v>
      </c>
      <c r="E3505" s="14" t="s">
        <v>67</v>
      </c>
      <c r="F3505" s="11">
        <v>177</v>
      </c>
    </row>
    <row r="3506" spans="2:6" x14ac:dyDescent="0.3">
      <c r="B3506" s="12">
        <v>3503</v>
      </c>
      <c r="C3506" s="28">
        <v>151.78644906000071</v>
      </c>
      <c r="E3506" s="14" t="s">
        <v>3643</v>
      </c>
      <c r="F3506" s="11">
        <v>170</v>
      </c>
    </row>
    <row r="3507" spans="2:6" x14ac:dyDescent="0.3">
      <c r="B3507" s="12">
        <v>3504</v>
      </c>
      <c r="C3507" s="28">
        <v>159.46492796847369</v>
      </c>
      <c r="E3507" s="14" t="s">
        <v>1921</v>
      </c>
      <c r="F3507" s="11">
        <v>179</v>
      </c>
    </row>
    <row r="3508" spans="2:6" x14ac:dyDescent="0.3">
      <c r="B3508" s="12">
        <v>3505</v>
      </c>
      <c r="C3508" s="28">
        <v>156.28335406154659</v>
      </c>
      <c r="E3508" s="14" t="s">
        <v>4601</v>
      </c>
      <c r="F3508" s="11">
        <v>166</v>
      </c>
    </row>
    <row r="3509" spans="2:6" x14ac:dyDescent="0.3">
      <c r="B3509" s="12">
        <v>3506</v>
      </c>
      <c r="C3509" s="28">
        <v>162.32026412216257</v>
      </c>
      <c r="E3509" s="14" t="s">
        <v>4829</v>
      </c>
      <c r="F3509" s="11">
        <v>192</v>
      </c>
    </row>
    <row r="3510" spans="2:6" x14ac:dyDescent="0.3">
      <c r="B3510" s="12">
        <v>3507</v>
      </c>
      <c r="C3510" s="28">
        <v>164.82606642061225</v>
      </c>
      <c r="E3510" s="14" t="s">
        <v>311</v>
      </c>
      <c r="F3510" s="11">
        <v>175</v>
      </c>
    </row>
    <row r="3511" spans="2:6" x14ac:dyDescent="0.3">
      <c r="B3511" s="12">
        <v>3508</v>
      </c>
      <c r="C3511" s="28">
        <v>156.97810618479599</v>
      </c>
      <c r="E3511" s="14" t="s">
        <v>3039</v>
      </c>
      <c r="F3511" s="11">
        <v>155</v>
      </c>
    </row>
    <row r="3512" spans="2:6" x14ac:dyDescent="0.3">
      <c r="B3512" s="12">
        <v>3509</v>
      </c>
      <c r="C3512" s="28">
        <v>175.51340974675426</v>
      </c>
      <c r="E3512" s="14" t="s">
        <v>812</v>
      </c>
      <c r="F3512" s="11">
        <v>163</v>
      </c>
    </row>
    <row r="3513" spans="2:6" x14ac:dyDescent="0.3">
      <c r="B3513" s="12">
        <v>3510</v>
      </c>
      <c r="C3513" s="28">
        <v>165.05715830031551</v>
      </c>
      <c r="E3513" s="14" t="s">
        <v>975</v>
      </c>
      <c r="F3513" s="11">
        <v>173</v>
      </c>
    </row>
    <row r="3514" spans="2:6" x14ac:dyDescent="0.3">
      <c r="B3514" s="12">
        <v>3511</v>
      </c>
      <c r="C3514" s="28">
        <v>158.30056676076566</v>
      </c>
      <c r="E3514" s="14" t="s">
        <v>4292</v>
      </c>
      <c r="F3514" s="11">
        <v>166</v>
      </c>
    </row>
    <row r="3515" spans="2:6" x14ac:dyDescent="0.3">
      <c r="B3515" s="12">
        <v>3512</v>
      </c>
      <c r="C3515" s="28">
        <v>165.91983781424463</v>
      </c>
      <c r="E3515" s="14" t="s">
        <v>679</v>
      </c>
      <c r="F3515" s="11">
        <v>160</v>
      </c>
    </row>
    <row r="3516" spans="2:6" x14ac:dyDescent="0.3">
      <c r="B3516" s="12">
        <v>3513</v>
      </c>
      <c r="C3516" s="28">
        <v>163.15542701087739</v>
      </c>
      <c r="E3516" s="14" t="s">
        <v>3043</v>
      </c>
      <c r="F3516" s="11">
        <v>158</v>
      </c>
    </row>
    <row r="3517" spans="2:6" x14ac:dyDescent="0.3">
      <c r="B3517" s="12">
        <v>3514</v>
      </c>
      <c r="C3517" s="28">
        <v>155.76130084567924</v>
      </c>
      <c r="E3517" s="14" t="s">
        <v>3044</v>
      </c>
      <c r="F3517" s="11">
        <v>168</v>
      </c>
    </row>
    <row r="3518" spans="2:6" x14ac:dyDescent="0.3">
      <c r="B3518" s="12">
        <v>3515</v>
      </c>
      <c r="C3518" s="28">
        <v>147.7159563127523</v>
      </c>
      <c r="E3518" s="14" t="s">
        <v>3045</v>
      </c>
      <c r="F3518" s="11">
        <v>165</v>
      </c>
    </row>
    <row r="3519" spans="2:6" x14ac:dyDescent="0.3">
      <c r="B3519" s="12">
        <v>3516</v>
      </c>
      <c r="C3519" s="28">
        <v>158.98944644891461</v>
      </c>
      <c r="E3519" s="14" t="s">
        <v>3046</v>
      </c>
      <c r="F3519" s="11">
        <v>170</v>
      </c>
    </row>
    <row r="3520" spans="2:6" x14ac:dyDescent="0.3">
      <c r="B3520" s="12">
        <v>3517</v>
      </c>
      <c r="C3520" s="28">
        <v>164.28315769996905</v>
      </c>
      <c r="E3520" s="14" t="s">
        <v>3042</v>
      </c>
      <c r="F3520" s="11">
        <v>172</v>
      </c>
    </row>
    <row r="3521" spans="2:6" x14ac:dyDescent="0.3">
      <c r="B3521" s="12">
        <v>3518</v>
      </c>
      <c r="C3521" s="28">
        <v>162.45226004792636</v>
      </c>
      <c r="E3521" s="14" t="s">
        <v>109</v>
      </c>
      <c r="F3521" s="11">
        <v>170</v>
      </c>
    </row>
    <row r="3522" spans="2:6" x14ac:dyDescent="0.3">
      <c r="B3522" s="12">
        <v>3519</v>
      </c>
      <c r="C3522" s="28">
        <v>171.8838360033626</v>
      </c>
      <c r="E3522" s="14" t="s">
        <v>4729</v>
      </c>
      <c r="F3522" s="11">
        <v>173</v>
      </c>
    </row>
    <row r="3523" spans="2:6" x14ac:dyDescent="0.3">
      <c r="B3523" s="12">
        <v>3520</v>
      </c>
      <c r="C3523" s="28">
        <v>161.63500413808507</v>
      </c>
      <c r="E3523" s="14" t="s">
        <v>3490</v>
      </c>
      <c r="F3523" s="11">
        <v>163</v>
      </c>
    </row>
    <row r="3524" spans="2:6" x14ac:dyDescent="0.3">
      <c r="B3524" s="12">
        <v>3521</v>
      </c>
      <c r="C3524" s="28">
        <v>158.91512145587657</v>
      </c>
      <c r="E3524" s="14" t="s">
        <v>4741</v>
      </c>
      <c r="F3524" s="11">
        <v>174</v>
      </c>
    </row>
    <row r="3525" spans="2:6" x14ac:dyDescent="0.3">
      <c r="B3525" s="12">
        <v>3522</v>
      </c>
      <c r="C3525" s="28">
        <v>172.45497459192993</v>
      </c>
      <c r="E3525" s="14" t="s">
        <v>3780</v>
      </c>
      <c r="F3525" s="11">
        <v>170</v>
      </c>
    </row>
    <row r="3526" spans="2:6" x14ac:dyDescent="0.3">
      <c r="B3526" s="12">
        <v>3523</v>
      </c>
      <c r="C3526" s="28">
        <v>172.60229173045482</v>
      </c>
      <c r="E3526" s="14" t="s">
        <v>4518</v>
      </c>
      <c r="F3526" s="11">
        <v>175</v>
      </c>
    </row>
    <row r="3527" spans="2:6" x14ac:dyDescent="0.3">
      <c r="B3527" s="12">
        <v>3524</v>
      </c>
      <c r="C3527" s="28">
        <v>165.1939557029996</v>
      </c>
      <c r="E3527" s="14" t="s">
        <v>3724</v>
      </c>
      <c r="F3527" s="11">
        <v>170</v>
      </c>
    </row>
    <row r="3528" spans="2:6" x14ac:dyDescent="0.3">
      <c r="B3528" s="12">
        <v>3525</v>
      </c>
      <c r="C3528" s="28">
        <v>151.98996485116311</v>
      </c>
      <c r="E3528" s="14" t="s">
        <v>1508</v>
      </c>
      <c r="F3528" s="11">
        <v>168</v>
      </c>
    </row>
    <row r="3529" spans="2:6" x14ac:dyDescent="0.3">
      <c r="B3529" s="12">
        <v>3526</v>
      </c>
      <c r="C3529" s="28">
        <v>168.64163242292747</v>
      </c>
      <c r="E3529" s="14" t="s">
        <v>2948</v>
      </c>
      <c r="F3529" s="11">
        <v>173</v>
      </c>
    </row>
    <row r="3530" spans="2:6" x14ac:dyDescent="0.3">
      <c r="B3530" s="12">
        <v>3527</v>
      </c>
      <c r="C3530" s="28">
        <v>165.98662821640042</v>
      </c>
      <c r="E3530" s="14" t="s">
        <v>4078</v>
      </c>
      <c r="F3530" s="11">
        <v>166</v>
      </c>
    </row>
    <row r="3531" spans="2:6" x14ac:dyDescent="0.3">
      <c r="B3531" s="12">
        <v>3528</v>
      </c>
      <c r="C3531" s="28">
        <v>163.55689735125873</v>
      </c>
      <c r="E3531" s="14" t="s">
        <v>32</v>
      </c>
      <c r="F3531" s="11">
        <v>164</v>
      </c>
    </row>
    <row r="3532" spans="2:6" x14ac:dyDescent="0.3">
      <c r="B3532" s="12">
        <v>3529</v>
      </c>
      <c r="C3532" s="28">
        <v>166.39208490902388</v>
      </c>
      <c r="E3532" s="14" t="s">
        <v>4703</v>
      </c>
      <c r="F3532" s="11">
        <v>172</v>
      </c>
    </row>
    <row r="3533" spans="2:6" x14ac:dyDescent="0.3">
      <c r="B3533" s="12">
        <v>3530</v>
      </c>
      <c r="C3533" s="28">
        <v>165.54408773249537</v>
      </c>
      <c r="E3533" s="14" t="s">
        <v>4875</v>
      </c>
      <c r="F3533" s="11">
        <v>174</v>
      </c>
    </row>
    <row r="3534" spans="2:6" x14ac:dyDescent="0.3">
      <c r="B3534" s="12">
        <v>3531</v>
      </c>
      <c r="C3534" s="28">
        <v>160.46384362249691</v>
      </c>
      <c r="E3534" s="14" t="s">
        <v>64</v>
      </c>
      <c r="F3534" s="11">
        <v>163</v>
      </c>
    </row>
    <row r="3535" spans="2:6" x14ac:dyDescent="0.3">
      <c r="B3535" s="12">
        <v>3532</v>
      </c>
      <c r="C3535" s="28">
        <v>164.69240842763361</v>
      </c>
      <c r="E3535" s="14" t="s">
        <v>571</v>
      </c>
      <c r="F3535" s="11">
        <v>162</v>
      </c>
    </row>
    <row r="3536" spans="2:6" x14ac:dyDescent="0.3">
      <c r="B3536" s="12">
        <v>3533</v>
      </c>
      <c r="C3536" s="28">
        <v>153.15046989631756</v>
      </c>
      <c r="E3536" s="14" t="s">
        <v>421</v>
      </c>
      <c r="F3536" s="11">
        <v>170</v>
      </c>
    </row>
    <row r="3537" spans="2:6" x14ac:dyDescent="0.3">
      <c r="B3537" s="12">
        <v>3534</v>
      </c>
      <c r="C3537" s="28">
        <v>151.93241302104147</v>
      </c>
      <c r="E3537" s="14" t="s">
        <v>2300</v>
      </c>
      <c r="F3537" s="11">
        <v>179</v>
      </c>
    </row>
    <row r="3538" spans="2:6" x14ac:dyDescent="0.3">
      <c r="B3538" s="12">
        <v>3535</v>
      </c>
      <c r="C3538" s="28">
        <v>160.44425764310154</v>
      </c>
      <c r="E3538" s="14" t="s">
        <v>357</v>
      </c>
      <c r="F3538" s="11">
        <v>168</v>
      </c>
    </row>
    <row r="3539" spans="2:6" x14ac:dyDescent="0.3">
      <c r="B3539" s="12">
        <v>3536</v>
      </c>
      <c r="C3539" s="28">
        <v>163.28436136827588</v>
      </c>
      <c r="E3539" s="14" t="s">
        <v>1597</v>
      </c>
      <c r="F3539" s="11">
        <v>177</v>
      </c>
    </row>
    <row r="3540" spans="2:6" x14ac:dyDescent="0.3">
      <c r="B3540" s="12">
        <v>3537</v>
      </c>
      <c r="C3540" s="28">
        <v>159.10132157184492</v>
      </c>
      <c r="E3540" s="14" t="s">
        <v>21</v>
      </c>
      <c r="F3540" s="11">
        <v>166</v>
      </c>
    </row>
    <row r="3541" spans="2:6" x14ac:dyDescent="0.3">
      <c r="B3541" s="12">
        <v>3538</v>
      </c>
      <c r="C3541" s="28">
        <v>166.76149997168378</v>
      </c>
      <c r="E3541" s="14" t="s">
        <v>2273</v>
      </c>
      <c r="F3541" s="11">
        <v>191</v>
      </c>
    </row>
    <row r="3542" spans="2:6" x14ac:dyDescent="0.3">
      <c r="B3542" s="12">
        <v>3539</v>
      </c>
      <c r="C3542" s="28">
        <v>151.20915241890899</v>
      </c>
      <c r="E3542" s="14" t="s">
        <v>3585</v>
      </c>
      <c r="F3542" s="11">
        <v>170</v>
      </c>
    </row>
    <row r="3543" spans="2:6" x14ac:dyDescent="0.3">
      <c r="B3543" s="12">
        <v>3540</v>
      </c>
      <c r="C3543" s="28">
        <v>168.89848537446591</v>
      </c>
      <c r="E3543" s="14" t="s">
        <v>3977</v>
      </c>
      <c r="F3543" s="11">
        <v>177</v>
      </c>
    </row>
    <row r="3544" spans="2:6" x14ac:dyDescent="0.3">
      <c r="B3544" s="12">
        <v>3541</v>
      </c>
      <c r="C3544" s="28">
        <v>153.77819077140848</v>
      </c>
      <c r="E3544" s="14" t="s">
        <v>4506</v>
      </c>
      <c r="F3544" s="11">
        <v>168</v>
      </c>
    </row>
    <row r="3545" spans="2:6" x14ac:dyDescent="0.3">
      <c r="B3545" s="12">
        <v>3542</v>
      </c>
      <c r="C3545" s="28">
        <v>156.40287159498095</v>
      </c>
      <c r="E3545" s="14" t="s">
        <v>4470</v>
      </c>
      <c r="F3545" s="11">
        <v>179</v>
      </c>
    </row>
    <row r="3546" spans="2:6" x14ac:dyDescent="0.3">
      <c r="B3546" s="12">
        <v>3543</v>
      </c>
      <c r="C3546" s="28">
        <v>166.3386055442536</v>
      </c>
      <c r="E3546" s="14" t="s">
        <v>4434</v>
      </c>
      <c r="F3546" s="11">
        <v>181</v>
      </c>
    </row>
    <row r="3547" spans="2:6" x14ac:dyDescent="0.3">
      <c r="B3547" s="12">
        <v>3544</v>
      </c>
      <c r="C3547" s="28">
        <v>160.30716650130162</v>
      </c>
      <c r="E3547" s="14" t="s">
        <v>730</v>
      </c>
      <c r="F3547" s="11">
        <v>164</v>
      </c>
    </row>
    <row r="3548" spans="2:6" x14ac:dyDescent="0.3">
      <c r="B3548" s="12">
        <v>3545</v>
      </c>
      <c r="C3548" s="28">
        <v>165.07835412209346</v>
      </c>
      <c r="E3548" s="14" t="s">
        <v>2489</v>
      </c>
      <c r="F3548" s="11">
        <v>170</v>
      </c>
    </row>
    <row r="3549" spans="2:6" x14ac:dyDescent="0.3">
      <c r="B3549" s="12">
        <v>3546</v>
      </c>
      <c r="C3549" s="28">
        <v>164.85792435805246</v>
      </c>
      <c r="E3549" s="14" t="s">
        <v>3225</v>
      </c>
      <c r="F3549" s="11">
        <v>170</v>
      </c>
    </row>
    <row r="3550" spans="2:6" x14ac:dyDescent="0.3">
      <c r="B3550" s="12">
        <v>3547</v>
      </c>
      <c r="C3550" s="28">
        <v>171.70982695135064</v>
      </c>
      <c r="E3550" s="14" t="s">
        <v>1425</v>
      </c>
      <c r="F3550" s="11">
        <v>175</v>
      </c>
    </row>
    <row r="3551" spans="2:6" x14ac:dyDescent="0.3">
      <c r="B3551" s="12">
        <v>3548</v>
      </c>
      <c r="C3551" s="28">
        <v>150.53169421174505</v>
      </c>
      <c r="E3551" s="14" t="s">
        <v>1574</v>
      </c>
      <c r="F3551" s="11">
        <v>165</v>
      </c>
    </row>
    <row r="3552" spans="2:6" x14ac:dyDescent="0.3">
      <c r="B3552" s="12">
        <v>3549</v>
      </c>
      <c r="C3552" s="28">
        <v>158.02590444808123</v>
      </c>
      <c r="E3552" s="14" t="s">
        <v>1604</v>
      </c>
      <c r="F3552" s="11">
        <v>176</v>
      </c>
    </row>
    <row r="3553" spans="2:6" x14ac:dyDescent="0.3">
      <c r="B3553" s="12">
        <v>3550</v>
      </c>
      <c r="C3553" s="28">
        <v>156.61697726567809</v>
      </c>
      <c r="E3553" s="14" t="s">
        <v>3478</v>
      </c>
      <c r="F3553" s="11">
        <v>153</v>
      </c>
    </row>
    <row r="3554" spans="2:6" x14ac:dyDescent="0.3">
      <c r="B3554" s="12">
        <v>3551</v>
      </c>
      <c r="C3554" s="28">
        <v>153.62922195265557</v>
      </c>
      <c r="E3554" s="14" t="s">
        <v>1703</v>
      </c>
      <c r="F3554" s="11">
        <v>170</v>
      </c>
    </row>
    <row r="3555" spans="2:6" x14ac:dyDescent="0.3">
      <c r="B3555" s="12">
        <v>3552</v>
      </c>
      <c r="C3555" s="28">
        <v>161.09536368396124</v>
      </c>
      <c r="E3555" s="14" t="s">
        <v>2772</v>
      </c>
      <c r="F3555" s="11">
        <v>180</v>
      </c>
    </row>
    <row r="3556" spans="2:6" x14ac:dyDescent="0.3">
      <c r="B3556" s="12">
        <v>3553</v>
      </c>
      <c r="C3556" s="28">
        <v>166.58350418220769</v>
      </c>
      <c r="E3556" s="14" t="s">
        <v>1420</v>
      </c>
      <c r="F3556" s="11">
        <v>178</v>
      </c>
    </row>
    <row r="3557" spans="2:6" x14ac:dyDescent="0.3">
      <c r="B3557" s="12">
        <v>3554</v>
      </c>
      <c r="C3557" s="28">
        <v>171.27212729856603</v>
      </c>
      <c r="E3557" s="14" t="s">
        <v>2703</v>
      </c>
      <c r="F3557" s="11">
        <v>160</v>
      </c>
    </row>
    <row r="3558" spans="2:6" x14ac:dyDescent="0.3">
      <c r="B3558" s="12">
        <v>3555</v>
      </c>
      <c r="C3558" s="28">
        <v>154.74134881855716</v>
      </c>
      <c r="E3558" s="14" t="s">
        <v>2865</v>
      </c>
      <c r="F3558" s="11">
        <v>167</v>
      </c>
    </row>
    <row r="3559" spans="2:6" x14ac:dyDescent="0.3">
      <c r="B3559" s="12">
        <v>3556</v>
      </c>
      <c r="C3559" s="28">
        <v>154.54137108911033</v>
      </c>
      <c r="E3559" s="14" t="s">
        <v>140</v>
      </c>
      <c r="F3559" s="11">
        <v>170</v>
      </c>
    </row>
    <row r="3560" spans="2:6" x14ac:dyDescent="0.3">
      <c r="B3560" s="12">
        <v>3557</v>
      </c>
      <c r="C3560" s="28">
        <v>164.00751860189428</v>
      </c>
      <c r="E3560" s="14" t="s">
        <v>284</v>
      </c>
      <c r="F3560" s="11">
        <v>158</v>
      </c>
    </row>
    <row r="3561" spans="2:6" x14ac:dyDescent="0.3">
      <c r="B3561" s="12">
        <v>3558</v>
      </c>
      <c r="C3561" s="28">
        <v>171.68021754735469</v>
      </c>
      <c r="E3561" s="14" t="s">
        <v>788</v>
      </c>
      <c r="F3561" s="11">
        <v>160</v>
      </c>
    </row>
    <row r="3562" spans="2:6" x14ac:dyDescent="0.3">
      <c r="B3562" s="12">
        <v>3559</v>
      </c>
      <c r="C3562" s="28">
        <v>168.77345376950146</v>
      </c>
      <c r="E3562" s="14" t="s">
        <v>995</v>
      </c>
      <c r="F3562" s="11">
        <v>165</v>
      </c>
    </row>
    <row r="3563" spans="2:6" x14ac:dyDescent="0.3">
      <c r="B3563" s="12">
        <v>3560</v>
      </c>
      <c r="C3563" s="28">
        <v>148.64555838182</v>
      </c>
      <c r="E3563" s="14" t="s">
        <v>3563</v>
      </c>
      <c r="F3563" s="11">
        <v>170</v>
      </c>
    </row>
    <row r="3564" spans="2:6" x14ac:dyDescent="0.3">
      <c r="B3564" s="12">
        <v>3561</v>
      </c>
      <c r="C3564" s="28">
        <v>161.97203735794389</v>
      </c>
      <c r="E3564" s="14" t="s">
        <v>1645</v>
      </c>
      <c r="F3564" s="11">
        <v>165</v>
      </c>
    </row>
    <row r="3565" spans="2:6" x14ac:dyDescent="0.3">
      <c r="B3565" s="12">
        <v>3562</v>
      </c>
      <c r="C3565" s="28">
        <v>171.95957855338466</v>
      </c>
      <c r="E3565" s="14" t="s">
        <v>1705</v>
      </c>
      <c r="F3565" s="11">
        <v>183</v>
      </c>
    </row>
    <row r="3566" spans="2:6" x14ac:dyDescent="0.3">
      <c r="B3566" s="12">
        <v>3563</v>
      </c>
      <c r="C3566" s="28">
        <v>157.17051843480664</v>
      </c>
      <c r="E3566" s="14" t="s">
        <v>3768</v>
      </c>
      <c r="F3566" s="11">
        <v>168</v>
      </c>
    </row>
    <row r="3567" spans="2:6" x14ac:dyDescent="0.3">
      <c r="B3567" s="12">
        <v>3564</v>
      </c>
      <c r="C3567" s="28">
        <v>159.98417978918081</v>
      </c>
      <c r="E3567" s="14" t="s">
        <v>1248</v>
      </c>
      <c r="F3567" s="11">
        <v>170</v>
      </c>
    </row>
    <row r="3568" spans="2:6" x14ac:dyDescent="0.3">
      <c r="B3568" s="12">
        <v>3565</v>
      </c>
      <c r="C3568" s="28">
        <v>157.12426919693573</v>
      </c>
      <c r="E3568" s="14" t="s">
        <v>3577</v>
      </c>
      <c r="F3568" s="11">
        <v>172</v>
      </c>
    </row>
    <row r="3569" spans="2:6" x14ac:dyDescent="0.3">
      <c r="B3569" s="12">
        <v>3566</v>
      </c>
      <c r="C3569" s="28">
        <v>151.07677110563429</v>
      </c>
      <c r="E3569" s="14" t="s">
        <v>2564</v>
      </c>
      <c r="F3569" s="11">
        <v>168</v>
      </c>
    </row>
    <row r="3570" spans="2:6" x14ac:dyDescent="0.3">
      <c r="B3570" s="12">
        <v>3567</v>
      </c>
      <c r="C3570" s="28">
        <v>159.8671177166849</v>
      </c>
      <c r="E3570" s="14" t="s">
        <v>3071</v>
      </c>
      <c r="F3570" s="11">
        <v>177</v>
      </c>
    </row>
    <row r="3571" spans="2:6" x14ac:dyDescent="0.3">
      <c r="B3571" s="12">
        <v>3568</v>
      </c>
      <c r="C3571" s="28">
        <v>164.66719658732055</v>
      </c>
      <c r="E3571" s="14" t="s">
        <v>2572</v>
      </c>
      <c r="F3571" s="11">
        <v>159</v>
      </c>
    </row>
    <row r="3572" spans="2:6" x14ac:dyDescent="0.3">
      <c r="B3572" s="12">
        <v>3569</v>
      </c>
      <c r="C3572" s="28">
        <v>164.03139470414047</v>
      </c>
      <c r="E3572" s="14" t="s">
        <v>2879</v>
      </c>
      <c r="F3572" s="11">
        <v>168</v>
      </c>
    </row>
    <row r="3573" spans="2:6" x14ac:dyDescent="0.3">
      <c r="B3573" s="12">
        <v>3570</v>
      </c>
      <c r="C3573" s="28">
        <v>156.94497638906512</v>
      </c>
      <c r="E3573" s="14" t="s">
        <v>333</v>
      </c>
      <c r="F3573" s="11">
        <v>167</v>
      </c>
    </row>
    <row r="3574" spans="2:6" x14ac:dyDescent="0.3">
      <c r="B3574" s="12">
        <v>3571</v>
      </c>
      <c r="C3574" s="28">
        <v>165.71323046388869</v>
      </c>
      <c r="E3574" s="14" t="s">
        <v>4320</v>
      </c>
      <c r="F3574" s="11">
        <v>165</v>
      </c>
    </row>
    <row r="3575" spans="2:6" x14ac:dyDescent="0.3">
      <c r="B3575" s="12">
        <v>3572</v>
      </c>
      <c r="C3575" s="28">
        <v>163.49605296301783</v>
      </c>
      <c r="E3575" s="14" t="s">
        <v>2679</v>
      </c>
      <c r="F3575" s="11">
        <v>164</v>
      </c>
    </row>
    <row r="3576" spans="2:6" x14ac:dyDescent="0.3">
      <c r="B3576" s="12">
        <v>3573</v>
      </c>
      <c r="C3576" s="28">
        <v>162.02214472036474</v>
      </c>
      <c r="E3576" s="14" t="s">
        <v>4810</v>
      </c>
      <c r="F3576" s="11">
        <v>168</v>
      </c>
    </row>
    <row r="3577" spans="2:6" x14ac:dyDescent="0.3">
      <c r="B3577" s="12">
        <v>3574</v>
      </c>
      <c r="C3577" s="28">
        <v>164.85064561276869</v>
      </c>
      <c r="E3577" s="14" t="s">
        <v>1419</v>
      </c>
      <c r="F3577" s="11">
        <v>174</v>
      </c>
    </row>
    <row r="3578" spans="2:6" x14ac:dyDescent="0.3">
      <c r="B3578" s="12">
        <v>3575</v>
      </c>
      <c r="C3578" s="28">
        <v>162.85382008852883</v>
      </c>
      <c r="E3578" s="14" t="s">
        <v>2126</v>
      </c>
      <c r="F3578" s="11">
        <v>180</v>
      </c>
    </row>
    <row r="3579" spans="2:6" x14ac:dyDescent="0.3">
      <c r="B3579" s="12">
        <v>3576</v>
      </c>
      <c r="C3579" s="28">
        <v>163.37865025787886</v>
      </c>
      <c r="E3579" s="14" t="s">
        <v>3099</v>
      </c>
      <c r="F3579" s="11">
        <v>163</v>
      </c>
    </row>
    <row r="3580" spans="2:6" x14ac:dyDescent="0.3">
      <c r="B3580" s="12">
        <v>3577</v>
      </c>
      <c r="C3580" s="28">
        <v>163.74351949437357</v>
      </c>
      <c r="E3580" s="14" t="s">
        <v>4097</v>
      </c>
      <c r="F3580" s="11">
        <v>170</v>
      </c>
    </row>
    <row r="3581" spans="2:6" x14ac:dyDescent="0.3">
      <c r="B3581" s="12">
        <v>3578</v>
      </c>
      <c r="C3581" s="28">
        <v>170.42753842553503</v>
      </c>
      <c r="E3581" s="14" t="s">
        <v>3725</v>
      </c>
      <c r="F3581" s="11">
        <v>154</v>
      </c>
    </row>
    <row r="3582" spans="2:6" x14ac:dyDescent="0.3">
      <c r="B3582" s="12">
        <v>3579</v>
      </c>
      <c r="C3582" s="28">
        <v>155.7140751500757</v>
      </c>
      <c r="E3582" s="14" t="s">
        <v>4240</v>
      </c>
      <c r="F3582" s="11">
        <v>169</v>
      </c>
    </row>
    <row r="3583" spans="2:6" x14ac:dyDescent="0.3">
      <c r="B3583" s="12">
        <v>3580</v>
      </c>
      <c r="C3583" s="28">
        <v>167.55460228984532</v>
      </c>
      <c r="E3583" s="14" t="s">
        <v>3037</v>
      </c>
      <c r="F3583" s="11">
        <v>173</v>
      </c>
    </row>
    <row r="3584" spans="2:6" x14ac:dyDescent="0.3">
      <c r="B3584" s="12">
        <v>3581</v>
      </c>
      <c r="C3584" s="28">
        <v>167.50403772815395</v>
      </c>
      <c r="E3584" s="14" t="s">
        <v>263</v>
      </c>
      <c r="F3584" s="11">
        <v>166</v>
      </c>
    </row>
    <row r="3585" spans="2:6" x14ac:dyDescent="0.3">
      <c r="B3585" s="12">
        <v>3582</v>
      </c>
      <c r="C3585" s="28">
        <v>173.21299596065535</v>
      </c>
      <c r="E3585" s="14" t="s">
        <v>1422</v>
      </c>
      <c r="F3585" s="11">
        <v>165</v>
      </c>
    </row>
    <row r="3586" spans="2:6" x14ac:dyDescent="0.3">
      <c r="B3586" s="12">
        <v>3583</v>
      </c>
      <c r="C3586" s="28">
        <v>157.24946332864425</v>
      </c>
      <c r="E3586" s="14" t="s">
        <v>2915</v>
      </c>
      <c r="F3586" s="11">
        <v>168</v>
      </c>
    </row>
    <row r="3587" spans="2:6" x14ac:dyDescent="0.3">
      <c r="B3587" s="12">
        <v>3584</v>
      </c>
      <c r="C3587" s="28">
        <v>165.0459759192747</v>
      </c>
      <c r="E3587" s="14" t="s">
        <v>4156</v>
      </c>
      <c r="F3587" s="11">
        <v>159</v>
      </c>
    </row>
    <row r="3588" spans="2:6" x14ac:dyDescent="0.3">
      <c r="B3588" s="12">
        <v>3585</v>
      </c>
      <c r="C3588" s="28">
        <v>149.29389560352934</v>
      </c>
      <c r="E3588" s="14" t="s">
        <v>4255</v>
      </c>
      <c r="F3588" s="11">
        <v>166</v>
      </c>
    </row>
    <row r="3589" spans="2:6" x14ac:dyDescent="0.3">
      <c r="B3589" s="12">
        <v>3586</v>
      </c>
      <c r="C3589" s="28">
        <v>156.42732482826159</v>
      </c>
      <c r="E3589" s="14" t="s">
        <v>49</v>
      </c>
      <c r="F3589" s="11">
        <v>163</v>
      </c>
    </row>
    <row r="3590" spans="2:6" x14ac:dyDescent="0.3">
      <c r="B3590" s="12">
        <v>3587</v>
      </c>
      <c r="C3590" s="28">
        <v>173.28556777017104</v>
      </c>
      <c r="E3590" s="14" t="s">
        <v>4585</v>
      </c>
      <c r="F3590" s="11">
        <v>155</v>
      </c>
    </row>
    <row r="3591" spans="2:6" x14ac:dyDescent="0.3">
      <c r="B3591" s="12">
        <v>3588</v>
      </c>
      <c r="C3591" s="28">
        <v>168.21940809032805</v>
      </c>
      <c r="E3591" s="14" t="s">
        <v>1286</v>
      </c>
      <c r="F3591" s="11">
        <v>180</v>
      </c>
    </row>
    <row r="3592" spans="2:6" x14ac:dyDescent="0.3">
      <c r="B3592" s="12">
        <v>3589</v>
      </c>
      <c r="C3592" s="28">
        <v>169.21176337162953</v>
      </c>
      <c r="E3592" s="14" t="s">
        <v>1135</v>
      </c>
      <c r="F3592" s="11">
        <v>167</v>
      </c>
    </row>
    <row r="3593" spans="2:6" x14ac:dyDescent="0.3">
      <c r="B3593" s="12">
        <v>3590</v>
      </c>
      <c r="C3593" s="28">
        <v>162.22170987911727</v>
      </c>
      <c r="E3593" s="14" t="s">
        <v>1194</v>
      </c>
      <c r="F3593" s="11">
        <v>170</v>
      </c>
    </row>
    <row r="3594" spans="2:6" x14ac:dyDescent="0.3">
      <c r="B3594" s="12">
        <v>3591</v>
      </c>
      <c r="C3594" s="28">
        <v>161.2561695225539</v>
      </c>
      <c r="E3594" s="14" t="s">
        <v>2604</v>
      </c>
      <c r="F3594" s="11">
        <v>170</v>
      </c>
    </row>
    <row r="3595" spans="2:6" x14ac:dyDescent="0.3">
      <c r="B3595" s="12">
        <v>3592</v>
      </c>
      <c r="C3595" s="28">
        <v>170.40293413563171</v>
      </c>
      <c r="E3595" s="14" t="s">
        <v>2859</v>
      </c>
      <c r="F3595" s="11">
        <v>173</v>
      </c>
    </row>
    <row r="3596" spans="2:6" x14ac:dyDescent="0.3">
      <c r="B3596" s="12">
        <v>3593</v>
      </c>
      <c r="C3596" s="28">
        <v>169.39867106303032</v>
      </c>
      <c r="E3596" s="14" t="s">
        <v>4736</v>
      </c>
      <c r="F3596" s="11">
        <v>168</v>
      </c>
    </row>
    <row r="3597" spans="2:6" x14ac:dyDescent="0.3">
      <c r="B3597" s="12">
        <v>3594</v>
      </c>
      <c r="C3597" s="28">
        <v>171.06415406680469</v>
      </c>
      <c r="E3597" s="14" t="s">
        <v>3079</v>
      </c>
      <c r="F3597" s="11">
        <v>173</v>
      </c>
    </row>
    <row r="3598" spans="2:6" x14ac:dyDescent="0.3">
      <c r="B3598" s="12">
        <v>3595</v>
      </c>
      <c r="C3598" s="28">
        <v>162.64011140131714</v>
      </c>
      <c r="E3598" s="14" t="s">
        <v>3142</v>
      </c>
      <c r="F3598" s="11">
        <v>156</v>
      </c>
    </row>
    <row r="3599" spans="2:6" x14ac:dyDescent="0.3">
      <c r="B3599" s="12">
        <v>3596</v>
      </c>
      <c r="C3599" s="28">
        <v>160.17472356573234</v>
      </c>
      <c r="E3599" s="14" t="s">
        <v>3742</v>
      </c>
      <c r="F3599" s="11">
        <v>151</v>
      </c>
    </row>
    <row r="3600" spans="2:6" x14ac:dyDescent="0.3">
      <c r="B3600" s="12">
        <v>3597</v>
      </c>
      <c r="C3600" s="28">
        <v>155.22207303751676</v>
      </c>
      <c r="E3600" s="14" t="s">
        <v>2854</v>
      </c>
      <c r="F3600" s="11">
        <v>167</v>
      </c>
    </row>
    <row r="3601" spans="2:6" x14ac:dyDescent="0.3">
      <c r="B3601" s="12">
        <v>3598</v>
      </c>
      <c r="C3601" s="28">
        <v>157.92121740035975</v>
      </c>
      <c r="E3601" s="14" t="s">
        <v>4264</v>
      </c>
      <c r="F3601" s="11">
        <v>173</v>
      </c>
    </row>
    <row r="3602" spans="2:6" x14ac:dyDescent="0.3">
      <c r="B3602" s="12">
        <v>3599</v>
      </c>
      <c r="C3602" s="28">
        <v>158.55042910780196</v>
      </c>
      <c r="E3602" s="14" t="s">
        <v>1031</v>
      </c>
      <c r="F3602" s="11">
        <v>170</v>
      </c>
    </row>
    <row r="3603" spans="2:6" x14ac:dyDescent="0.3">
      <c r="B3603" s="12">
        <v>3600</v>
      </c>
      <c r="C3603" s="28">
        <v>163.05355318279234</v>
      </c>
      <c r="E3603" s="14" t="s">
        <v>2846</v>
      </c>
      <c r="F3603" s="11">
        <v>188</v>
      </c>
    </row>
    <row r="3604" spans="2:6" x14ac:dyDescent="0.3">
      <c r="B3604" s="12">
        <v>3601</v>
      </c>
      <c r="C3604" s="28">
        <v>162.44207715133513</v>
      </c>
      <c r="E3604" s="14" t="s">
        <v>3145</v>
      </c>
      <c r="F3604" s="11">
        <v>173</v>
      </c>
    </row>
    <row r="3605" spans="2:6" x14ac:dyDescent="0.3">
      <c r="B3605" s="12">
        <v>3602</v>
      </c>
      <c r="C3605" s="28">
        <v>160.98979107585819</v>
      </c>
      <c r="E3605" s="14" t="s">
        <v>3175</v>
      </c>
      <c r="F3605" s="11">
        <v>178</v>
      </c>
    </row>
    <row r="3606" spans="2:6" x14ac:dyDescent="0.3">
      <c r="B3606" s="12">
        <v>3603</v>
      </c>
      <c r="C3606" s="28">
        <v>159.79099277877103</v>
      </c>
      <c r="E3606" s="14" t="s">
        <v>783</v>
      </c>
      <c r="F3606" s="11">
        <v>167</v>
      </c>
    </row>
    <row r="3607" spans="2:6" x14ac:dyDescent="0.3">
      <c r="B3607" s="12">
        <v>3604</v>
      </c>
      <c r="C3607" s="28">
        <v>179.18098004409126</v>
      </c>
      <c r="E3607" s="14" t="s">
        <v>3483</v>
      </c>
      <c r="F3607" s="11">
        <v>163</v>
      </c>
    </row>
    <row r="3608" spans="2:6" x14ac:dyDescent="0.3">
      <c r="B3608" s="12">
        <v>3605</v>
      </c>
      <c r="C3608" s="28">
        <v>175.54304908886562</v>
      </c>
      <c r="E3608" s="14" t="s">
        <v>2609</v>
      </c>
      <c r="F3608" s="11">
        <v>177</v>
      </c>
    </row>
    <row r="3609" spans="2:6" x14ac:dyDescent="0.3">
      <c r="B3609" s="12">
        <v>3606</v>
      </c>
      <c r="C3609" s="28">
        <v>162.86508388585668</v>
      </c>
      <c r="E3609" s="14" t="s">
        <v>3116</v>
      </c>
      <c r="F3609" s="11">
        <v>166</v>
      </c>
    </row>
    <row r="3610" spans="2:6" x14ac:dyDescent="0.3">
      <c r="B3610" s="12">
        <v>3607</v>
      </c>
      <c r="C3610" s="28">
        <v>165.17939711050798</v>
      </c>
      <c r="E3610" s="14" t="s">
        <v>1421</v>
      </c>
      <c r="F3610" s="11">
        <v>160</v>
      </c>
    </row>
    <row r="3611" spans="2:6" x14ac:dyDescent="0.3">
      <c r="B3611" s="12">
        <v>3608</v>
      </c>
      <c r="C3611" s="28">
        <v>165.78604612674195</v>
      </c>
      <c r="E3611" s="14" t="s">
        <v>37</v>
      </c>
      <c r="F3611" s="11">
        <v>169</v>
      </c>
    </row>
    <row r="3612" spans="2:6" x14ac:dyDescent="0.3">
      <c r="B3612" s="12">
        <v>3609</v>
      </c>
      <c r="C3612" s="28">
        <v>174.64930802444098</v>
      </c>
      <c r="E3612" s="14" t="s">
        <v>1120</v>
      </c>
      <c r="F3612" s="11">
        <v>170</v>
      </c>
    </row>
    <row r="3613" spans="2:6" x14ac:dyDescent="0.3">
      <c r="B3613" s="12">
        <v>3610</v>
      </c>
      <c r="C3613" s="28">
        <v>164.79021856355851</v>
      </c>
      <c r="E3613" s="14" t="s">
        <v>3129</v>
      </c>
      <c r="F3613" s="11">
        <v>182</v>
      </c>
    </row>
    <row r="3614" spans="2:6" x14ac:dyDescent="0.3">
      <c r="B3614" s="12">
        <v>3611</v>
      </c>
      <c r="C3614" s="28">
        <v>165.80763997309262</v>
      </c>
      <c r="E3614" s="14" t="s">
        <v>3131</v>
      </c>
      <c r="F3614" s="11">
        <v>171</v>
      </c>
    </row>
    <row r="3615" spans="2:6" x14ac:dyDescent="0.3">
      <c r="B3615" s="12">
        <v>3612</v>
      </c>
      <c r="C3615" s="28">
        <v>156.29962891379415</v>
      </c>
      <c r="E3615" s="14" t="s">
        <v>794</v>
      </c>
      <c r="F3615" s="11">
        <v>153</v>
      </c>
    </row>
    <row r="3616" spans="2:6" x14ac:dyDescent="0.3">
      <c r="B3616" s="12">
        <v>3613</v>
      </c>
      <c r="C3616" s="28">
        <v>169.61257297917052</v>
      </c>
      <c r="E3616" s="14" t="s">
        <v>3143</v>
      </c>
      <c r="F3616" s="11">
        <v>175</v>
      </c>
    </row>
    <row r="3617" spans="2:6" x14ac:dyDescent="0.3">
      <c r="B3617" s="12">
        <v>3614</v>
      </c>
      <c r="C3617" s="28">
        <v>156.59608461620414</v>
      </c>
      <c r="E3617" s="14" t="s">
        <v>1659</v>
      </c>
      <c r="F3617" s="11">
        <v>164</v>
      </c>
    </row>
    <row r="3618" spans="2:6" x14ac:dyDescent="0.3">
      <c r="B3618" s="12">
        <v>3615</v>
      </c>
      <c r="C3618" s="28">
        <v>160.00280371400885</v>
      </c>
      <c r="E3618" s="14" t="s">
        <v>3960</v>
      </c>
      <c r="F3618" s="11">
        <v>170</v>
      </c>
    </row>
    <row r="3619" spans="2:6" x14ac:dyDescent="0.3">
      <c r="B3619" s="12">
        <v>3616</v>
      </c>
      <c r="C3619" s="28">
        <v>146.29899549933592</v>
      </c>
      <c r="E3619" s="14" t="s">
        <v>3086</v>
      </c>
      <c r="F3619" s="11">
        <v>180</v>
      </c>
    </row>
    <row r="3620" spans="2:6" x14ac:dyDescent="0.3">
      <c r="B3620" s="12">
        <v>3617</v>
      </c>
      <c r="C3620" s="28">
        <v>167.33466234868951</v>
      </c>
      <c r="E3620" s="14" t="s">
        <v>3339</v>
      </c>
      <c r="F3620" s="11">
        <v>180</v>
      </c>
    </row>
    <row r="3621" spans="2:6" x14ac:dyDescent="0.3">
      <c r="B3621" s="12">
        <v>3618</v>
      </c>
      <c r="C3621" s="28">
        <v>157.42748273458341</v>
      </c>
      <c r="E3621" s="14" t="s">
        <v>617</v>
      </c>
      <c r="F3621" s="11">
        <v>182</v>
      </c>
    </row>
    <row r="3622" spans="2:6" x14ac:dyDescent="0.3">
      <c r="B3622" s="12">
        <v>3619</v>
      </c>
      <c r="C3622" s="28">
        <v>163.18835637575083</v>
      </c>
      <c r="E3622" s="14" t="s">
        <v>3741</v>
      </c>
      <c r="F3622" s="11">
        <v>168</v>
      </c>
    </row>
    <row r="3623" spans="2:6" x14ac:dyDescent="0.3">
      <c r="B3623" s="12">
        <v>3620</v>
      </c>
      <c r="C3623" s="28">
        <v>164.17046489189539</v>
      </c>
      <c r="E3623" s="14" t="s">
        <v>1746</v>
      </c>
      <c r="F3623" s="11">
        <v>173</v>
      </c>
    </row>
    <row r="3624" spans="2:6" x14ac:dyDescent="0.3">
      <c r="B3624" s="12">
        <v>3621</v>
      </c>
      <c r="C3624" s="28">
        <v>145.91081707099531</v>
      </c>
      <c r="E3624" s="14" t="s">
        <v>2141</v>
      </c>
      <c r="F3624" s="11">
        <v>172</v>
      </c>
    </row>
    <row r="3625" spans="2:6" x14ac:dyDescent="0.3">
      <c r="B3625" s="12">
        <v>3622</v>
      </c>
      <c r="C3625" s="28">
        <v>157.31174524441087</v>
      </c>
      <c r="E3625" s="14" t="s">
        <v>2174</v>
      </c>
      <c r="F3625" s="11">
        <v>160</v>
      </c>
    </row>
    <row r="3626" spans="2:6" x14ac:dyDescent="0.3">
      <c r="B3626" s="12">
        <v>3623</v>
      </c>
      <c r="C3626" s="28">
        <v>153.23912176805027</v>
      </c>
      <c r="E3626" s="14" t="s">
        <v>1043</v>
      </c>
      <c r="F3626" s="11">
        <v>173</v>
      </c>
    </row>
    <row r="3627" spans="2:6" x14ac:dyDescent="0.3">
      <c r="B3627" s="12">
        <v>3624</v>
      </c>
      <c r="C3627" s="28">
        <v>162.86411846186144</v>
      </c>
      <c r="E3627" s="14" t="s">
        <v>1222</v>
      </c>
      <c r="F3627" s="11">
        <v>164</v>
      </c>
    </row>
    <row r="3628" spans="2:6" x14ac:dyDescent="0.3">
      <c r="B3628" s="12">
        <v>3625</v>
      </c>
      <c r="C3628" s="28">
        <v>171.50167211896951</v>
      </c>
      <c r="E3628" s="14" t="s">
        <v>4614</v>
      </c>
      <c r="F3628" s="11">
        <v>165</v>
      </c>
    </row>
    <row r="3629" spans="2:6" x14ac:dyDescent="0.3">
      <c r="B3629" s="12">
        <v>3626</v>
      </c>
      <c r="C3629" s="28">
        <v>169.45504621112789</v>
      </c>
      <c r="E3629" s="14" t="s">
        <v>4808</v>
      </c>
      <c r="F3629" s="11">
        <v>171</v>
      </c>
    </row>
    <row r="3630" spans="2:6" x14ac:dyDescent="0.3">
      <c r="B3630" s="12">
        <v>3627</v>
      </c>
      <c r="C3630" s="28">
        <v>152.05682416710232</v>
      </c>
      <c r="E3630" s="14" t="s">
        <v>1745</v>
      </c>
      <c r="F3630" s="11">
        <v>178</v>
      </c>
    </row>
    <row r="3631" spans="2:6" x14ac:dyDescent="0.3">
      <c r="B3631" s="12">
        <v>3628</v>
      </c>
      <c r="C3631" s="28">
        <v>154.24188918028082</v>
      </c>
      <c r="E3631" s="14" t="s">
        <v>2222</v>
      </c>
      <c r="F3631" s="11">
        <v>174</v>
      </c>
    </row>
    <row r="3632" spans="2:6" x14ac:dyDescent="0.3">
      <c r="B3632" s="12">
        <v>3629</v>
      </c>
      <c r="C3632" s="28">
        <v>159.80254848674133</v>
      </c>
      <c r="E3632" s="14" t="s">
        <v>594</v>
      </c>
      <c r="F3632" s="11">
        <v>196</v>
      </c>
    </row>
    <row r="3633" spans="2:6" x14ac:dyDescent="0.3">
      <c r="B3633" s="12">
        <v>3630</v>
      </c>
      <c r="C3633" s="28">
        <v>174.76392157014712</v>
      </c>
      <c r="E3633" s="14" t="s">
        <v>2203</v>
      </c>
      <c r="F3633" s="11">
        <v>176</v>
      </c>
    </row>
    <row r="3634" spans="2:6" x14ac:dyDescent="0.3">
      <c r="B3634" s="12">
        <v>3631</v>
      </c>
      <c r="C3634" s="28">
        <v>173.79484938735965</v>
      </c>
      <c r="E3634" s="14" t="s">
        <v>3475</v>
      </c>
      <c r="F3634" s="11">
        <v>167</v>
      </c>
    </row>
    <row r="3635" spans="2:6" x14ac:dyDescent="0.3">
      <c r="B3635" s="12">
        <v>3632</v>
      </c>
      <c r="C3635" s="28">
        <v>151.85463323499886</v>
      </c>
      <c r="E3635" s="14" t="s">
        <v>723</v>
      </c>
      <c r="F3635" s="11">
        <v>176</v>
      </c>
    </row>
    <row r="3636" spans="2:6" x14ac:dyDescent="0.3">
      <c r="B3636" s="12">
        <v>3633</v>
      </c>
      <c r="C3636" s="28">
        <v>164.29900797176779</v>
      </c>
      <c r="E3636" s="14" t="s">
        <v>2130</v>
      </c>
      <c r="F3636" s="11">
        <v>168</v>
      </c>
    </row>
    <row r="3637" spans="2:6" x14ac:dyDescent="0.3">
      <c r="B3637" s="12">
        <v>3634</v>
      </c>
      <c r="C3637" s="28">
        <v>159.92358187734922</v>
      </c>
      <c r="E3637" s="14" t="s">
        <v>3913</v>
      </c>
      <c r="F3637" s="11">
        <v>176</v>
      </c>
    </row>
    <row r="3638" spans="2:6" x14ac:dyDescent="0.3">
      <c r="B3638" s="12">
        <v>3635</v>
      </c>
      <c r="C3638" s="28">
        <v>170.84503264502248</v>
      </c>
      <c r="E3638" s="14" t="s">
        <v>4965</v>
      </c>
      <c r="F3638" s="11">
        <v>171</v>
      </c>
    </row>
    <row r="3639" spans="2:6" x14ac:dyDescent="0.3">
      <c r="B3639" s="12">
        <v>3636</v>
      </c>
      <c r="C3639" s="28">
        <v>183.10532932326575</v>
      </c>
      <c r="E3639" s="14" t="s">
        <v>389</v>
      </c>
      <c r="F3639" s="11">
        <v>169</v>
      </c>
    </row>
    <row r="3640" spans="2:6" x14ac:dyDescent="0.3">
      <c r="B3640" s="12">
        <v>3637</v>
      </c>
      <c r="C3640" s="28">
        <v>162.84148593355329</v>
      </c>
      <c r="E3640" s="14" t="s">
        <v>2038</v>
      </c>
      <c r="F3640" s="11">
        <v>178</v>
      </c>
    </row>
    <row r="3641" spans="2:6" x14ac:dyDescent="0.3">
      <c r="B3641" s="12">
        <v>3638</v>
      </c>
      <c r="C3641" s="28">
        <v>163.8340230376354</v>
      </c>
      <c r="E3641" s="14" t="s">
        <v>2370</v>
      </c>
      <c r="F3641" s="11">
        <v>176</v>
      </c>
    </row>
    <row r="3642" spans="2:6" x14ac:dyDescent="0.3">
      <c r="B3642" s="12">
        <v>3639</v>
      </c>
      <c r="C3642" s="28">
        <v>159.02416127209088</v>
      </c>
      <c r="E3642" s="14" t="s">
        <v>2704</v>
      </c>
      <c r="F3642" s="11">
        <v>165</v>
      </c>
    </row>
    <row r="3643" spans="2:6" x14ac:dyDescent="0.3">
      <c r="B3643" s="12">
        <v>3640</v>
      </c>
      <c r="C3643" s="28">
        <v>168.05103023262774</v>
      </c>
      <c r="E3643" s="14" t="s">
        <v>3736</v>
      </c>
      <c r="F3643" s="11">
        <v>183</v>
      </c>
    </row>
    <row r="3644" spans="2:6" x14ac:dyDescent="0.3">
      <c r="B3644" s="12">
        <v>3641</v>
      </c>
      <c r="C3644" s="28">
        <v>160.33775449496957</v>
      </c>
      <c r="E3644" s="14" t="s">
        <v>4869</v>
      </c>
      <c r="F3644" s="11">
        <v>175</v>
      </c>
    </row>
    <row r="3645" spans="2:6" x14ac:dyDescent="0.3">
      <c r="B3645" s="12">
        <v>3642</v>
      </c>
      <c r="C3645" s="28">
        <v>162.64960856302991</v>
      </c>
      <c r="E3645" s="14" t="s">
        <v>4452</v>
      </c>
      <c r="F3645" s="11">
        <v>161</v>
      </c>
    </row>
    <row r="3646" spans="2:6" x14ac:dyDescent="0.3">
      <c r="B3646" s="12">
        <v>3643</v>
      </c>
      <c r="C3646" s="28">
        <v>162.11350354334112</v>
      </c>
      <c r="E3646" s="14" t="s">
        <v>458</v>
      </c>
      <c r="F3646" s="11">
        <v>171</v>
      </c>
    </row>
    <row r="3647" spans="2:6" x14ac:dyDescent="0.3">
      <c r="B3647" s="12">
        <v>3644</v>
      </c>
      <c r="C3647" s="28">
        <v>157.89419280360028</v>
      </c>
      <c r="E3647" s="14" t="s">
        <v>432</v>
      </c>
      <c r="F3647" s="11">
        <v>178</v>
      </c>
    </row>
    <row r="3648" spans="2:6" x14ac:dyDescent="0.3">
      <c r="B3648" s="12">
        <v>3645</v>
      </c>
      <c r="C3648" s="28">
        <v>164.37027259638938</v>
      </c>
      <c r="E3648" s="14" t="s">
        <v>1708</v>
      </c>
      <c r="F3648" s="11">
        <v>183</v>
      </c>
    </row>
    <row r="3649" spans="2:6" x14ac:dyDescent="0.3">
      <c r="B3649" s="12">
        <v>3646</v>
      </c>
      <c r="C3649" s="28">
        <v>156.94512357100214</v>
      </c>
      <c r="E3649" s="14" t="s">
        <v>2023</v>
      </c>
      <c r="F3649" s="11">
        <v>172</v>
      </c>
    </row>
    <row r="3650" spans="2:6" x14ac:dyDescent="0.3">
      <c r="B3650" s="12">
        <v>3647</v>
      </c>
      <c r="C3650" s="28">
        <v>158.48739245178078</v>
      </c>
      <c r="E3650" s="14" t="s">
        <v>3826</v>
      </c>
      <c r="F3650" s="11">
        <v>177</v>
      </c>
    </row>
    <row r="3651" spans="2:6" x14ac:dyDescent="0.3">
      <c r="B3651" s="12">
        <v>3648</v>
      </c>
      <c r="C3651" s="28">
        <v>158.40728859712675</v>
      </c>
      <c r="E3651" s="14" t="s">
        <v>4892</v>
      </c>
      <c r="F3651" s="11">
        <v>165</v>
      </c>
    </row>
    <row r="3652" spans="2:6" x14ac:dyDescent="0.3">
      <c r="B3652" s="12">
        <v>3649</v>
      </c>
      <c r="C3652" s="28">
        <v>154.84103871625493</v>
      </c>
      <c r="E3652" s="14" t="s">
        <v>2355</v>
      </c>
      <c r="F3652" s="11">
        <v>178</v>
      </c>
    </row>
    <row r="3653" spans="2:6" x14ac:dyDescent="0.3">
      <c r="B3653" s="12">
        <v>3650</v>
      </c>
      <c r="C3653" s="28">
        <v>161.27806937946224</v>
      </c>
      <c r="E3653" s="14" t="s">
        <v>2401</v>
      </c>
      <c r="F3653" s="11">
        <v>174</v>
      </c>
    </row>
    <row r="3654" spans="2:6" x14ac:dyDescent="0.3">
      <c r="B3654" s="12">
        <v>3651</v>
      </c>
      <c r="C3654" s="28">
        <v>148.19245006353606</v>
      </c>
      <c r="E3654" s="14" t="s">
        <v>3762</v>
      </c>
      <c r="F3654" s="11">
        <v>176</v>
      </c>
    </row>
    <row r="3655" spans="2:6" x14ac:dyDescent="0.3">
      <c r="B3655" s="12">
        <v>3652</v>
      </c>
      <c r="C3655" s="28">
        <v>155.30370625667643</v>
      </c>
      <c r="E3655" s="14" t="s">
        <v>2177</v>
      </c>
      <c r="F3655" s="11">
        <v>167</v>
      </c>
    </row>
    <row r="3656" spans="2:6" x14ac:dyDescent="0.3">
      <c r="B3656" s="12">
        <v>3653</v>
      </c>
      <c r="C3656" s="28">
        <v>151.98354338960195</v>
      </c>
      <c r="E3656" s="14" t="s">
        <v>1888</v>
      </c>
      <c r="F3656" s="11">
        <v>174</v>
      </c>
    </row>
    <row r="3657" spans="2:6" x14ac:dyDescent="0.3">
      <c r="B3657" s="12">
        <v>3654</v>
      </c>
      <c r="C3657" s="28">
        <v>153.51173996964971</v>
      </c>
      <c r="E3657" s="14" t="s">
        <v>2866</v>
      </c>
      <c r="F3657" s="11">
        <v>158</v>
      </c>
    </row>
    <row r="3658" spans="2:6" x14ac:dyDescent="0.3">
      <c r="B3658" s="12">
        <v>3655</v>
      </c>
      <c r="C3658" s="28">
        <v>168.45300472952323</v>
      </c>
      <c r="E3658" s="14" t="s">
        <v>3424</v>
      </c>
      <c r="F3658" s="11">
        <v>174</v>
      </c>
    </row>
    <row r="3659" spans="2:6" x14ac:dyDescent="0.3">
      <c r="B3659" s="12">
        <v>3656</v>
      </c>
      <c r="C3659" s="28">
        <v>176.2293741493898</v>
      </c>
      <c r="E3659" s="14" t="s">
        <v>3861</v>
      </c>
      <c r="F3659" s="11">
        <v>172</v>
      </c>
    </row>
    <row r="3660" spans="2:6" x14ac:dyDescent="0.3">
      <c r="B3660" s="12">
        <v>3657</v>
      </c>
      <c r="C3660" s="28">
        <v>168.71593085272661</v>
      </c>
      <c r="E3660" s="14" t="s">
        <v>494</v>
      </c>
      <c r="F3660" s="11">
        <v>172</v>
      </c>
    </row>
    <row r="3661" spans="2:6" x14ac:dyDescent="0.3">
      <c r="B3661" s="12">
        <v>3658</v>
      </c>
      <c r="C3661" s="28">
        <v>158.88797199632953</v>
      </c>
      <c r="E3661" s="14" t="s">
        <v>3477</v>
      </c>
      <c r="F3661" s="11">
        <v>173</v>
      </c>
    </row>
    <row r="3662" spans="2:6" x14ac:dyDescent="0.3">
      <c r="B3662" s="12">
        <v>3659</v>
      </c>
      <c r="C3662" s="28">
        <v>162.65544552338494</v>
      </c>
      <c r="E3662" s="14" t="s">
        <v>118</v>
      </c>
      <c r="F3662" s="11">
        <v>169</v>
      </c>
    </row>
    <row r="3663" spans="2:6" x14ac:dyDescent="0.3">
      <c r="B3663" s="12">
        <v>3660</v>
      </c>
      <c r="C3663" s="28">
        <v>174.18206077232372</v>
      </c>
      <c r="E3663" s="14" t="s">
        <v>654</v>
      </c>
      <c r="F3663" s="11">
        <v>181</v>
      </c>
    </row>
    <row r="3664" spans="2:6" x14ac:dyDescent="0.3">
      <c r="B3664" s="12">
        <v>3661</v>
      </c>
      <c r="C3664" s="28">
        <v>159.00973647993925</v>
      </c>
      <c r="E3664" s="14" t="s">
        <v>1700</v>
      </c>
      <c r="F3664" s="11">
        <v>163</v>
      </c>
    </row>
    <row r="3665" spans="2:6" x14ac:dyDescent="0.3">
      <c r="B3665" s="12">
        <v>3662</v>
      </c>
      <c r="C3665" s="28">
        <v>167.79271592604761</v>
      </c>
      <c r="E3665" s="14" t="s">
        <v>2776</v>
      </c>
      <c r="F3665" s="11">
        <v>182</v>
      </c>
    </row>
    <row r="3666" spans="2:6" x14ac:dyDescent="0.3">
      <c r="B3666" s="12">
        <v>3663</v>
      </c>
      <c r="C3666" s="28">
        <v>151.4272516335306</v>
      </c>
      <c r="E3666" s="14" t="s">
        <v>1162</v>
      </c>
      <c r="F3666" s="11">
        <v>164</v>
      </c>
    </row>
    <row r="3667" spans="2:6" x14ac:dyDescent="0.3">
      <c r="B3667" s="12">
        <v>3664</v>
      </c>
      <c r="C3667" s="28">
        <v>159.75748282833206</v>
      </c>
      <c r="E3667" s="14" t="s">
        <v>4032</v>
      </c>
      <c r="F3667" s="11">
        <v>188</v>
      </c>
    </row>
    <row r="3668" spans="2:6" x14ac:dyDescent="0.3">
      <c r="B3668" s="12">
        <v>3665</v>
      </c>
      <c r="C3668" s="28">
        <v>160.47951812036479</v>
      </c>
      <c r="E3668" s="14" t="s">
        <v>4524</v>
      </c>
      <c r="F3668" s="11">
        <v>182</v>
      </c>
    </row>
    <row r="3669" spans="2:6" x14ac:dyDescent="0.3">
      <c r="B3669" s="12">
        <v>3666</v>
      </c>
      <c r="C3669" s="28">
        <v>176.03471873776951</v>
      </c>
      <c r="E3669" s="14" t="s">
        <v>3244</v>
      </c>
      <c r="F3669" s="11">
        <v>170</v>
      </c>
    </row>
    <row r="3670" spans="2:6" x14ac:dyDescent="0.3">
      <c r="B3670" s="12">
        <v>3667</v>
      </c>
      <c r="C3670" s="28">
        <v>159.9513143671879</v>
      </c>
      <c r="E3670" s="14" t="s">
        <v>3900</v>
      </c>
      <c r="F3670" s="11">
        <v>175</v>
      </c>
    </row>
    <row r="3671" spans="2:6" x14ac:dyDescent="0.3">
      <c r="B3671" s="12">
        <v>3668</v>
      </c>
      <c r="C3671" s="28">
        <v>157.93562712168296</v>
      </c>
      <c r="E3671" s="14" t="s">
        <v>3199</v>
      </c>
      <c r="F3671" s="11">
        <v>167</v>
      </c>
    </row>
    <row r="3672" spans="2:6" x14ac:dyDescent="0.3">
      <c r="B3672" s="12">
        <v>3669</v>
      </c>
      <c r="C3672" s="28">
        <v>157.61767808641187</v>
      </c>
      <c r="E3672" s="14" t="s">
        <v>36</v>
      </c>
      <c r="F3672" s="11">
        <v>166</v>
      </c>
    </row>
    <row r="3673" spans="2:6" x14ac:dyDescent="0.3">
      <c r="B3673" s="12">
        <v>3670</v>
      </c>
      <c r="C3673" s="28">
        <v>161.73708594584411</v>
      </c>
      <c r="E3673" s="14" t="s">
        <v>96</v>
      </c>
      <c r="F3673" s="11">
        <v>183</v>
      </c>
    </row>
    <row r="3674" spans="2:6" x14ac:dyDescent="0.3">
      <c r="B3674" s="12">
        <v>3671</v>
      </c>
      <c r="C3674" s="28">
        <v>162.5072520010865</v>
      </c>
      <c r="E3674" s="14" t="s">
        <v>3171</v>
      </c>
      <c r="F3674" s="11">
        <v>152</v>
      </c>
    </row>
    <row r="3675" spans="2:6" x14ac:dyDescent="0.3">
      <c r="B3675" s="12">
        <v>3672</v>
      </c>
      <c r="C3675" s="28">
        <v>162.16597912046345</v>
      </c>
      <c r="E3675" s="14" t="s">
        <v>645</v>
      </c>
      <c r="F3675" s="11">
        <v>174</v>
      </c>
    </row>
    <row r="3676" spans="2:6" x14ac:dyDescent="0.3">
      <c r="B3676" s="12">
        <v>3673</v>
      </c>
      <c r="C3676" s="28">
        <v>171.2349848159873</v>
      </c>
      <c r="E3676" s="14" t="s">
        <v>1838</v>
      </c>
      <c r="F3676" s="11">
        <v>167</v>
      </c>
    </row>
    <row r="3677" spans="2:6" x14ac:dyDescent="0.3">
      <c r="B3677" s="12">
        <v>3674</v>
      </c>
      <c r="C3677" s="28">
        <v>157.97107493453751</v>
      </c>
      <c r="E3677" s="14" t="s">
        <v>2323</v>
      </c>
      <c r="F3677" s="11">
        <v>144</v>
      </c>
    </row>
    <row r="3678" spans="2:6" x14ac:dyDescent="0.3">
      <c r="B3678" s="12">
        <v>3675</v>
      </c>
      <c r="C3678" s="28">
        <v>152.78232694536945</v>
      </c>
      <c r="E3678" s="14" t="s">
        <v>1846</v>
      </c>
      <c r="F3678" s="11">
        <v>154</v>
      </c>
    </row>
    <row r="3679" spans="2:6" x14ac:dyDescent="0.3">
      <c r="B3679" s="12">
        <v>3676</v>
      </c>
      <c r="C3679" s="28">
        <v>164.03302272601138</v>
      </c>
      <c r="E3679" s="14" t="s">
        <v>754</v>
      </c>
      <c r="F3679" s="11">
        <v>150</v>
      </c>
    </row>
    <row r="3680" spans="2:6" x14ac:dyDescent="0.3">
      <c r="B3680" s="12">
        <v>3677</v>
      </c>
      <c r="C3680" s="28">
        <v>164.10070585299079</v>
      </c>
      <c r="E3680" s="14" t="s">
        <v>4551</v>
      </c>
      <c r="F3680" s="11">
        <v>171</v>
      </c>
    </row>
    <row r="3681" spans="2:6" x14ac:dyDescent="0.3">
      <c r="B3681" s="12">
        <v>3678</v>
      </c>
      <c r="C3681" s="28">
        <v>154.57815885743889</v>
      </c>
      <c r="E3681" s="14" t="s">
        <v>1978</v>
      </c>
      <c r="F3681" s="11">
        <v>187</v>
      </c>
    </row>
    <row r="3682" spans="2:6" x14ac:dyDescent="0.3">
      <c r="B3682" s="12">
        <v>3679</v>
      </c>
      <c r="C3682" s="28">
        <v>168.75140253763954</v>
      </c>
      <c r="E3682" s="14" t="s">
        <v>4223</v>
      </c>
      <c r="F3682" s="11">
        <v>190</v>
      </c>
    </row>
    <row r="3683" spans="2:6" x14ac:dyDescent="0.3">
      <c r="B3683" s="12">
        <v>3680</v>
      </c>
      <c r="C3683" s="28">
        <v>175.74370725753883</v>
      </c>
      <c r="E3683" s="14" t="s">
        <v>1337</v>
      </c>
      <c r="F3683" s="11">
        <v>170</v>
      </c>
    </row>
    <row r="3684" spans="2:6" x14ac:dyDescent="0.3">
      <c r="B3684" s="12">
        <v>3681</v>
      </c>
      <c r="C3684" s="28">
        <v>157.705618270266</v>
      </c>
      <c r="E3684" s="14" t="s">
        <v>3208</v>
      </c>
      <c r="F3684" s="11">
        <v>168</v>
      </c>
    </row>
    <row r="3685" spans="2:6" x14ac:dyDescent="0.3">
      <c r="B3685" s="12">
        <v>3682</v>
      </c>
      <c r="C3685" s="28">
        <v>156.67489258269177</v>
      </c>
      <c r="E3685" s="14" t="s">
        <v>3211</v>
      </c>
      <c r="F3685" s="11">
        <v>168</v>
      </c>
    </row>
    <row r="3686" spans="2:6" x14ac:dyDescent="0.3">
      <c r="B3686" s="12">
        <v>3683</v>
      </c>
      <c r="C3686" s="28">
        <v>164.10613585077547</v>
      </c>
      <c r="E3686" s="14" t="s">
        <v>4389</v>
      </c>
      <c r="F3686" s="11">
        <v>189</v>
      </c>
    </row>
    <row r="3687" spans="2:6" x14ac:dyDescent="0.3">
      <c r="B3687" s="12">
        <v>3684</v>
      </c>
      <c r="C3687" s="28">
        <v>168.13248446993308</v>
      </c>
      <c r="E3687" s="14" t="s">
        <v>4312</v>
      </c>
      <c r="F3687" s="11">
        <v>179</v>
      </c>
    </row>
    <row r="3688" spans="2:6" x14ac:dyDescent="0.3">
      <c r="B3688" s="12">
        <v>3685</v>
      </c>
      <c r="C3688" s="28">
        <v>168.03830978768187</v>
      </c>
      <c r="E3688" s="14" t="s">
        <v>3593</v>
      </c>
      <c r="F3688" s="11">
        <v>164</v>
      </c>
    </row>
    <row r="3689" spans="2:6" x14ac:dyDescent="0.3">
      <c r="B3689" s="12">
        <v>3686</v>
      </c>
      <c r="C3689" s="28">
        <v>155.15372502555545</v>
      </c>
      <c r="E3689" s="14" t="s">
        <v>2735</v>
      </c>
      <c r="F3689" s="11">
        <v>173</v>
      </c>
    </row>
    <row r="3690" spans="2:6" x14ac:dyDescent="0.3">
      <c r="B3690" s="12">
        <v>3687</v>
      </c>
      <c r="C3690" s="28">
        <v>162.04192222516625</v>
      </c>
      <c r="E3690" s="14" t="s">
        <v>3545</v>
      </c>
      <c r="F3690" s="11">
        <v>173</v>
      </c>
    </row>
    <row r="3691" spans="2:6" x14ac:dyDescent="0.3">
      <c r="B3691" s="12">
        <v>3688</v>
      </c>
      <c r="C3691" s="28">
        <v>159.64338228865779</v>
      </c>
      <c r="E3691" s="14" t="s">
        <v>2623</v>
      </c>
      <c r="F3691" s="11">
        <v>174</v>
      </c>
    </row>
    <row r="3692" spans="2:6" x14ac:dyDescent="0.3">
      <c r="B3692" s="12">
        <v>3689</v>
      </c>
      <c r="C3692" s="28">
        <v>162.29429830809812</v>
      </c>
      <c r="E3692" s="14" t="s">
        <v>3852</v>
      </c>
      <c r="F3692" s="11">
        <v>165</v>
      </c>
    </row>
    <row r="3693" spans="2:6" x14ac:dyDescent="0.3">
      <c r="B3693" s="12">
        <v>3690</v>
      </c>
      <c r="C3693" s="28">
        <v>157.54621617454734</v>
      </c>
      <c r="E3693" s="14" t="s">
        <v>1101</v>
      </c>
      <c r="F3693" s="11">
        <v>170</v>
      </c>
    </row>
    <row r="3694" spans="2:6" x14ac:dyDescent="0.3">
      <c r="B3694" s="12">
        <v>3691</v>
      </c>
      <c r="C3694" s="28">
        <v>160.28252969587658</v>
      </c>
      <c r="E3694" s="14" t="s">
        <v>3077</v>
      </c>
      <c r="F3694" s="11">
        <v>164</v>
      </c>
    </row>
    <row r="3695" spans="2:6" x14ac:dyDescent="0.3">
      <c r="B3695" s="12">
        <v>3692</v>
      </c>
      <c r="C3695" s="28">
        <v>154.0723311765781</v>
      </c>
      <c r="E3695" s="14" t="s">
        <v>4662</v>
      </c>
      <c r="F3695" s="11">
        <v>161</v>
      </c>
    </row>
    <row r="3696" spans="2:6" x14ac:dyDescent="0.3">
      <c r="B3696" s="12">
        <v>3693</v>
      </c>
      <c r="C3696" s="28">
        <v>141.35580467033196</v>
      </c>
      <c r="E3696" s="14" t="s">
        <v>3243</v>
      </c>
      <c r="F3696" s="11">
        <v>173</v>
      </c>
    </row>
    <row r="3697" spans="2:6" x14ac:dyDescent="0.3">
      <c r="B3697" s="12">
        <v>3694</v>
      </c>
      <c r="C3697" s="28">
        <v>165.03375475650827</v>
      </c>
      <c r="E3697" s="14" t="s">
        <v>4422</v>
      </c>
      <c r="F3697" s="11">
        <v>165</v>
      </c>
    </row>
    <row r="3698" spans="2:6" x14ac:dyDescent="0.3">
      <c r="B3698" s="12">
        <v>3695</v>
      </c>
      <c r="C3698" s="28">
        <v>156.43975386778266</v>
      </c>
      <c r="E3698" s="14" t="s">
        <v>4600</v>
      </c>
      <c r="F3698" s="11">
        <v>167</v>
      </c>
    </row>
    <row r="3699" spans="2:6" x14ac:dyDescent="0.3">
      <c r="B3699" s="12">
        <v>3696</v>
      </c>
      <c r="C3699" s="28">
        <v>153.94062176681609</v>
      </c>
      <c r="E3699" s="14" t="s">
        <v>3631</v>
      </c>
      <c r="F3699" s="11">
        <v>159</v>
      </c>
    </row>
    <row r="3700" spans="2:6" x14ac:dyDescent="0.3">
      <c r="B3700" s="12">
        <v>3697</v>
      </c>
      <c r="C3700" s="28">
        <v>156.28307037392727</v>
      </c>
      <c r="E3700" s="14" t="s">
        <v>3245</v>
      </c>
      <c r="F3700" s="11">
        <v>165</v>
      </c>
    </row>
    <row r="3701" spans="2:6" x14ac:dyDescent="0.3">
      <c r="B3701" s="12">
        <v>3698</v>
      </c>
      <c r="C3701" s="28">
        <v>172.16031489308898</v>
      </c>
      <c r="E3701" s="14" t="s">
        <v>4755</v>
      </c>
      <c r="F3701" s="11">
        <v>173</v>
      </c>
    </row>
    <row r="3702" spans="2:6" x14ac:dyDescent="0.3">
      <c r="B3702" s="12">
        <v>3699</v>
      </c>
      <c r="C3702" s="28">
        <v>170.12115223629115</v>
      </c>
      <c r="E3702" s="14" t="s">
        <v>2936</v>
      </c>
      <c r="F3702" s="11">
        <v>164</v>
      </c>
    </row>
    <row r="3703" spans="2:6" x14ac:dyDescent="0.3">
      <c r="B3703" s="12">
        <v>3700</v>
      </c>
      <c r="C3703" s="28">
        <v>166.91476282826744</v>
      </c>
      <c r="E3703" s="14" t="s">
        <v>3341</v>
      </c>
      <c r="F3703" s="11">
        <v>145</v>
      </c>
    </row>
    <row r="3704" spans="2:6" x14ac:dyDescent="0.3">
      <c r="B3704" s="12">
        <v>3701</v>
      </c>
      <c r="C3704" s="28">
        <v>161.34508696150783</v>
      </c>
      <c r="E3704" s="14" t="s">
        <v>1186</v>
      </c>
      <c r="F3704" s="11">
        <v>156</v>
      </c>
    </row>
    <row r="3705" spans="2:6" x14ac:dyDescent="0.3">
      <c r="B3705" s="12">
        <v>3702</v>
      </c>
      <c r="C3705" s="28">
        <v>169.53812456110165</v>
      </c>
      <c r="E3705" s="14" t="s">
        <v>1126</v>
      </c>
      <c r="F3705" s="11">
        <v>190</v>
      </c>
    </row>
    <row r="3706" spans="2:6" x14ac:dyDescent="0.3">
      <c r="B3706" s="12">
        <v>3703</v>
      </c>
      <c r="C3706" s="28">
        <v>165.25264216890554</v>
      </c>
      <c r="E3706" s="14" t="s">
        <v>3340</v>
      </c>
      <c r="F3706" s="11">
        <v>162</v>
      </c>
    </row>
    <row r="3707" spans="2:6" x14ac:dyDescent="0.3">
      <c r="B3707" s="12">
        <v>3704</v>
      </c>
      <c r="C3707" s="28">
        <v>168.46331900585704</v>
      </c>
      <c r="E3707" s="14" t="s">
        <v>3251</v>
      </c>
      <c r="F3707" s="11">
        <v>170</v>
      </c>
    </row>
    <row r="3708" spans="2:6" x14ac:dyDescent="0.3">
      <c r="B3708" s="12">
        <v>3705</v>
      </c>
      <c r="C3708" s="28">
        <v>163.60336789701418</v>
      </c>
      <c r="E3708" s="14" t="s">
        <v>1649</v>
      </c>
      <c r="F3708" s="11">
        <v>168</v>
      </c>
    </row>
    <row r="3709" spans="2:6" x14ac:dyDescent="0.3">
      <c r="B3709" s="12">
        <v>3706</v>
      </c>
      <c r="C3709" s="28">
        <v>169.29510975872864</v>
      </c>
      <c r="E3709" s="14" t="s">
        <v>3259</v>
      </c>
      <c r="F3709" s="11">
        <v>167</v>
      </c>
    </row>
    <row r="3710" spans="2:6" x14ac:dyDescent="0.3">
      <c r="B3710" s="12">
        <v>3707</v>
      </c>
      <c r="C3710" s="28">
        <v>159.46892075644644</v>
      </c>
      <c r="E3710" s="14" t="s">
        <v>3260</v>
      </c>
      <c r="F3710" s="11">
        <v>168</v>
      </c>
    </row>
    <row r="3711" spans="2:6" x14ac:dyDescent="0.3">
      <c r="B3711" s="12">
        <v>3708</v>
      </c>
      <c r="C3711" s="28">
        <v>154.12460359031499</v>
      </c>
      <c r="E3711" s="14" t="s">
        <v>3261</v>
      </c>
      <c r="F3711" s="11">
        <v>168</v>
      </c>
    </row>
    <row r="3712" spans="2:6" x14ac:dyDescent="0.3">
      <c r="B3712" s="12">
        <v>3709</v>
      </c>
      <c r="C3712" s="28">
        <v>159.7625084877219</v>
      </c>
      <c r="E3712" s="14" t="s">
        <v>3262</v>
      </c>
      <c r="F3712" s="11">
        <v>186</v>
      </c>
    </row>
    <row r="3713" spans="2:6" x14ac:dyDescent="0.3">
      <c r="B3713" s="12">
        <v>3710</v>
      </c>
      <c r="C3713" s="28">
        <v>172.11271030905121</v>
      </c>
      <c r="E3713" s="14" t="s">
        <v>3263</v>
      </c>
      <c r="F3713" s="11">
        <v>162</v>
      </c>
    </row>
    <row r="3714" spans="2:6" x14ac:dyDescent="0.3">
      <c r="B3714" s="12">
        <v>3711</v>
      </c>
      <c r="C3714" s="28">
        <v>167.52021552832252</v>
      </c>
      <c r="E3714" s="14" t="s">
        <v>3264</v>
      </c>
      <c r="F3714" s="11">
        <v>160</v>
      </c>
    </row>
    <row r="3715" spans="2:6" x14ac:dyDescent="0.3">
      <c r="B3715" s="12">
        <v>3712</v>
      </c>
      <c r="C3715" s="28">
        <v>158.83972496178214</v>
      </c>
      <c r="E3715" s="14" t="s">
        <v>3265</v>
      </c>
      <c r="F3715" s="11">
        <v>173</v>
      </c>
    </row>
    <row r="3716" spans="2:6" x14ac:dyDescent="0.3">
      <c r="B3716" s="12">
        <v>3713</v>
      </c>
      <c r="C3716" s="28">
        <v>162.31785606289387</v>
      </c>
      <c r="E3716" s="14" t="s">
        <v>3266</v>
      </c>
      <c r="F3716" s="11">
        <v>168</v>
      </c>
    </row>
    <row r="3717" spans="2:6" x14ac:dyDescent="0.3">
      <c r="B3717" s="12">
        <v>3714</v>
      </c>
      <c r="C3717" s="28">
        <v>167.61962233565407</v>
      </c>
      <c r="E3717" s="14" t="s">
        <v>3267</v>
      </c>
      <c r="F3717" s="11">
        <v>160</v>
      </c>
    </row>
    <row r="3718" spans="2:6" x14ac:dyDescent="0.3">
      <c r="B3718" s="12">
        <v>3715</v>
      </c>
      <c r="C3718" s="28">
        <v>157.18234739753956</v>
      </c>
      <c r="E3718" s="14" t="s">
        <v>1397</v>
      </c>
      <c r="F3718" s="11">
        <v>169</v>
      </c>
    </row>
    <row r="3719" spans="2:6" x14ac:dyDescent="0.3">
      <c r="B3719" s="12">
        <v>3716</v>
      </c>
      <c r="C3719" s="28">
        <v>154.3658050144075</v>
      </c>
      <c r="E3719" s="14" t="s">
        <v>1</v>
      </c>
      <c r="F3719" s="11">
        <v>165</v>
      </c>
    </row>
    <row r="3720" spans="2:6" x14ac:dyDescent="0.3">
      <c r="B3720" s="12">
        <v>3717</v>
      </c>
      <c r="C3720" s="28">
        <v>164.44322055384572</v>
      </c>
      <c r="E3720" s="14" t="s">
        <v>1318</v>
      </c>
      <c r="F3720" s="11">
        <v>173</v>
      </c>
    </row>
    <row r="3721" spans="2:6" x14ac:dyDescent="0.3">
      <c r="B3721" s="12">
        <v>3718</v>
      </c>
      <c r="C3721" s="28">
        <v>167.92189148047169</v>
      </c>
      <c r="E3721" s="14" t="s">
        <v>2600</v>
      </c>
      <c r="F3721" s="11">
        <v>167</v>
      </c>
    </row>
    <row r="3722" spans="2:6" x14ac:dyDescent="0.3">
      <c r="B3722" s="12">
        <v>3719</v>
      </c>
      <c r="C3722" s="28">
        <v>153.24676585804553</v>
      </c>
      <c r="E3722" s="14" t="s">
        <v>403</v>
      </c>
      <c r="F3722" s="11">
        <v>150</v>
      </c>
    </row>
    <row r="3723" spans="2:6" x14ac:dyDescent="0.3">
      <c r="B3723" s="12">
        <v>3720</v>
      </c>
      <c r="C3723" s="28">
        <v>172.04899020469412</v>
      </c>
      <c r="E3723" s="14" t="s">
        <v>681</v>
      </c>
      <c r="F3723" s="11">
        <v>178</v>
      </c>
    </row>
    <row r="3724" spans="2:6" x14ac:dyDescent="0.3">
      <c r="B3724" s="12">
        <v>3721</v>
      </c>
      <c r="C3724" s="28">
        <v>168.16667797737651</v>
      </c>
      <c r="E3724" s="14" t="s">
        <v>1150</v>
      </c>
      <c r="F3724" s="11">
        <v>180</v>
      </c>
    </row>
    <row r="3725" spans="2:6" x14ac:dyDescent="0.3">
      <c r="B3725" s="12">
        <v>3722</v>
      </c>
      <c r="C3725" s="28">
        <v>171.21865061313912</v>
      </c>
      <c r="E3725" s="14" t="s">
        <v>1369</v>
      </c>
      <c r="F3725" s="11">
        <v>163</v>
      </c>
    </row>
    <row r="3726" spans="2:6" x14ac:dyDescent="0.3">
      <c r="B3726" s="12">
        <v>3723</v>
      </c>
      <c r="C3726" s="28">
        <v>165.17384202897682</v>
      </c>
      <c r="E3726" s="14" t="s">
        <v>1675</v>
      </c>
      <c r="F3726" s="11">
        <v>163</v>
      </c>
    </row>
    <row r="3727" spans="2:6" x14ac:dyDescent="0.3">
      <c r="B3727" s="12">
        <v>3724</v>
      </c>
      <c r="C3727" s="28">
        <v>157.24224048773993</v>
      </c>
      <c r="E3727" s="14" t="s">
        <v>4599</v>
      </c>
      <c r="F3727" s="11">
        <v>175</v>
      </c>
    </row>
    <row r="3728" spans="2:6" x14ac:dyDescent="0.3">
      <c r="B3728" s="12">
        <v>3725</v>
      </c>
      <c r="C3728" s="28">
        <v>168.18096890254671</v>
      </c>
      <c r="E3728" s="14" t="s">
        <v>4219</v>
      </c>
      <c r="F3728" s="11">
        <v>170</v>
      </c>
    </row>
    <row r="3729" spans="2:6" x14ac:dyDescent="0.3">
      <c r="B3729" s="12">
        <v>3726</v>
      </c>
      <c r="C3729" s="28">
        <v>168.42593666187031</v>
      </c>
      <c r="E3729" s="14" t="s">
        <v>3108</v>
      </c>
      <c r="F3729" s="11">
        <v>165</v>
      </c>
    </row>
    <row r="3730" spans="2:6" x14ac:dyDescent="0.3">
      <c r="B3730" s="12">
        <v>3727</v>
      </c>
      <c r="C3730" s="28">
        <v>164.41386367624671</v>
      </c>
      <c r="E3730" s="14" t="s">
        <v>3814</v>
      </c>
      <c r="F3730" s="11">
        <v>165</v>
      </c>
    </row>
    <row r="3731" spans="2:6" x14ac:dyDescent="0.3">
      <c r="B3731" s="12">
        <v>3728</v>
      </c>
      <c r="C3731" s="28">
        <v>163.31651604289326</v>
      </c>
      <c r="E3731" s="14" t="s">
        <v>3386</v>
      </c>
      <c r="F3731" s="11">
        <v>162</v>
      </c>
    </row>
    <row r="3732" spans="2:6" x14ac:dyDescent="0.3">
      <c r="B3732" s="12">
        <v>3729</v>
      </c>
      <c r="C3732" s="28">
        <v>162.62279323110113</v>
      </c>
      <c r="E3732" s="14" t="s">
        <v>4775</v>
      </c>
      <c r="F3732" s="11">
        <v>173</v>
      </c>
    </row>
    <row r="3733" spans="2:6" x14ac:dyDescent="0.3">
      <c r="B3733" s="12">
        <v>3730</v>
      </c>
      <c r="C3733" s="28">
        <v>167.1729519389857</v>
      </c>
      <c r="E3733" s="14" t="s">
        <v>3258</v>
      </c>
      <c r="F3733" s="11">
        <v>150</v>
      </c>
    </row>
    <row r="3734" spans="2:6" x14ac:dyDescent="0.3">
      <c r="B3734" s="12">
        <v>3731</v>
      </c>
      <c r="C3734" s="28">
        <v>164.17207745788485</v>
      </c>
      <c r="E3734" s="14" t="s">
        <v>4359</v>
      </c>
      <c r="F3734" s="11">
        <v>164</v>
      </c>
    </row>
    <row r="3735" spans="2:6" x14ac:dyDescent="0.3">
      <c r="B3735" s="12">
        <v>3732</v>
      </c>
      <c r="C3735" s="28">
        <v>151.27454709042036</v>
      </c>
      <c r="E3735" s="14" t="s">
        <v>1451</v>
      </c>
      <c r="F3735" s="11">
        <v>173</v>
      </c>
    </row>
    <row r="3736" spans="2:6" x14ac:dyDescent="0.3">
      <c r="B3736" s="12">
        <v>3733</v>
      </c>
      <c r="C3736" s="28">
        <v>179.87654624943235</v>
      </c>
      <c r="E3736" s="14" t="s">
        <v>1818</v>
      </c>
      <c r="F3736" s="11">
        <v>156</v>
      </c>
    </row>
    <row r="3737" spans="2:6" x14ac:dyDescent="0.3">
      <c r="B3737" s="12">
        <v>3734</v>
      </c>
      <c r="C3737" s="28">
        <v>169.28186641360071</v>
      </c>
      <c r="E3737" s="14" t="s">
        <v>1960</v>
      </c>
      <c r="F3737" s="11">
        <v>168</v>
      </c>
    </row>
    <row r="3738" spans="2:6" x14ac:dyDescent="0.3">
      <c r="B3738" s="12">
        <v>3735</v>
      </c>
      <c r="C3738" s="28">
        <v>159.65814492831942</v>
      </c>
      <c r="E3738" s="14" t="s">
        <v>2354</v>
      </c>
      <c r="F3738" s="11">
        <v>187</v>
      </c>
    </row>
    <row r="3739" spans="2:6" x14ac:dyDescent="0.3">
      <c r="B3739" s="12">
        <v>3736</v>
      </c>
      <c r="C3739" s="28">
        <v>156.02256179926601</v>
      </c>
      <c r="E3739" s="14" t="s">
        <v>3107</v>
      </c>
      <c r="F3739" s="11">
        <v>160</v>
      </c>
    </row>
    <row r="3740" spans="2:6" x14ac:dyDescent="0.3">
      <c r="B3740" s="12">
        <v>3737</v>
      </c>
      <c r="C3740" s="28">
        <v>180.2146740902713</v>
      </c>
      <c r="E3740" s="14" t="s">
        <v>2741</v>
      </c>
      <c r="F3740" s="11">
        <v>171</v>
      </c>
    </row>
    <row r="3741" spans="2:6" x14ac:dyDescent="0.3">
      <c r="B3741" s="12">
        <v>3738</v>
      </c>
      <c r="C3741" s="28">
        <v>165.27831919287524</v>
      </c>
      <c r="E3741" s="14" t="s">
        <v>3605</v>
      </c>
      <c r="F3741" s="11">
        <v>165</v>
      </c>
    </row>
    <row r="3742" spans="2:6" x14ac:dyDescent="0.3">
      <c r="B3742" s="12">
        <v>3739</v>
      </c>
      <c r="C3742" s="28">
        <v>160.71060809993929</v>
      </c>
      <c r="E3742" s="14" t="s">
        <v>3073</v>
      </c>
      <c r="F3742" s="11">
        <v>181</v>
      </c>
    </row>
    <row r="3743" spans="2:6" x14ac:dyDescent="0.3">
      <c r="B3743" s="12">
        <v>3740</v>
      </c>
      <c r="C3743" s="28">
        <v>170.48430329208614</v>
      </c>
      <c r="E3743" s="14" t="s">
        <v>4455</v>
      </c>
      <c r="F3743" s="11">
        <v>181</v>
      </c>
    </row>
    <row r="3744" spans="2:6" x14ac:dyDescent="0.3">
      <c r="B3744" s="12">
        <v>3741</v>
      </c>
      <c r="C3744" s="28">
        <v>158.93337649360595</v>
      </c>
      <c r="E3744" s="14" t="s">
        <v>606</v>
      </c>
      <c r="F3744" s="11">
        <v>170</v>
      </c>
    </row>
    <row r="3745" spans="2:6" x14ac:dyDescent="0.3">
      <c r="B3745" s="12">
        <v>3742</v>
      </c>
      <c r="C3745" s="28">
        <v>153.52004112977079</v>
      </c>
      <c r="E3745" s="14" t="s">
        <v>1518</v>
      </c>
      <c r="F3745" s="11">
        <v>183</v>
      </c>
    </row>
    <row r="3746" spans="2:6" x14ac:dyDescent="0.3">
      <c r="B3746" s="12">
        <v>3743</v>
      </c>
      <c r="C3746" s="28">
        <v>155.45259534252531</v>
      </c>
      <c r="E3746" s="14" t="s">
        <v>3854</v>
      </c>
      <c r="F3746" s="11">
        <v>175</v>
      </c>
    </row>
    <row r="3747" spans="2:6" x14ac:dyDescent="0.3">
      <c r="B3747" s="12">
        <v>3744</v>
      </c>
      <c r="C3747" s="28">
        <v>169.6705330090978</v>
      </c>
      <c r="E3747" s="14" t="s">
        <v>442</v>
      </c>
      <c r="F3747" s="11">
        <v>157</v>
      </c>
    </row>
    <row r="3748" spans="2:6" x14ac:dyDescent="0.3">
      <c r="B3748" s="12">
        <v>3745</v>
      </c>
      <c r="C3748" s="28">
        <v>162.90809322011444</v>
      </c>
      <c r="E3748" s="14" t="s">
        <v>1239</v>
      </c>
      <c r="F3748" s="11">
        <v>164</v>
      </c>
    </row>
    <row r="3749" spans="2:6" x14ac:dyDescent="0.3">
      <c r="B3749" s="12">
        <v>3746</v>
      </c>
      <c r="C3749" s="28">
        <v>169.86938492753163</v>
      </c>
      <c r="E3749" s="14" t="s">
        <v>1576</v>
      </c>
      <c r="F3749" s="11">
        <v>172</v>
      </c>
    </row>
    <row r="3750" spans="2:6" x14ac:dyDescent="0.3">
      <c r="B3750" s="12">
        <v>3747</v>
      </c>
      <c r="C3750" s="28">
        <v>156.3982000583149</v>
      </c>
      <c r="E3750" s="14" t="s">
        <v>3471</v>
      </c>
      <c r="F3750" s="11">
        <v>184</v>
      </c>
    </row>
    <row r="3751" spans="2:6" x14ac:dyDescent="0.3">
      <c r="B3751" s="12">
        <v>3748</v>
      </c>
      <c r="C3751" s="28">
        <v>176.44427452673449</v>
      </c>
      <c r="E3751" s="14" t="s">
        <v>3839</v>
      </c>
      <c r="F3751" s="11">
        <v>162</v>
      </c>
    </row>
    <row r="3752" spans="2:6" x14ac:dyDescent="0.3">
      <c r="B3752" s="12">
        <v>3749</v>
      </c>
      <c r="C3752" s="28">
        <v>179.57074315938797</v>
      </c>
      <c r="E3752" s="14" t="s">
        <v>2295</v>
      </c>
      <c r="F3752" s="11">
        <v>163</v>
      </c>
    </row>
    <row r="3753" spans="2:6" x14ac:dyDescent="0.3">
      <c r="B3753" s="12">
        <v>3750</v>
      </c>
      <c r="C3753" s="28">
        <v>158.35786968726856</v>
      </c>
      <c r="E3753" s="14" t="s">
        <v>3916</v>
      </c>
      <c r="F3753" s="11">
        <v>165</v>
      </c>
    </row>
    <row r="3754" spans="2:6" x14ac:dyDescent="0.3">
      <c r="B3754" s="12">
        <v>3751</v>
      </c>
      <c r="C3754" s="28">
        <v>159.3064812346787</v>
      </c>
      <c r="E3754" s="14" t="s">
        <v>4839</v>
      </c>
      <c r="F3754" s="11">
        <v>156</v>
      </c>
    </row>
    <row r="3755" spans="2:6" x14ac:dyDescent="0.3">
      <c r="B3755" s="12">
        <v>3752</v>
      </c>
      <c r="C3755" s="28">
        <v>163.38180121092185</v>
      </c>
      <c r="E3755" s="14" t="s">
        <v>3352</v>
      </c>
      <c r="F3755" s="11">
        <v>158</v>
      </c>
    </row>
    <row r="3756" spans="2:6" x14ac:dyDescent="0.3">
      <c r="B3756" s="12">
        <v>3753</v>
      </c>
      <c r="C3756" s="28">
        <v>159.74192015029644</v>
      </c>
      <c r="E3756" s="14" t="s">
        <v>3444</v>
      </c>
      <c r="F3756" s="11">
        <v>169</v>
      </c>
    </row>
    <row r="3757" spans="2:6" x14ac:dyDescent="0.3">
      <c r="B3757" s="12">
        <v>3754</v>
      </c>
      <c r="C3757" s="28">
        <v>164.09394619422898</v>
      </c>
      <c r="E3757" s="14" t="s">
        <v>3152</v>
      </c>
      <c r="F3757" s="11">
        <v>185</v>
      </c>
    </row>
    <row r="3758" spans="2:6" x14ac:dyDescent="0.3">
      <c r="B3758" s="12">
        <v>3755</v>
      </c>
      <c r="C3758" s="28">
        <v>154.70381893145324</v>
      </c>
      <c r="E3758" s="14" t="s">
        <v>4274</v>
      </c>
      <c r="F3758" s="11">
        <v>185</v>
      </c>
    </row>
    <row r="3759" spans="2:6" x14ac:dyDescent="0.3">
      <c r="B3759" s="12">
        <v>3756</v>
      </c>
      <c r="C3759" s="28">
        <v>158.6410959168137</v>
      </c>
      <c r="E3759" s="14" t="s">
        <v>3319</v>
      </c>
      <c r="F3759" s="11">
        <v>183</v>
      </c>
    </row>
    <row r="3760" spans="2:6" x14ac:dyDescent="0.3">
      <c r="B3760" s="12">
        <v>3757</v>
      </c>
      <c r="C3760" s="28">
        <v>154.20236298525336</v>
      </c>
      <c r="E3760" s="14" t="s">
        <v>3320</v>
      </c>
      <c r="F3760" s="11">
        <v>173</v>
      </c>
    </row>
    <row r="3761" spans="2:6" x14ac:dyDescent="0.3">
      <c r="B3761" s="12">
        <v>3758</v>
      </c>
      <c r="C3761" s="28">
        <v>169.77045595937471</v>
      </c>
      <c r="E3761" s="14" t="s">
        <v>3321</v>
      </c>
      <c r="F3761" s="11">
        <v>163</v>
      </c>
    </row>
    <row r="3762" spans="2:6" x14ac:dyDescent="0.3">
      <c r="B3762" s="12">
        <v>3759</v>
      </c>
      <c r="C3762" s="28">
        <v>161.01150674462744</v>
      </c>
      <c r="E3762" s="14" t="s">
        <v>4883</v>
      </c>
      <c r="F3762" s="11">
        <v>156</v>
      </c>
    </row>
    <row r="3763" spans="2:6" x14ac:dyDescent="0.3">
      <c r="B3763" s="12">
        <v>3760</v>
      </c>
      <c r="C3763" s="28">
        <v>167.18305755360782</v>
      </c>
      <c r="E3763" s="14" t="s">
        <v>2428</v>
      </c>
      <c r="F3763" s="11">
        <v>165</v>
      </c>
    </row>
    <row r="3764" spans="2:6" x14ac:dyDescent="0.3">
      <c r="B3764" s="12">
        <v>3761</v>
      </c>
      <c r="C3764" s="28">
        <v>171.99294505517656</v>
      </c>
      <c r="E3764" s="14" t="s">
        <v>459</v>
      </c>
      <c r="F3764" s="11">
        <v>170</v>
      </c>
    </row>
    <row r="3765" spans="2:6" x14ac:dyDescent="0.3">
      <c r="B3765" s="12">
        <v>3762</v>
      </c>
      <c r="C3765" s="28">
        <v>156.44990537677552</v>
      </c>
      <c r="E3765" s="14" t="s">
        <v>811</v>
      </c>
      <c r="F3765" s="11">
        <v>155</v>
      </c>
    </row>
    <row r="3766" spans="2:6" x14ac:dyDescent="0.3">
      <c r="B3766" s="12">
        <v>3763</v>
      </c>
      <c r="C3766" s="28">
        <v>167.35857116110034</v>
      </c>
      <c r="E3766" s="14" t="s">
        <v>1285</v>
      </c>
      <c r="F3766" s="11">
        <v>170</v>
      </c>
    </row>
    <row r="3767" spans="2:6" x14ac:dyDescent="0.3">
      <c r="B3767" s="12">
        <v>3764</v>
      </c>
      <c r="C3767" s="28">
        <v>159.72140895194073</v>
      </c>
      <c r="E3767" s="14" t="s">
        <v>2253</v>
      </c>
      <c r="F3767" s="11">
        <v>183</v>
      </c>
    </row>
    <row r="3768" spans="2:6" x14ac:dyDescent="0.3">
      <c r="B3768" s="12">
        <v>3765</v>
      </c>
      <c r="C3768" s="28">
        <v>164.68773256086797</v>
      </c>
      <c r="E3768" s="14" t="s">
        <v>2492</v>
      </c>
      <c r="F3768" s="11">
        <v>158</v>
      </c>
    </row>
    <row r="3769" spans="2:6" x14ac:dyDescent="0.3">
      <c r="B3769" s="12">
        <v>3766</v>
      </c>
      <c r="C3769" s="28">
        <v>174.2917628419321</v>
      </c>
      <c r="E3769" s="14" t="s">
        <v>3164</v>
      </c>
      <c r="F3769" s="11">
        <v>163</v>
      </c>
    </row>
    <row r="3770" spans="2:6" x14ac:dyDescent="0.3">
      <c r="B3770" s="12">
        <v>3767</v>
      </c>
      <c r="C3770" s="28">
        <v>170.95052141340923</v>
      </c>
      <c r="E3770" s="14" t="s">
        <v>4956</v>
      </c>
      <c r="F3770" s="11">
        <v>165</v>
      </c>
    </row>
    <row r="3771" spans="2:6" x14ac:dyDescent="0.3">
      <c r="B3771" s="12">
        <v>3768</v>
      </c>
      <c r="C3771" s="28">
        <v>148.2648454818511</v>
      </c>
      <c r="E3771" s="14" t="s">
        <v>4677</v>
      </c>
      <c r="F3771" s="11">
        <v>165</v>
      </c>
    </row>
    <row r="3772" spans="2:6" x14ac:dyDescent="0.3">
      <c r="B3772" s="12">
        <v>3769</v>
      </c>
      <c r="C3772" s="28">
        <v>171.70294735580939</v>
      </c>
      <c r="E3772" s="14" t="s">
        <v>4048</v>
      </c>
      <c r="F3772" s="11">
        <v>168</v>
      </c>
    </row>
    <row r="3773" spans="2:6" x14ac:dyDescent="0.3">
      <c r="B3773" s="12">
        <v>3770</v>
      </c>
      <c r="C3773" s="28">
        <v>173.15992147101815</v>
      </c>
      <c r="E3773" s="14" t="s">
        <v>3374</v>
      </c>
      <c r="F3773" s="11">
        <v>160</v>
      </c>
    </row>
    <row r="3774" spans="2:6" x14ac:dyDescent="0.3">
      <c r="B3774" s="12">
        <v>3771</v>
      </c>
      <c r="C3774" s="28">
        <v>169.65205434013626</v>
      </c>
      <c r="E3774" s="14" t="s">
        <v>1601</v>
      </c>
      <c r="F3774" s="11">
        <v>172</v>
      </c>
    </row>
    <row r="3775" spans="2:6" x14ac:dyDescent="0.3">
      <c r="B3775" s="12">
        <v>3772</v>
      </c>
      <c r="C3775" s="28">
        <v>158.42076005704686</v>
      </c>
      <c r="E3775" s="14" t="s">
        <v>150</v>
      </c>
      <c r="F3775" s="11">
        <v>177</v>
      </c>
    </row>
    <row r="3776" spans="2:6" x14ac:dyDescent="0.3">
      <c r="B3776" s="12">
        <v>3773</v>
      </c>
      <c r="C3776" s="28">
        <v>161.08013054236969</v>
      </c>
      <c r="E3776" s="14" t="s">
        <v>3147</v>
      </c>
      <c r="F3776" s="11">
        <v>154</v>
      </c>
    </row>
    <row r="3777" spans="2:6" x14ac:dyDescent="0.3">
      <c r="B3777" s="12">
        <v>3774</v>
      </c>
      <c r="C3777" s="28">
        <v>168.65762271922193</v>
      </c>
      <c r="E3777" s="14" t="s">
        <v>4497</v>
      </c>
      <c r="F3777" s="11">
        <v>171</v>
      </c>
    </row>
    <row r="3778" spans="2:6" x14ac:dyDescent="0.3">
      <c r="B3778" s="12">
        <v>3775</v>
      </c>
      <c r="C3778" s="28">
        <v>154.55629368895188</v>
      </c>
      <c r="E3778" s="14" t="s">
        <v>1329</v>
      </c>
      <c r="F3778" s="11">
        <v>168</v>
      </c>
    </row>
    <row r="3779" spans="2:6" x14ac:dyDescent="0.3">
      <c r="B3779" s="12">
        <v>3776</v>
      </c>
      <c r="C3779" s="28">
        <v>168.71581367575973</v>
      </c>
      <c r="E3779" s="14" t="s">
        <v>3004</v>
      </c>
      <c r="F3779" s="11">
        <v>170</v>
      </c>
    </row>
    <row r="3780" spans="2:6" x14ac:dyDescent="0.3">
      <c r="B3780" s="12">
        <v>3777</v>
      </c>
      <c r="C3780" s="28">
        <v>153.88519137227678</v>
      </c>
      <c r="E3780" s="14" t="s">
        <v>2024</v>
      </c>
      <c r="F3780" s="11">
        <v>163</v>
      </c>
    </row>
    <row r="3781" spans="2:6" x14ac:dyDescent="0.3">
      <c r="B3781" s="12">
        <v>3778</v>
      </c>
      <c r="C3781" s="28">
        <v>161.0062529556395</v>
      </c>
      <c r="E3781" s="14" t="s">
        <v>3064</v>
      </c>
      <c r="F3781" s="11">
        <v>166</v>
      </c>
    </row>
    <row r="3782" spans="2:6" x14ac:dyDescent="0.3">
      <c r="B3782" s="12">
        <v>3779</v>
      </c>
      <c r="C3782" s="28">
        <v>166.01767864039317</v>
      </c>
      <c r="E3782" s="14" t="s">
        <v>1398</v>
      </c>
      <c r="F3782" s="11">
        <v>178</v>
      </c>
    </row>
    <row r="3783" spans="2:6" x14ac:dyDescent="0.3">
      <c r="B3783" s="12">
        <v>3780</v>
      </c>
      <c r="C3783" s="28">
        <v>168.50956919620305</v>
      </c>
      <c r="E3783" s="14" t="s">
        <v>1306</v>
      </c>
      <c r="F3783" s="11">
        <v>180</v>
      </c>
    </row>
    <row r="3784" spans="2:6" x14ac:dyDescent="0.3">
      <c r="B3784" s="12">
        <v>3781</v>
      </c>
      <c r="C3784" s="28">
        <v>158.97855418181373</v>
      </c>
      <c r="E3784" s="14" t="s">
        <v>3151</v>
      </c>
      <c r="F3784" s="11">
        <v>166</v>
      </c>
    </row>
    <row r="3785" spans="2:6" x14ac:dyDescent="0.3">
      <c r="B3785" s="12">
        <v>3782</v>
      </c>
      <c r="C3785" s="28">
        <v>156.03248586805515</v>
      </c>
      <c r="E3785" s="14" t="s">
        <v>842</v>
      </c>
      <c r="F3785" s="11">
        <v>175</v>
      </c>
    </row>
    <row r="3786" spans="2:6" x14ac:dyDescent="0.3">
      <c r="B3786" s="12">
        <v>3783</v>
      </c>
      <c r="C3786" s="28">
        <v>165.32382828327016</v>
      </c>
      <c r="E3786" s="14" t="s">
        <v>3956</v>
      </c>
      <c r="F3786" s="11">
        <v>168</v>
      </c>
    </row>
    <row r="3787" spans="2:6" x14ac:dyDescent="0.3">
      <c r="B3787" s="12">
        <v>3784</v>
      </c>
      <c r="C3787" s="28">
        <v>159.22314084437937</v>
      </c>
      <c r="E3787" s="14" t="s">
        <v>2102</v>
      </c>
      <c r="F3787" s="11">
        <v>167</v>
      </c>
    </row>
    <row r="3788" spans="2:6" x14ac:dyDescent="0.3">
      <c r="B3788" s="12">
        <v>3785</v>
      </c>
      <c r="C3788" s="28">
        <v>166.80891201474395</v>
      </c>
      <c r="E3788" s="14" t="s">
        <v>4007</v>
      </c>
      <c r="F3788" s="11">
        <v>152</v>
      </c>
    </row>
    <row r="3789" spans="2:6" x14ac:dyDescent="0.3">
      <c r="B3789" s="12">
        <v>3786</v>
      </c>
      <c r="C3789" s="28">
        <v>156.23140934269938</v>
      </c>
      <c r="E3789" s="14" t="s">
        <v>1630</v>
      </c>
      <c r="F3789" s="11">
        <v>176</v>
      </c>
    </row>
    <row r="3790" spans="2:6" x14ac:dyDescent="0.3">
      <c r="B3790" s="12">
        <v>3787</v>
      </c>
      <c r="C3790" s="28">
        <v>162.36107602670168</v>
      </c>
      <c r="E3790" s="14" t="s">
        <v>3161</v>
      </c>
      <c r="F3790" s="11">
        <v>165</v>
      </c>
    </row>
    <row r="3791" spans="2:6" x14ac:dyDescent="0.3">
      <c r="B3791" s="12">
        <v>3788</v>
      </c>
      <c r="C3791" s="28">
        <v>155.44162901971075</v>
      </c>
      <c r="E3791" s="14" t="s">
        <v>2361</v>
      </c>
      <c r="F3791" s="11">
        <v>175</v>
      </c>
    </row>
    <row r="3792" spans="2:6" x14ac:dyDescent="0.3">
      <c r="B3792" s="12">
        <v>3789</v>
      </c>
      <c r="C3792" s="28">
        <v>164.41011099159283</v>
      </c>
      <c r="E3792" s="14" t="s">
        <v>3432</v>
      </c>
      <c r="F3792" s="11">
        <v>172</v>
      </c>
    </row>
    <row r="3793" spans="2:6" x14ac:dyDescent="0.3">
      <c r="B3793" s="12">
        <v>3790</v>
      </c>
      <c r="C3793" s="28">
        <v>164.21057339957355</v>
      </c>
      <c r="E3793" s="14" t="s">
        <v>3137</v>
      </c>
      <c r="F3793" s="11">
        <v>165</v>
      </c>
    </row>
    <row r="3794" spans="2:6" x14ac:dyDescent="0.3">
      <c r="B3794" s="12">
        <v>3791</v>
      </c>
      <c r="C3794" s="28">
        <v>154.58846304622466</v>
      </c>
      <c r="E3794" s="14" t="s">
        <v>2250</v>
      </c>
      <c r="F3794" s="11">
        <v>168</v>
      </c>
    </row>
    <row r="3795" spans="2:6" x14ac:dyDescent="0.3">
      <c r="B3795" s="12">
        <v>3792</v>
      </c>
      <c r="C3795" s="28">
        <v>171.38119759841763</v>
      </c>
      <c r="E3795" s="14" t="s">
        <v>3604</v>
      </c>
      <c r="F3795" s="11">
        <v>170</v>
      </c>
    </row>
    <row r="3796" spans="2:6" x14ac:dyDescent="0.3">
      <c r="B3796" s="12">
        <v>3793</v>
      </c>
      <c r="C3796" s="28">
        <v>158.00998054690649</v>
      </c>
      <c r="E3796" s="14" t="s">
        <v>2801</v>
      </c>
      <c r="F3796" s="11">
        <v>168</v>
      </c>
    </row>
    <row r="3797" spans="2:6" x14ac:dyDescent="0.3">
      <c r="B3797" s="12">
        <v>3794</v>
      </c>
      <c r="C3797" s="28">
        <v>156.54859666411343</v>
      </c>
      <c r="E3797" s="14" t="s">
        <v>4191</v>
      </c>
      <c r="F3797" s="11">
        <v>185</v>
      </c>
    </row>
    <row r="3798" spans="2:6" x14ac:dyDescent="0.3">
      <c r="B3798" s="12">
        <v>3795</v>
      </c>
      <c r="C3798" s="28">
        <v>160.48479506626296</v>
      </c>
      <c r="E3798" s="14" t="s">
        <v>332</v>
      </c>
      <c r="F3798" s="11">
        <v>173</v>
      </c>
    </row>
    <row r="3799" spans="2:6" x14ac:dyDescent="0.3">
      <c r="B3799" s="12">
        <v>3796</v>
      </c>
      <c r="C3799" s="28">
        <v>168.70506284377075</v>
      </c>
      <c r="E3799" s="14" t="s">
        <v>1658</v>
      </c>
      <c r="F3799" s="11">
        <v>183</v>
      </c>
    </row>
    <row r="3800" spans="2:6" x14ac:dyDescent="0.3">
      <c r="B3800" s="12">
        <v>3797</v>
      </c>
      <c r="C3800" s="28">
        <v>157.74894579932271</v>
      </c>
      <c r="E3800" s="14" t="s">
        <v>3448</v>
      </c>
      <c r="F3800" s="11">
        <v>169</v>
      </c>
    </row>
    <row r="3801" spans="2:6" x14ac:dyDescent="0.3">
      <c r="B3801" s="12">
        <v>3798</v>
      </c>
      <c r="C3801" s="28">
        <v>166.20581666803255</v>
      </c>
      <c r="E3801" s="14" t="s">
        <v>3564</v>
      </c>
      <c r="F3801" s="11">
        <v>152</v>
      </c>
    </row>
    <row r="3802" spans="2:6" x14ac:dyDescent="0.3">
      <c r="B3802" s="12">
        <v>3799</v>
      </c>
      <c r="C3802" s="28">
        <v>161.10178441244258</v>
      </c>
      <c r="E3802" s="14" t="s">
        <v>3375</v>
      </c>
      <c r="F3802" s="11">
        <v>160</v>
      </c>
    </row>
    <row r="3803" spans="2:6" x14ac:dyDescent="0.3">
      <c r="B3803" s="12">
        <v>3800</v>
      </c>
      <c r="C3803" s="28">
        <v>157.97618626525568</v>
      </c>
      <c r="E3803" s="14" t="s">
        <v>592</v>
      </c>
      <c r="F3803" s="11">
        <v>165</v>
      </c>
    </row>
    <row r="3804" spans="2:6" x14ac:dyDescent="0.3">
      <c r="B3804" s="12">
        <v>3801</v>
      </c>
      <c r="C3804" s="28">
        <v>160.55234257837901</v>
      </c>
      <c r="E3804" s="14" t="s">
        <v>4757</v>
      </c>
      <c r="F3804" s="11">
        <v>169</v>
      </c>
    </row>
    <row r="3805" spans="2:6" x14ac:dyDescent="0.3">
      <c r="B3805" s="12">
        <v>3802</v>
      </c>
      <c r="C3805" s="28">
        <v>157.05514701109402</v>
      </c>
      <c r="E3805" s="14" t="s">
        <v>4324</v>
      </c>
      <c r="F3805" s="11">
        <v>165</v>
      </c>
    </row>
    <row r="3806" spans="2:6" x14ac:dyDescent="0.3">
      <c r="B3806" s="12">
        <v>3803</v>
      </c>
      <c r="C3806" s="28">
        <v>150.97107092207469</v>
      </c>
      <c r="E3806" s="14" t="s">
        <v>1085</v>
      </c>
      <c r="F3806" s="11">
        <v>166</v>
      </c>
    </row>
    <row r="3807" spans="2:6" x14ac:dyDescent="0.3">
      <c r="B3807" s="12">
        <v>3804</v>
      </c>
      <c r="C3807" s="28">
        <v>155.17988881585515</v>
      </c>
      <c r="E3807" s="14" t="s">
        <v>3514</v>
      </c>
      <c r="F3807" s="11">
        <v>163</v>
      </c>
    </row>
    <row r="3808" spans="2:6" x14ac:dyDescent="0.3">
      <c r="B3808" s="12">
        <v>3805</v>
      </c>
      <c r="C3808" s="28">
        <v>154.06425307081435</v>
      </c>
      <c r="E3808" s="14" t="s">
        <v>3515</v>
      </c>
      <c r="F3808" s="11">
        <v>180</v>
      </c>
    </row>
    <row r="3809" spans="2:6" x14ac:dyDescent="0.3">
      <c r="B3809" s="12">
        <v>3806</v>
      </c>
      <c r="C3809" s="28">
        <v>163.52311867761125</v>
      </c>
      <c r="E3809" s="14" t="s">
        <v>653</v>
      </c>
      <c r="F3809" s="11">
        <v>156</v>
      </c>
    </row>
    <row r="3810" spans="2:6" x14ac:dyDescent="0.3">
      <c r="B3810" s="12">
        <v>3807</v>
      </c>
      <c r="C3810" s="28">
        <v>166.76616527026707</v>
      </c>
      <c r="E3810" s="14" t="s">
        <v>1315</v>
      </c>
      <c r="F3810" s="11">
        <v>178</v>
      </c>
    </row>
    <row r="3811" spans="2:6" x14ac:dyDescent="0.3">
      <c r="B3811" s="12">
        <v>3808</v>
      </c>
      <c r="C3811" s="28">
        <v>154.71416823405255</v>
      </c>
      <c r="E3811" s="14" t="s">
        <v>1436</v>
      </c>
      <c r="F3811" s="11">
        <v>164</v>
      </c>
    </row>
    <row r="3812" spans="2:6" x14ac:dyDescent="0.3">
      <c r="B3812" s="12">
        <v>3809</v>
      </c>
      <c r="C3812" s="28">
        <v>160.21558640119881</v>
      </c>
      <c r="E3812" s="14" t="s">
        <v>4001</v>
      </c>
      <c r="F3812" s="11">
        <v>179</v>
      </c>
    </row>
    <row r="3813" spans="2:6" x14ac:dyDescent="0.3">
      <c r="B3813" s="12">
        <v>3810</v>
      </c>
      <c r="C3813" s="28">
        <v>162.46819058885364</v>
      </c>
      <c r="E3813" s="14" t="s">
        <v>4177</v>
      </c>
      <c r="F3813" s="11">
        <v>184</v>
      </c>
    </row>
    <row r="3814" spans="2:6" x14ac:dyDescent="0.3">
      <c r="B3814" s="12">
        <v>3811</v>
      </c>
      <c r="C3814" s="28">
        <v>159.35104913724146</v>
      </c>
      <c r="E3814" s="14" t="s">
        <v>3520</v>
      </c>
      <c r="F3814" s="11">
        <v>166</v>
      </c>
    </row>
    <row r="3815" spans="2:6" x14ac:dyDescent="0.3">
      <c r="B3815" s="12">
        <v>3812</v>
      </c>
      <c r="C3815" s="28">
        <v>149.44964999370268</v>
      </c>
      <c r="E3815" s="14" t="s">
        <v>2389</v>
      </c>
      <c r="F3815" s="11">
        <v>160</v>
      </c>
    </row>
    <row r="3816" spans="2:6" x14ac:dyDescent="0.3">
      <c r="B3816" s="12">
        <v>3813</v>
      </c>
      <c r="C3816" s="28">
        <v>166.62494860505046</v>
      </c>
      <c r="E3816" s="14" t="s">
        <v>2391</v>
      </c>
      <c r="F3816" s="11">
        <v>166</v>
      </c>
    </row>
    <row r="3817" spans="2:6" x14ac:dyDescent="0.3">
      <c r="B3817" s="12">
        <v>3814</v>
      </c>
      <c r="C3817" s="28">
        <v>158.80961764557853</v>
      </c>
      <c r="E3817" s="14" t="s">
        <v>3521</v>
      </c>
      <c r="F3817" s="11">
        <v>160</v>
      </c>
    </row>
    <row r="3818" spans="2:6" x14ac:dyDescent="0.3">
      <c r="B3818" s="12">
        <v>3815</v>
      </c>
      <c r="C3818" s="28">
        <v>162.49853308664578</v>
      </c>
      <c r="E3818" s="14" t="s">
        <v>3523</v>
      </c>
      <c r="F3818" s="11">
        <v>175</v>
      </c>
    </row>
    <row r="3819" spans="2:6" x14ac:dyDescent="0.3">
      <c r="B3819" s="12">
        <v>3816</v>
      </c>
      <c r="C3819" s="28">
        <v>169.01365030265552</v>
      </c>
      <c r="E3819" s="14" t="s">
        <v>4110</v>
      </c>
      <c r="F3819" s="11">
        <v>189</v>
      </c>
    </row>
    <row r="3820" spans="2:6" x14ac:dyDescent="0.3">
      <c r="B3820" s="12">
        <v>3817</v>
      </c>
      <c r="C3820" s="28">
        <v>160.32263072170281</v>
      </c>
      <c r="E3820" s="14" t="s">
        <v>186</v>
      </c>
      <c r="F3820" s="11">
        <v>167</v>
      </c>
    </row>
    <row r="3821" spans="2:6" x14ac:dyDescent="0.3">
      <c r="B3821" s="12">
        <v>3818</v>
      </c>
      <c r="C3821" s="28">
        <v>154.397201751826</v>
      </c>
      <c r="E3821" s="14" t="s">
        <v>1531</v>
      </c>
      <c r="F3821" s="11">
        <v>175</v>
      </c>
    </row>
    <row r="3822" spans="2:6" x14ac:dyDescent="0.3">
      <c r="B3822" s="12">
        <v>3819</v>
      </c>
      <c r="C3822" s="28">
        <v>155.39618772772252</v>
      </c>
      <c r="E3822" s="14" t="s">
        <v>33</v>
      </c>
      <c r="F3822" s="11">
        <v>188</v>
      </c>
    </row>
    <row r="3823" spans="2:6" x14ac:dyDescent="0.3">
      <c r="B3823" s="12">
        <v>3820</v>
      </c>
      <c r="C3823" s="28">
        <v>146.89053447571814</v>
      </c>
      <c r="E3823" s="14" t="s">
        <v>2528</v>
      </c>
      <c r="F3823" s="11">
        <v>179</v>
      </c>
    </row>
    <row r="3824" spans="2:6" x14ac:dyDescent="0.3">
      <c r="B3824" s="12">
        <v>3821</v>
      </c>
      <c r="C3824" s="28">
        <v>163.48295394200133</v>
      </c>
      <c r="E3824" s="14" t="s">
        <v>2708</v>
      </c>
      <c r="F3824" s="11">
        <v>170</v>
      </c>
    </row>
    <row r="3825" spans="2:6" x14ac:dyDescent="0.3">
      <c r="B3825" s="12">
        <v>3822</v>
      </c>
      <c r="C3825" s="28">
        <v>163.42705560911926</v>
      </c>
      <c r="E3825" s="14" t="s">
        <v>941</v>
      </c>
      <c r="F3825" s="11">
        <v>178</v>
      </c>
    </row>
    <row r="3826" spans="2:6" x14ac:dyDescent="0.3">
      <c r="B3826" s="12">
        <v>3823</v>
      </c>
      <c r="C3826" s="28">
        <v>168.62058313974674</v>
      </c>
      <c r="E3826" s="14" t="s">
        <v>689</v>
      </c>
      <c r="F3826" s="11">
        <v>177</v>
      </c>
    </row>
    <row r="3827" spans="2:6" x14ac:dyDescent="0.3">
      <c r="B3827" s="12">
        <v>3824</v>
      </c>
      <c r="C3827" s="28">
        <v>168.83274480272561</v>
      </c>
      <c r="E3827" s="14" t="s">
        <v>1218</v>
      </c>
      <c r="F3827" s="11">
        <v>173</v>
      </c>
    </row>
    <row r="3828" spans="2:6" x14ac:dyDescent="0.3">
      <c r="B3828" s="12">
        <v>3825</v>
      </c>
      <c r="C3828" s="28">
        <v>159.7015593808604</v>
      </c>
      <c r="E3828" s="14" t="s">
        <v>1867</v>
      </c>
      <c r="F3828" s="11">
        <v>186</v>
      </c>
    </row>
    <row r="3829" spans="2:6" x14ac:dyDescent="0.3">
      <c r="B3829" s="12">
        <v>3826</v>
      </c>
      <c r="C3829" s="28">
        <v>161.19286780718477</v>
      </c>
      <c r="E3829" s="14" t="s">
        <v>3036</v>
      </c>
      <c r="F3829" s="11">
        <v>169</v>
      </c>
    </row>
    <row r="3830" spans="2:6" x14ac:dyDescent="0.3">
      <c r="B3830" s="12">
        <v>3827</v>
      </c>
      <c r="C3830" s="28">
        <v>162.81842608638757</v>
      </c>
      <c r="E3830" s="14" t="s">
        <v>3052</v>
      </c>
      <c r="F3830" s="11">
        <v>160</v>
      </c>
    </row>
    <row r="3831" spans="2:6" x14ac:dyDescent="0.3">
      <c r="B3831" s="12">
        <v>3828</v>
      </c>
      <c r="C3831" s="28">
        <v>161.71228873346556</v>
      </c>
      <c r="E3831" s="14" t="s">
        <v>2103</v>
      </c>
      <c r="F3831" s="11">
        <v>166</v>
      </c>
    </row>
    <row r="3832" spans="2:6" x14ac:dyDescent="0.3">
      <c r="B3832" s="12">
        <v>3829</v>
      </c>
      <c r="C3832" s="28">
        <v>164.23431544909317</v>
      </c>
      <c r="E3832" s="14" t="s">
        <v>4238</v>
      </c>
      <c r="F3832" s="11">
        <v>167</v>
      </c>
    </row>
    <row r="3833" spans="2:6" x14ac:dyDescent="0.3">
      <c r="B3833" s="12">
        <v>3830</v>
      </c>
      <c r="C3833" s="28">
        <v>165.72683910536117</v>
      </c>
      <c r="E3833" s="14" t="s">
        <v>561</v>
      </c>
      <c r="F3833" s="11">
        <v>170</v>
      </c>
    </row>
    <row r="3834" spans="2:6" x14ac:dyDescent="0.3">
      <c r="B3834" s="12">
        <v>3831</v>
      </c>
      <c r="C3834" s="28">
        <v>165.28311332670302</v>
      </c>
      <c r="E3834" s="14" t="s">
        <v>3940</v>
      </c>
      <c r="F3834" s="11">
        <v>165</v>
      </c>
    </row>
    <row r="3835" spans="2:6" x14ac:dyDescent="0.3">
      <c r="B3835" s="12">
        <v>3832</v>
      </c>
      <c r="C3835" s="28">
        <v>153.37494067308657</v>
      </c>
      <c r="E3835" s="14" t="s">
        <v>2811</v>
      </c>
      <c r="F3835" s="11">
        <v>157</v>
      </c>
    </row>
    <row r="3836" spans="2:6" x14ac:dyDescent="0.3">
      <c r="B3836" s="12">
        <v>3833</v>
      </c>
      <c r="C3836" s="28">
        <v>156.64309439097889</v>
      </c>
      <c r="E3836" s="14" t="s">
        <v>2694</v>
      </c>
      <c r="F3836" s="11">
        <v>176</v>
      </c>
    </row>
    <row r="3837" spans="2:6" x14ac:dyDescent="0.3">
      <c r="B3837" s="12">
        <v>3834</v>
      </c>
      <c r="C3837" s="28">
        <v>161.33830396773223</v>
      </c>
      <c r="E3837" s="14" t="s">
        <v>3982</v>
      </c>
      <c r="F3837" s="11">
        <v>169</v>
      </c>
    </row>
    <row r="3838" spans="2:6" x14ac:dyDescent="0.3">
      <c r="B3838" s="12">
        <v>3835</v>
      </c>
      <c r="C3838" s="28">
        <v>157.6644454839371</v>
      </c>
      <c r="E3838" s="14" t="s">
        <v>3542</v>
      </c>
      <c r="F3838" s="11">
        <v>175</v>
      </c>
    </row>
    <row r="3839" spans="2:6" x14ac:dyDescent="0.3">
      <c r="B3839" s="12">
        <v>3836</v>
      </c>
      <c r="C3839" s="28">
        <v>160.47396279945335</v>
      </c>
      <c r="E3839" s="14" t="s">
        <v>48</v>
      </c>
      <c r="F3839" s="11">
        <v>168</v>
      </c>
    </row>
    <row r="3840" spans="2:6" x14ac:dyDescent="0.3">
      <c r="B3840" s="12">
        <v>3837</v>
      </c>
      <c r="C3840" s="28">
        <v>165.06022595184035</v>
      </c>
      <c r="E3840" s="14" t="s">
        <v>1390</v>
      </c>
      <c r="F3840" s="11">
        <v>160</v>
      </c>
    </row>
    <row r="3841" spans="2:6" x14ac:dyDescent="0.3">
      <c r="B3841" s="12">
        <v>3838</v>
      </c>
      <c r="C3841" s="28">
        <v>159.64381209772404</v>
      </c>
      <c r="E3841" s="14" t="s">
        <v>227</v>
      </c>
      <c r="F3841" s="11">
        <v>171</v>
      </c>
    </row>
    <row r="3842" spans="2:6" x14ac:dyDescent="0.3">
      <c r="B3842" s="12">
        <v>3839</v>
      </c>
      <c r="C3842" s="28">
        <v>168.10643179064385</v>
      </c>
      <c r="E3842" s="14" t="s">
        <v>391</v>
      </c>
      <c r="F3842" s="11">
        <v>159</v>
      </c>
    </row>
    <row r="3843" spans="2:6" x14ac:dyDescent="0.3">
      <c r="B3843" s="12">
        <v>3840</v>
      </c>
      <c r="C3843" s="28">
        <v>153.38677440182266</v>
      </c>
      <c r="E3843" s="14" t="s">
        <v>1474</v>
      </c>
      <c r="F3843" s="11">
        <v>168</v>
      </c>
    </row>
    <row r="3844" spans="2:6" x14ac:dyDescent="0.3">
      <c r="B3844" s="12">
        <v>3841</v>
      </c>
      <c r="C3844" s="28">
        <v>165.59086402325397</v>
      </c>
      <c r="E3844" s="14" t="s">
        <v>4362</v>
      </c>
      <c r="F3844" s="11">
        <v>191</v>
      </c>
    </row>
    <row r="3845" spans="2:6" x14ac:dyDescent="0.3">
      <c r="B3845" s="12">
        <v>3842</v>
      </c>
      <c r="C3845" s="28">
        <v>147.8925084205346</v>
      </c>
      <c r="E3845" s="14" t="s">
        <v>2979</v>
      </c>
      <c r="F3845" s="11">
        <v>157</v>
      </c>
    </row>
    <row r="3846" spans="2:6" x14ac:dyDescent="0.3">
      <c r="B3846" s="12">
        <v>3843</v>
      </c>
      <c r="C3846" s="28">
        <v>164.68974568748843</v>
      </c>
      <c r="E3846" s="14" t="s">
        <v>3560</v>
      </c>
      <c r="F3846" s="11">
        <v>160</v>
      </c>
    </row>
    <row r="3847" spans="2:6" x14ac:dyDescent="0.3">
      <c r="B3847" s="12">
        <v>3844</v>
      </c>
      <c r="C3847" s="28">
        <v>167.57543982202156</v>
      </c>
      <c r="E3847" s="14" t="s">
        <v>3170</v>
      </c>
      <c r="F3847" s="11">
        <v>174</v>
      </c>
    </row>
    <row r="3848" spans="2:6" x14ac:dyDescent="0.3">
      <c r="B3848" s="12">
        <v>3845</v>
      </c>
      <c r="C3848" s="28">
        <v>154.23889689773682</v>
      </c>
      <c r="E3848" s="14" t="s">
        <v>2216</v>
      </c>
      <c r="F3848" s="11">
        <v>180</v>
      </c>
    </row>
    <row r="3849" spans="2:6" x14ac:dyDescent="0.3">
      <c r="B3849" s="12">
        <v>3846</v>
      </c>
      <c r="C3849" s="28">
        <v>154.15840859504115</v>
      </c>
      <c r="E3849" s="14" t="s">
        <v>2129</v>
      </c>
      <c r="F3849" s="11">
        <v>172</v>
      </c>
    </row>
    <row r="3850" spans="2:6" x14ac:dyDescent="0.3">
      <c r="B3850" s="12">
        <v>3847</v>
      </c>
      <c r="C3850" s="28">
        <v>154.62736421162512</v>
      </c>
      <c r="E3850" s="14" t="s">
        <v>3566</v>
      </c>
      <c r="F3850" s="11">
        <v>160</v>
      </c>
    </row>
    <row r="3851" spans="2:6" x14ac:dyDescent="0.3">
      <c r="B3851" s="12">
        <v>3848</v>
      </c>
      <c r="C3851" s="28">
        <v>159.52389002125648</v>
      </c>
      <c r="E3851" s="14" t="s">
        <v>1463</v>
      </c>
      <c r="F3851" s="11">
        <v>168</v>
      </c>
    </row>
    <row r="3852" spans="2:6" x14ac:dyDescent="0.3">
      <c r="B3852" s="12">
        <v>3849</v>
      </c>
      <c r="C3852" s="28">
        <v>167.87803088553289</v>
      </c>
      <c r="E3852" s="14" t="s">
        <v>1077</v>
      </c>
      <c r="F3852" s="11">
        <v>173</v>
      </c>
    </row>
    <row r="3853" spans="2:6" x14ac:dyDescent="0.3">
      <c r="B3853" s="12">
        <v>3850</v>
      </c>
      <c r="C3853" s="28">
        <v>164.58137436042531</v>
      </c>
      <c r="E3853" s="14" t="s">
        <v>2992</v>
      </c>
      <c r="F3853" s="11">
        <v>173</v>
      </c>
    </row>
    <row r="3854" spans="2:6" x14ac:dyDescent="0.3">
      <c r="B3854" s="12">
        <v>3851</v>
      </c>
      <c r="C3854" s="28">
        <v>173.07164556164093</v>
      </c>
      <c r="E3854" s="14" t="s">
        <v>1809</v>
      </c>
      <c r="F3854" s="11">
        <v>169</v>
      </c>
    </row>
    <row r="3855" spans="2:6" x14ac:dyDescent="0.3">
      <c r="B3855" s="12">
        <v>3852</v>
      </c>
      <c r="C3855" s="28">
        <v>157.30233754846023</v>
      </c>
      <c r="E3855" s="14" t="s">
        <v>2232</v>
      </c>
      <c r="F3855" s="11">
        <v>157</v>
      </c>
    </row>
    <row r="3856" spans="2:6" x14ac:dyDescent="0.3">
      <c r="B3856" s="12">
        <v>3853</v>
      </c>
      <c r="C3856" s="28">
        <v>162.8725857866057</v>
      </c>
      <c r="E3856" s="14" t="s">
        <v>3823</v>
      </c>
      <c r="F3856" s="11">
        <v>165</v>
      </c>
    </row>
    <row r="3857" spans="2:6" x14ac:dyDescent="0.3">
      <c r="B3857" s="12">
        <v>3854</v>
      </c>
      <c r="C3857" s="28">
        <v>143.6340614215452</v>
      </c>
      <c r="E3857" s="14" t="s">
        <v>331</v>
      </c>
      <c r="F3857" s="11">
        <v>175</v>
      </c>
    </row>
    <row r="3858" spans="2:6" x14ac:dyDescent="0.3">
      <c r="B3858" s="12">
        <v>3855</v>
      </c>
      <c r="C3858" s="28">
        <v>167.08278853870303</v>
      </c>
      <c r="E3858" s="14" t="s">
        <v>851</v>
      </c>
      <c r="F3858" s="11">
        <v>176</v>
      </c>
    </row>
    <row r="3859" spans="2:6" x14ac:dyDescent="0.3">
      <c r="B3859" s="12">
        <v>3856</v>
      </c>
      <c r="C3859" s="28">
        <v>158.52381716336507</v>
      </c>
      <c r="E3859" s="14" t="s">
        <v>164</v>
      </c>
      <c r="F3859" s="11">
        <v>151</v>
      </c>
    </row>
    <row r="3860" spans="2:6" x14ac:dyDescent="0.3">
      <c r="B3860" s="12">
        <v>3857</v>
      </c>
      <c r="C3860" s="28">
        <v>164.78282286885337</v>
      </c>
      <c r="E3860" s="14" t="s">
        <v>1853</v>
      </c>
      <c r="F3860" s="11">
        <v>171</v>
      </c>
    </row>
    <row r="3861" spans="2:6" x14ac:dyDescent="0.3">
      <c r="B3861" s="12">
        <v>3858</v>
      </c>
      <c r="C3861" s="28">
        <v>160.03645964420815</v>
      </c>
      <c r="E3861" s="14" t="s">
        <v>3822</v>
      </c>
      <c r="F3861" s="11">
        <v>170</v>
      </c>
    </row>
    <row r="3862" spans="2:6" x14ac:dyDescent="0.3">
      <c r="B3862" s="12">
        <v>3859</v>
      </c>
      <c r="C3862" s="28">
        <v>151.93400139437071</v>
      </c>
      <c r="E3862" s="14" t="s">
        <v>1341</v>
      </c>
      <c r="F3862" s="11">
        <v>166</v>
      </c>
    </row>
    <row r="3863" spans="2:6" x14ac:dyDescent="0.3">
      <c r="B3863" s="12">
        <v>3860</v>
      </c>
      <c r="C3863" s="28">
        <v>152.36569856794918</v>
      </c>
      <c r="E3863" s="14" t="s">
        <v>1647</v>
      </c>
      <c r="F3863" s="11">
        <v>158</v>
      </c>
    </row>
    <row r="3864" spans="2:6" x14ac:dyDescent="0.3">
      <c r="B3864" s="12">
        <v>3861</v>
      </c>
      <c r="C3864" s="28">
        <v>167.45745600291627</v>
      </c>
      <c r="E3864" s="14" t="s">
        <v>1678</v>
      </c>
      <c r="F3864" s="11">
        <v>161</v>
      </c>
    </row>
    <row r="3865" spans="2:6" x14ac:dyDescent="0.3">
      <c r="B3865" s="12">
        <v>3862</v>
      </c>
      <c r="C3865" s="28">
        <v>170.60394972425073</v>
      </c>
      <c r="E3865" s="14" t="s">
        <v>1738</v>
      </c>
      <c r="F3865" s="11">
        <v>162</v>
      </c>
    </row>
    <row r="3866" spans="2:6" x14ac:dyDescent="0.3">
      <c r="B3866" s="12">
        <v>3863</v>
      </c>
      <c r="C3866" s="28">
        <v>160.63211873512051</v>
      </c>
      <c r="E3866" s="14" t="s">
        <v>1069</v>
      </c>
      <c r="F3866" s="11">
        <v>156</v>
      </c>
    </row>
    <row r="3867" spans="2:6" x14ac:dyDescent="0.3">
      <c r="B3867" s="12">
        <v>3864</v>
      </c>
      <c r="C3867" s="28">
        <v>165.47104681582235</v>
      </c>
      <c r="E3867" s="14" t="s">
        <v>2918</v>
      </c>
      <c r="F3867" s="11">
        <v>152</v>
      </c>
    </row>
    <row r="3868" spans="2:6" x14ac:dyDescent="0.3">
      <c r="B3868" s="12">
        <v>3865</v>
      </c>
      <c r="C3868" s="28">
        <v>159.74049060032473</v>
      </c>
      <c r="E3868" s="14" t="s">
        <v>3530</v>
      </c>
      <c r="F3868" s="11">
        <v>176</v>
      </c>
    </row>
    <row r="3869" spans="2:6" x14ac:dyDescent="0.3">
      <c r="B3869" s="12">
        <v>3866</v>
      </c>
      <c r="C3869" s="28">
        <v>165.10541476444376</v>
      </c>
      <c r="E3869" s="14" t="s">
        <v>3874</v>
      </c>
      <c r="F3869" s="11">
        <v>178</v>
      </c>
    </row>
    <row r="3870" spans="2:6" x14ac:dyDescent="0.3">
      <c r="B3870" s="12">
        <v>3867</v>
      </c>
      <c r="C3870" s="28">
        <v>155.42748388041815</v>
      </c>
      <c r="E3870" s="14" t="s">
        <v>4271</v>
      </c>
      <c r="F3870" s="11">
        <v>172</v>
      </c>
    </row>
    <row r="3871" spans="2:6" x14ac:dyDescent="0.3">
      <c r="B3871" s="12">
        <v>3868</v>
      </c>
      <c r="C3871" s="28">
        <v>165.14340162257503</v>
      </c>
      <c r="E3871" s="14" t="s">
        <v>3995</v>
      </c>
      <c r="F3871" s="11">
        <v>175</v>
      </c>
    </row>
    <row r="3872" spans="2:6" x14ac:dyDescent="0.3">
      <c r="B3872" s="12">
        <v>3869</v>
      </c>
      <c r="C3872" s="28">
        <v>160.0075136681142</v>
      </c>
      <c r="E3872" s="14" t="s">
        <v>2135</v>
      </c>
      <c r="F3872" s="11">
        <v>157</v>
      </c>
    </row>
    <row r="3873" spans="2:6" x14ac:dyDescent="0.3">
      <c r="B3873" s="12">
        <v>3870</v>
      </c>
      <c r="C3873" s="28">
        <v>168.54334462522357</v>
      </c>
      <c r="E3873" s="14" t="s">
        <v>4141</v>
      </c>
      <c r="F3873" s="11">
        <v>172</v>
      </c>
    </row>
    <row r="3874" spans="2:6" x14ac:dyDescent="0.3">
      <c r="B3874" s="12">
        <v>3871</v>
      </c>
      <c r="C3874" s="28">
        <v>165.92602953884236</v>
      </c>
      <c r="E3874" s="14" t="s">
        <v>4345</v>
      </c>
      <c r="F3874" s="11">
        <v>163</v>
      </c>
    </row>
    <row r="3875" spans="2:6" x14ac:dyDescent="0.3">
      <c r="B3875" s="12">
        <v>3872</v>
      </c>
      <c r="C3875" s="28">
        <v>163.23862188692928</v>
      </c>
      <c r="E3875" s="14" t="s">
        <v>1552</v>
      </c>
      <c r="F3875" s="11">
        <v>170</v>
      </c>
    </row>
    <row r="3876" spans="2:6" x14ac:dyDescent="0.3">
      <c r="B3876" s="12">
        <v>3873</v>
      </c>
      <c r="C3876" s="28">
        <v>157.13625354654533</v>
      </c>
      <c r="E3876" s="14" t="s">
        <v>4373</v>
      </c>
      <c r="F3876" s="11">
        <v>168</v>
      </c>
    </row>
    <row r="3877" spans="2:6" x14ac:dyDescent="0.3">
      <c r="B3877" s="12">
        <v>3874</v>
      </c>
      <c r="C3877" s="28">
        <v>161.91354118177443</v>
      </c>
      <c r="E3877" s="14" t="s">
        <v>2615</v>
      </c>
      <c r="F3877" s="11">
        <v>169</v>
      </c>
    </row>
    <row r="3878" spans="2:6" x14ac:dyDescent="0.3">
      <c r="B3878" s="12">
        <v>3875</v>
      </c>
      <c r="C3878" s="28">
        <v>155.98957552289554</v>
      </c>
      <c r="E3878" s="14" t="s">
        <v>1982</v>
      </c>
      <c r="F3878" s="11">
        <v>175</v>
      </c>
    </row>
    <row r="3879" spans="2:6" x14ac:dyDescent="0.3">
      <c r="B3879" s="12">
        <v>3876</v>
      </c>
      <c r="C3879" s="28">
        <v>169.76734137169686</v>
      </c>
      <c r="E3879" s="14" t="s">
        <v>1855</v>
      </c>
      <c r="F3879" s="11">
        <v>168</v>
      </c>
    </row>
    <row r="3880" spans="2:6" x14ac:dyDescent="0.3">
      <c r="B3880" s="12">
        <v>3877</v>
      </c>
      <c r="C3880" s="28">
        <v>150.87870000580622</v>
      </c>
      <c r="E3880" s="14" t="s">
        <v>2281</v>
      </c>
      <c r="F3880" s="11">
        <v>174</v>
      </c>
    </row>
    <row r="3881" spans="2:6" x14ac:dyDescent="0.3">
      <c r="B3881" s="12">
        <v>3878</v>
      </c>
      <c r="C3881" s="28">
        <v>153.0408208004412</v>
      </c>
      <c r="E3881" s="14" t="s">
        <v>4428</v>
      </c>
      <c r="F3881" s="11">
        <v>165</v>
      </c>
    </row>
    <row r="3882" spans="2:6" x14ac:dyDescent="0.3">
      <c r="B3882" s="12">
        <v>3879</v>
      </c>
      <c r="C3882" s="28">
        <v>153.28828473456107</v>
      </c>
      <c r="E3882" s="14" t="s">
        <v>4232</v>
      </c>
      <c r="F3882" s="11">
        <v>151</v>
      </c>
    </row>
    <row r="3883" spans="2:6" x14ac:dyDescent="0.3">
      <c r="B3883" s="12">
        <v>3880</v>
      </c>
      <c r="C3883" s="28">
        <v>164.14980278647192</v>
      </c>
      <c r="E3883" s="14" t="s">
        <v>1963</v>
      </c>
      <c r="F3883" s="11">
        <v>160</v>
      </c>
    </row>
    <row r="3884" spans="2:6" x14ac:dyDescent="0.3">
      <c r="B3884" s="12">
        <v>3881</v>
      </c>
      <c r="C3884" s="28">
        <v>173.33056430662202</v>
      </c>
      <c r="E3884" s="14" t="s">
        <v>1965</v>
      </c>
      <c r="F3884" s="11">
        <v>167</v>
      </c>
    </row>
    <row r="3885" spans="2:6" x14ac:dyDescent="0.3">
      <c r="B3885" s="12">
        <v>3882</v>
      </c>
      <c r="C3885" s="28">
        <v>175.82565106528591</v>
      </c>
      <c r="E3885" s="14" t="s">
        <v>3594</v>
      </c>
      <c r="F3885" s="11">
        <v>167</v>
      </c>
    </row>
    <row r="3886" spans="2:6" x14ac:dyDescent="0.3">
      <c r="B3886" s="12">
        <v>3883</v>
      </c>
      <c r="C3886" s="28">
        <v>174.32707684400651</v>
      </c>
      <c r="E3886" s="14" t="s">
        <v>3595</v>
      </c>
      <c r="F3886" s="11">
        <v>175</v>
      </c>
    </row>
    <row r="3887" spans="2:6" x14ac:dyDescent="0.3">
      <c r="B3887" s="12">
        <v>3884</v>
      </c>
      <c r="C3887" s="28">
        <v>163.16016913476065</v>
      </c>
      <c r="E3887" s="14" t="s">
        <v>3596</v>
      </c>
      <c r="F3887" s="11">
        <v>162</v>
      </c>
    </row>
    <row r="3888" spans="2:6" x14ac:dyDescent="0.3">
      <c r="B3888" s="12">
        <v>3885</v>
      </c>
      <c r="C3888" s="28">
        <v>166.81263959112621</v>
      </c>
      <c r="E3888" s="14" t="s">
        <v>3597</v>
      </c>
      <c r="F3888" s="11">
        <v>175</v>
      </c>
    </row>
    <row r="3889" spans="2:6" x14ac:dyDescent="0.3">
      <c r="B3889" s="12">
        <v>3886</v>
      </c>
      <c r="C3889" s="28">
        <v>172.0067503461994</v>
      </c>
      <c r="E3889" s="14" t="s">
        <v>1198</v>
      </c>
      <c r="F3889" s="11">
        <v>170</v>
      </c>
    </row>
    <row r="3890" spans="2:6" x14ac:dyDescent="0.3">
      <c r="B3890" s="12">
        <v>3887</v>
      </c>
      <c r="C3890" s="28">
        <v>166.6844759648736</v>
      </c>
      <c r="E3890" s="14" t="s">
        <v>1953</v>
      </c>
      <c r="F3890" s="11">
        <v>170</v>
      </c>
    </row>
    <row r="3891" spans="2:6" x14ac:dyDescent="0.3">
      <c r="B3891" s="12">
        <v>3888</v>
      </c>
      <c r="C3891" s="28">
        <v>157.64197800361484</v>
      </c>
      <c r="E3891" s="14" t="s">
        <v>4358</v>
      </c>
      <c r="F3891" s="11">
        <v>180</v>
      </c>
    </row>
    <row r="3892" spans="2:6" x14ac:dyDescent="0.3">
      <c r="B3892" s="12">
        <v>3889</v>
      </c>
      <c r="C3892" s="28">
        <v>160.52791065325133</v>
      </c>
      <c r="E3892" s="14" t="s">
        <v>4786</v>
      </c>
      <c r="F3892" s="11">
        <v>159</v>
      </c>
    </row>
    <row r="3893" spans="2:6" x14ac:dyDescent="0.3">
      <c r="B3893" s="12">
        <v>3890</v>
      </c>
      <c r="C3893" s="28">
        <v>157.31417881087697</v>
      </c>
      <c r="E3893" s="14" t="s">
        <v>3177</v>
      </c>
      <c r="F3893" s="11">
        <v>179</v>
      </c>
    </row>
    <row r="3894" spans="2:6" x14ac:dyDescent="0.3">
      <c r="B3894" s="12">
        <v>3891</v>
      </c>
      <c r="C3894" s="28">
        <v>162.38394457270314</v>
      </c>
      <c r="E3894" s="14" t="s">
        <v>4321</v>
      </c>
      <c r="F3894" s="11">
        <v>175</v>
      </c>
    </row>
    <row r="3895" spans="2:6" x14ac:dyDescent="0.3">
      <c r="B3895" s="12">
        <v>3892</v>
      </c>
      <c r="C3895" s="28">
        <v>162.77837000354359</v>
      </c>
      <c r="E3895" s="14" t="s">
        <v>4719</v>
      </c>
      <c r="F3895" s="11">
        <v>166</v>
      </c>
    </row>
    <row r="3896" spans="2:6" x14ac:dyDescent="0.3">
      <c r="B3896" s="12">
        <v>3893</v>
      </c>
      <c r="C3896" s="28">
        <v>168.62369922106777</v>
      </c>
      <c r="E3896" s="14" t="s">
        <v>3612</v>
      </c>
      <c r="F3896" s="11">
        <v>157</v>
      </c>
    </row>
    <row r="3897" spans="2:6" x14ac:dyDescent="0.3">
      <c r="B3897" s="12">
        <v>3894</v>
      </c>
      <c r="C3897" s="28">
        <v>172.49898724327807</v>
      </c>
      <c r="E3897" s="14" t="s">
        <v>3613</v>
      </c>
      <c r="F3897" s="11">
        <v>163</v>
      </c>
    </row>
    <row r="3898" spans="2:6" x14ac:dyDescent="0.3">
      <c r="B3898" s="12">
        <v>3895</v>
      </c>
      <c r="C3898" s="28">
        <v>167.47046810505151</v>
      </c>
      <c r="E3898" s="14" t="s">
        <v>3324</v>
      </c>
      <c r="F3898" s="11">
        <v>161</v>
      </c>
    </row>
    <row r="3899" spans="2:6" x14ac:dyDescent="0.3">
      <c r="B3899" s="12">
        <v>3896</v>
      </c>
      <c r="C3899" s="28">
        <v>168.91833470766301</v>
      </c>
      <c r="E3899" s="14" t="s">
        <v>958</v>
      </c>
      <c r="F3899" s="11">
        <v>168</v>
      </c>
    </row>
    <row r="3900" spans="2:6" x14ac:dyDescent="0.3">
      <c r="B3900" s="12">
        <v>3897</v>
      </c>
      <c r="C3900" s="28">
        <v>159.01442290063625</v>
      </c>
      <c r="E3900" s="14" t="s">
        <v>4123</v>
      </c>
      <c r="F3900" s="11">
        <v>168</v>
      </c>
    </row>
    <row r="3901" spans="2:6" x14ac:dyDescent="0.3">
      <c r="B3901" s="12">
        <v>3898</v>
      </c>
      <c r="C3901" s="28">
        <v>163.0543169282054</v>
      </c>
      <c r="E3901" s="14" t="s">
        <v>1957</v>
      </c>
      <c r="F3901" s="11">
        <v>175</v>
      </c>
    </row>
    <row r="3902" spans="2:6" x14ac:dyDescent="0.3">
      <c r="B3902" s="12">
        <v>3899</v>
      </c>
      <c r="C3902" s="28">
        <v>157.40484579364653</v>
      </c>
      <c r="E3902" s="14" t="s">
        <v>2682</v>
      </c>
      <c r="F3902" s="11">
        <v>167</v>
      </c>
    </row>
    <row r="3903" spans="2:6" x14ac:dyDescent="0.3">
      <c r="B3903" s="12">
        <v>3900</v>
      </c>
      <c r="C3903" s="28">
        <v>156.46854539425817</v>
      </c>
      <c r="E3903" s="14" t="s">
        <v>1575</v>
      </c>
      <c r="F3903" s="11">
        <v>170</v>
      </c>
    </row>
    <row r="3904" spans="2:6" x14ac:dyDescent="0.3">
      <c r="B3904" s="12">
        <v>3901</v>
      </c>
      <c r="C3904" s="28">
        <v>156.14879607101315</v>
      </c>
      <c r="E3904" s="14" t="s">
        <v>18</v>
      </c>
      <c r="F3904" s="11">
        <v>164</v>
      </c>
    </row>
    <row r="3905" spans="2:6" x14ac:dyDescent="0.3">
      <c r="B3905" s="12">
        <v>3902</v>
      </c>
      <c r="C3905" s="28">
        <v>168.24165223933852</v>
      </c>
      <c r="E3905" s="14" t="s">
        <v>3163</v>
      </c>
      <c r="F3905" s="11">
        <v>165</v>
      </c>
    </row>
    <row r="3906" spans="2:6" x14ac:dyDescent="0.3">
      <c r="B3906" s="12">
        <v>3903</v>
      </c>
      <c r="C3906" s="28">
        <v>150.7612808287723</v>
      </c>
      <c r="E3906" s="14" t="s">
        <v>1172</v>
      </c>
      <c r="F3906" s="11">
        <v>172</v>
      </c>
    </row>
    <row r="3907" spans="2:6" x14ac:dyDescent="0.3">
      <c r="B3907" s="12">
        <v>3904</v>
      </c>
      <c r="C3907" s="28">
        <v>168.78200480272014</v>
      </c>
      <c r="E3907" s="14" t="s">
        <v>1173</v>
      </c>
      <c r="F3907" s="11">
        <v>196</v>
      </c>
    </row>
    <row r="3908" spans="2:6" x14ac:dyDescent="0.3">
      <c r="B3908" s="12">
        <v>3905</v>
      </c>
      <c r="C3908" s="28">
        <v>152.54404604518419</v>
      </c>
      <c r="E3908" s="14" t="s">
        <v>2824</v>
      </c>
      <c r="F3908" s="11">
        <v>162</v>
      </c>
    </row>
    <row r="3909" spans="2:6" x14ac:dyDescent="0.3">
      <c r="B3909" s="12">
        <v>3906</v>
      </c>
      <c r="C3909" s="28">
        <v>148.85070012083341</v>
      </c>
      <c r="E3909" s="14" t="s">
        <v>1794</v>
      </c>
      <c r="F3909" s="11">
        <v>170</v>
      </c>
    </row>
    <row r="3910" spans="2:6" x14ac:dyDescent="0.3">
      <c r="B3910" s="12">
        <v>3907</v>
      </c>
      <c r="C3910" s="28">
        <v>159.34793787518461</v>
      </c>
      <c r="E3910" s="14" t="s">
        <v>3308</v>
      </c>
      <c r="F3910" s="11">
        <v>174</v>
      </c>
    </row>
    <row r="3911" spans="2:6" x14ac:dyDescent="0.3">
      <c r="B3911" s="12">
        <v>3908</v>
      </c>
      <c r="C3911" s="28">
        <v>153.87525466374029</v>
      </c>
      <c r="E3911" s="14" t="s">
        <v>3628</v>
      </c>
      <c r="F3911" s="11">
        <v>162</v>
      </c>
    </row>
    <row r="3912" spans="2:6" x14ac:dyDescent="0.3">
      <c r="B3912" s="12">
        <v>3909</v>
      </c>
      <c r="C3912" s="28">
        <v>166.7545956018291</v>
      </c>
      <c r="E3912" s="14" t="s">
        <v>1976</v>
      </c>
      <c r="F3912" s="11">
        <v>160</v>
      </c>
    </row>
    <row r="3913" spans="2:6" x14ac:dyDescent="0.3">
      <c r="B3913" s="12">
        <v>3910</v>
      </c>
      <c r="C3913" s="28">
        <v>162.60357935261786</v>
      </c>
      <c r="E3913" s="14" t="s">
        <v>4666</v>
      </c>
      <c r="F3913" s="11">
        <v>163</v>
      </c>
    </row>
    <row r="3914" spans="2:6" x14ac:dyDescent="0.3">
      <c r="B3914" s="12">
        <v>3911</v>
      </c>
      <c r="C3914" s="28">
        <v>167.92893702028636</v>
      </c>
      <c r="E3914" s="14" t="s">
        <v>1992</v>
      </c>
      <c r="F3914" s="11">
        <v>160</v>
      </c>
    </row>
    <row r="3915" spans="2:6" x14ac:dyDescent="0.3">
      <c r="B3915" s="12">
        <v>3912</v>
      </c>
      <c r="C3915" s="28">
        <v>164.20609498997413</v>
      </c>
      <c r="E3915" s="14" t="s">
        <v>2838</v>
      </c>
      <c r="F3915" s="11">
        <v>168</v>
      </c>
    </row>
    <row r="3916" spans="2:6" x14ac:dyDescent="0.3">
      <c r="B3916" s="12">
        <v>3913</v>
      </c>
      <c r="C3916" s="28">
        <v>160.06641628339483</v>
      </c>
      <c r="E3916" s="14" t="s">
        <v>4393</v>
      </c>
      <c r="F3916" s="11">
        <v>178</v>
      </c>
    </row>
    <row r="3917" spans="2:6" x14ac:dyDescent="0.3">
      <c r="B3917" s="12">
        <v>3914</v>
      </c>
      <c r="C3917" s="28">
        <v>157.78454290518803</v>
      </c>
      <c r="E3917" s="14" t="s">
        <v>2017</v>
      </c>
      <c r="F3917" s="11">
        <v>178</v>
      </c>
    </row>
    <row r="3918" spans="2:6" x14ac:dyDescent="0.3">
      <c r="B3918" s="12">
        <v>3915</v>
      </c>
      <c r="C3918" s="28">
        <v>156.21306699064249</v>
      </c>
      <c r="E3918" s="14" t="s">
        <v>3582</v>
      </c>
      <c r="F3918" s="11">
        <v>168</v>
      </c>
    </row>
    <row r="3919" spans="2:6" x14ac:dyDescent="0.3">
      <c r="B3919" s="12">
        <v>3916</v>
      </c>
      <c r="C3919" s="28">
        <v>168.44489041133025</v>
      </c>
      <c r="E3919" s="14" t="s">
        <v>4896</v>
      </c>
      <c r="F3919" s="11">
        <v>165</v>
      </c>
    </row>
    <row r="3920" spans="2:6" x14ac:dyDescent="0.3">
      <c r="B3920" s="12">
        <v>3917</v>
      </c>
      <c r="C3920" s="28">
        <v>159.3712565811864</v>
      </c>
      <c r="E3920" s="14" t="s">
        <v>4954</v>
      </c>
      <c r="F3920" s="11">
        <v>164</v>
      </c>
    </row>
    <row r="3921" spans="2:6" x14ac:dyDescent="0.3">
      <c r="B3921" s="12">
        <v>3918</v>
      </c>
      <c r="C3921" s="28">
        <v>177.32707961660569</v>
      </c>
      <c r="E3921" s="14" t="s">
        <v>1551</v>
      </c>
      <c r="F3921" s="11">
        <v>175</v>
      </c>
    </row>
    <row r="3922" spans="2:6" x14ac:dyDescent="0.3">
      <c r="B3922" s="12">
        <v>3919</v>
      </c>
      <c r="C3922" s="28">
        <v>166.01830699070769</v>
      </c>
      <c r="E3922" s="14" t="s">
        <v>1859</v>
      </c>
      <c r="F3922" s="11">
        <v>161</v>
      </c>
    </row>
    <row r="3923" spans="2:6" x14ac:dyDescent="0.3">
      <c r="B3923" s="12">
        <v>3920</v>
      </c>
      <c r="C3923" s="28">
        <v>157.77479325029751</v>
      </c>
      <c r="E3923" s="14" t="s">
        <v>2284</v>
      </c>
      <c r="F3923" s="11">
        <v>165</v>
      </c>
    </row>
    <row r="3924" spans="2:6" x14ac:dyDescent="0.3">
      <c r="B3924" s="12">
        <v>3921</v>
      </c>
      <c r="C3924" s="28">
        <v>172.37804794426285</v>
      </c>
      <c r="E3924" s="14" t="s">
        <v>430</v>
      </c>
      <c r="F3924" s="11">
        <v>176</v>
      </c>
    </row>
    <row r="3925" spans="2:6" x14ac:dyDescent="0.3">
      <c r="B3925" s="12">
        <v>3922</v>
      </c>
      <c r="C3925" s="28">
        <v>152.12493273856208</v>
      </c>
      <c r="E3925" s="14" t="s">
        <v>4594</v>
      </c>
      <c r="F3925" s="11">
        <v>164</v>
      </c>
    </row>
    <row r="3926" spans="2:6" x14ac:dyDescent="0.3">
      <c r="B3926" s="12">
        <v>3923</v>
      </c>
      <c r="C3926" s="28">
        <v>171.1074014426834</v>
      </c>
      <c r="E3926" s="14" t="s">
        <v>949</v>
      </c>
      <c r="F3926" s="11">
        <v>193</v>
      </c>
    </row>
    <row r="3927" spans="2:6" x14ac:dyDescent="0.3">
      <c r="B3927" s="12">
        <v>3924</v>
      </c>
      <c r="C3927" s="28">
        <v>149.25526839363403</v>
      </c>
      <c r="E3927" s="14" t="s">
        <v>3031</v>
      </c>
      <c r="F3927" s="11">
        <v>173</v>
      </c>
    </row>
    <row r="3928" spans="2:6" x14ac:dyDescent="0.3">
      <c r="B3928" s="12">
        <v>3925</v>
      </c>
      <c r="C3928" s="28">
        <v>165.21749307436897</v>
      </c>
      <c r="E3928" s="14" t="s">
        <v>631</v>
      </c>
      <c r="F3928" s="11">
        <v>173</v>
      </c>
    </row>
    <row r="3929" spans="2:6" x14ac:dyDescent="0.3">
      <c r="B3929" s="12">
        <v>3926</v>
      </c>
      <c r="C3929" s="28">
        <v>167.44590867850906</v>
      </c>
      <c r="E3929" s="14" t="s">
        <v>1543</v>
      </c>
      <c r="F3929" s="11">
        <v>162</v>
      </c>
    </row>
    <row r="3930" spans="2:6" x14ac:dyDescent="0.3">
      <c r="B3930" s="12">
        <v>3927</v>
      </c>
      <c r="C3930" s="28">
        <v>163.65267064703178</v>
      </c>
      <c r="E3930" s="14" t="s">
        <v>3789</v>
      </c>
      <c r="F3930" s="11">
        <v>157</v>
      </c>
    </row>
    <row r="3931" spans="2:6" x14ac:dyDescent="0.3">
      <c r="B3931" s="12">
        <v>3928</v>
      </c>
      <c r="C3931" s="28">
        <v>163.58961470285004</v>
      </c>
      <c r="E3931" s="14" t="s">
        <v>4814</v>
      </c>
      <c r="F3931" s="11">
        <v>159</v>
      </c>
    </row>
    <row r="3932" spans="2:6" x14ac:dyDescent="0.3">
      <c r="B3932" s="12">
        <v>3929</v>
      </c>
      <c r="C3932" s="28">
        <v>169.84646696006871</v>
      </c>
      <c r="E3932" s="14" t="s">
        <v>2582</v>
      </c>
      <c r="F3932" s="11">
        <v>164</v>
      </c>
    </row>
    <row r="3933" spans="2:6" x14ac:dyDescent="0.3">
      <c r="B3933" s="12">
        <v>3930</v>
      </c>
      <c r="C3933" s="28">
        <v>165.37979438017643</v>
      </c>
      <c r="E3933" s="14" t="s">
        <v>1980</v>
      </c>
      <c r="F3933" s="11">
        <v>173</v>
      </c>
    </row>
    <row r="3934" spans="2:6" x14ac:dyDescent="0.3">
      <c r="B3934" s="12">
        <v>3931</v>
      </c>
      <c r="C3934" s="28">
        <v>158.42932492014546</v>
      </c>
      <c r="E3934" s="14" t="s">
        <v>4151</v>
      </c>
      <c r="F3934" s="11">
        <v>165</v>
      </c>
    </row>
    <row r="3935" spans="2:6" x14ac:dyDescent="0.3">
      <c r="B3935" s="12">
        <v>3932</v>
      </c>
      <c r="C3935" s="28">
        <v>161.1310859453304</v>
      </c>
      <c r="E3935" s="14" t="s">
        <v>706</v>
      </c>
      <c r="F3935" s="11">
        <v>155</v>
      </c>
    </row>
    <row r="3936" spans="2:6" x14ac:dyDescent="0.3">
      <c r="B3936" s="12">
        <v>3933</v>
      </c>
      <c r="C3936" s="28">
        <v>161.84819846651322</v>
      </c>
      <c r="E3936" s="14" t="s">
        <v>3674</v>
      </c>
      <c r="F3936" s="11">
        <v>178</v>
      </c>
    </row>
    <row r="3937" spans="2:6" x14ac:dyDescent="0.3">
      <c r="B3937" s="12">
        <v>3934</v>
      </c>
      <c r="C3937" s="28">
        <v>159.50957662063544</v>
      </c>
      <c r="E3937" s="14" t="s">
        <v>2004</v>
      </c>
      <c r="F3937" s="11">
        <v>163</v>
      </c>
    </row>
    <row r="3938" spans="2:6" x14ac:dyDescent="0.3">
      <c r="B3938" s="12">
        <v>3935</v>
      </c>
      <c r="C3938" s="28">
        <v>172.78510525406935</v>
      </c>
      <c r="E3938" s="14" t="s">
        <v>1439</v>
      </c>
      <c r="F3938" s="11">
        <v>160</v>
      </c>
    </row>
    <row r="3939" spans="2:6" x14ac:dyDescent="0.3">
      <c r="B3939" s="12">
        <v>3936</v>
      </c>
      <c r="C3939" s="28">
        <v>168.0506660083542</v>
      </c>
      <c r="E3939" s="14" t="s">
        <v>3807</v>
      </c>
      <c r="F3939" s="11">
        <v>162</v>
      </c>
    </row>
    <row r="3940" spans="2:6" x14ac:dyDescent="0.3">
      <c r="B3940" s="12">
        <v>3937</v>
      </c>
      <c r="C3940" s="28">
        <v>155.1150259136744</v>
      </c>
      <c r="E3940" s="14" t="s">
        <v>574</v>
      </c>
      <c r="F3940" s="11">
        <v>174</v>
      </c>
    </row>
    <row r="3941" spans="2:6" x14ac:dyDescent="0.3">
      <c r="B3941" s="12">
        <v>3938</v>
      </c>
      <c r="C3941" s="28">
        <v>157.63302205394919</v>
      </c>
      <c r="E3941" s="14" t="s">
        <v>3808</v>
      </c>
      <c r="F3941" s="11">
        <v>166</v>
      </c>
    </row>
    <row r="3942" spans="2:6" x14ac:dyDescent="0.3">
      <c r="B3942" s="12">
        <v>3939</v>
      </c>
      <c r="C3942" s="28">
        <v>176.45630794307121</v>
      </c>
      <c r="E3942" s="14" t="s">
        <v>2547</v>
      </c>
      <c r="F3942" s="11">
        <v>158</v>
      </c>
    </row>
    <row r="3943" spans="2:6" x14ac:dyDescent="0.3">
      <c r="B3943" s="12">
        <v>3940</v>
      </c>
      <c r="C3943" s="28">
        <v>154.52772412307334</v>
      </c>
      <c r="E3943" s="14" t="s">
        <v>68</v>
      </c>
      <c r="F3943" s="11">
        <v>172</v>
      </c>
    </row>
    <row r="3944" spans="2:6" x14ac:dyDescent="0.3">
      <c r="B3944" s="12">
        <v>3941</v>
      </c>
      <c r="C3944" s="28">
        <v>174.26456177302111</v>
      </c>
      <c r="E3944" s="14" t="s">
        <v>120</v>
      </c>
      <c r="F3944" s="11">
        <v>165</v>
      </c>
    </row>
    <row r="3945" spans="2:6" x14ac:dyDescent="0.3">
      <c r="B3945" s="12">
        <v>3942</v>
      </c>
      <c r="C3945" s="28">
        <v>156.34342215141882</v>
      </c>
      <c r="E3945" s="14" t="s">
        <v>2469</v>
      </c>
      <c r="F3945" s="11">
        <v>157</v>
      </c>
    </row>
    <row r="3946" spans="2:6" x14ac:dyDescent="0.3">
      <c r="B3946" s="12">
        <v>3943</v>
      </c>
      <c r="C3946" s="28">
        <v>156.2020179180922</v>
      </c>
      <c r="E3946" s="14" t="s">
        <v>4322</v>
      </c>
      <c r="F3946" s="11">
        <v>163</v>
      </c>
    </row>
    <row r="3947" spans="2:6" x14ac:dyDescent="0.3">
      <c r="B3947" s="12">
        <v>3944</v>
      </c>
      <c r="C3947" s="28">
        <v>160.76348919218017</v>
      </c>
      <c r="E3947" s="14" t="s">
        <v>4756</v>
      </c>
      <c r="F3947" s="11">
        <v>145</v>
      </c>
    </row>
    <row r="3948" spans="2:6" x14ac:dyDescent="0.3">
      <c r="B3948" s="12">
        <v>3945</v>
      </c>
      <c r="C3948" s="28">
        <v>171.29434079001425</v>
      </c>
      <c r="E3948" s="14" t="s">
        <v>1251</v>
      </c>
      <c r="F3948" s="11">
        <v>152</v>
      </c>
    </row>
    <row r="3949" spans="2:6" x14ac:dyDescent="0.3">
      <c r="B3949" s="12">
        <v>3946</v>
      </c>
      <c r="C3949" s="28">
        <v>155.73263297861783</v>
      </c>
      <c r="E3949" s="14" t="s">
        <v>4704</v>
      </c>
      <c r="F3949" s="11">
        <v>165</v>
      </c>
    </row>
    <row r="3950" spans="2:6" x14ac:dyDescent="0.3">
      <c r="B3950" s="12">
        <v>3947</v>
      </c>
      <c r="C3950" s="28">
        <v>172.35579214859573</v>
      </c>
      <c r="E3950" s="14" t="s">
        <v>4259</v>
      </c>
      <c r="F3950" s="11">
        <v>171</v>
      </c>
    </row>
    <row r="3951" spans="2:6" x14ac:dyDescent="0.3">
      <c r="B3951" s="12">
        <v>3948</v>
      </c>
      <c r="C3951" s="28">
        <v>173.06981721599664</v>
      </c>
      <c r="E3951" s="14" t="s">
        <v>3533</v>
      </c>
      <c r="F3951" s="11">
        <v>159</v>
      </c>
    </row>
    <row r="3952" spans="2:6" x14ac:dyDescent="0.3">
      <c r="B3952" s="12">
        <v>3949</v>
      </c>
      <c r="C3952" s="28">
        <v>168.30495861350761</v>
      </c>
      <c r="E3952" s="14" t="s">
        <v>1247</v>
      </c>
      <c r="F3952" s="11">
        <v>167</v>
      </c>
    </row>
    <row r="3953" spans="2:6" x14ac:dyDescent="0.3">
      <c r="B3953" s="12">
        <v>3950</v>
      </c>
      <c r="C3953" s="28">
        <v>167.85509769155888</v>
      </c>
      <c r="E3953" s="14" t="s">
        <v>1491</v>
      </c>
      <c r="F3953" s="11">
        <v>164</v>
      </c>
    </row>
    <row r="3954" spans="2:6" x14ac:dyDescent="0.3">
      <c r="B3954" s="12">
        <v>3951</v>
      </c>
      <c r="C3954" s="28">
        <v>168.37728086515691</v>
      </c>
      <c r="E3954" s="14" t="s">
        <v>2911</v>
      </c>
      <c r="F3954" s="11">
        <v>163</v>
      </c>
    </row>
    <row r="3955" spans="2:6" x14ac:dyDescent="0.3">
      <c r="B3955" s="12">
        <v>3952</v>
      </c>
      <c r="C3955" s="28">
        <v>156.37744801983865</v>
      </c>
      <c r="E3955" s="14" t="s">
        <v>4678</v>
      </c>
      <c r="F3955" s="11">
        <v>178</v>
      </c>
    </row>
    <row r="3956" spans="2:6" x14ac:dyDescent="0.3">
      <c r="B3956" s="12">
        <v>3953</v>
      </c>
      <c r="C3956" s="28">
        <v>149.29969461854898</v>
      </c>
      <c r="E3956" s="14" t="s">
        <v>820</v>
      </c>
      <c r="F3956" s="11">
        <v>180</v>
      </c>
    </row>
    <row r="3957" spans="2:6" x14ac:dyDescent="0.3">
      <c r="B3957" s="12">
        <v>3954</v>
      </c>
      <c r="C3957" s="28">
        <v>156.9085988639242</v>
      </c>
      <c r="E3957" s="14" t="s">
        <v>1449</v>
      </c>
      <c r="F3957" s="11">
        <v>169</v>
      </c>
    </row>
    <row r="3958" spans="2:6" x14ac:dyDescent="0.3">
      <c r="B3958" s="12">
        <v>3955</v>
      </c>
      <c r="C3958" s="28">
        <v>157.43543550864149</v>
      </c>
      <c r="E3958" s="14" t="s">
        <v>316</v>
      </c>
      <c r="F3958" s="11">
        <v>178</v>
      </c>
    </row>
    <row r="3959" spans="2:6" x14ac:dyDescent="0.3">
      <c r="B3959" s="12">
        <v>3956</v>
      </c>
      <c r="C3959" s="28">
        <v>156.65719517789867</v>
      </c>
      <c r="E3959" s="14" t="s">
        <v>2990</v>
      </c>
      <c r="F3959" s="11">
        <v>180</v>
      </c>
    </row>
    <row r="3960" spans="2:6" x14ac:dyDescent="0.3">
      <c r="B3960" s="12">
        <v>3957</v>
      </c>
      <c r="C3960" s="28">
        <v>169.37852518176791</v>
      </c>
      <c r="E3960" s="14" t="s">
        <v>1464</v>
      </c>
      <c r="F3960" s="11">
        <v>171</v>
      </c>
    </row>
    <row r="3961" spans="2:6" x14ac:dyDescent="0.3">
      <c r="B3961" s="12">
        <v>3958</v>
      </c>
      <c r="C3961" s="28">
        <v>158.68846255714422</v>
      </c>
      <c r="E3961" s="14" t="s">
        <v>2749</v>
      </c>
      <c r="F3961" s="11">
        <v>176</v>
      </c>
    </row>
    <row r="3962" spans="2:6" x14ac:dyDescent="0.3">
      <c r="B3962" s="12">
        <v>3959</v>
      </c>
      <c r="C3962" s="28">
        <v>166.54130863453369</v>
      </c>
      <c r="E3962" s="14" t="s">
        <v>3093</v>
      </c>
      <c r="F3962" s="11">
        <v>165</v>
      </c>
    </row>
    <row r="3963" spans="2:6" x14ac:dyDescent="0.3">
      <c r="B3963" s="12">
        <v>3960</v>
      </c>
      <c r="C3963" s="28">
        <v>166.41298094116394</v>
      </c>
      <c r="E3963" s="14" t="s">
        <v>1607</v>
      </c>
      <c r="F3963" s="11">
        <v>162</v>
      </c>
    </row>
    <row r="3964" spans="2:6" x14ac:dyDescent="0.3">
      <c r="B3964" s="12">
        <v>3961</v>
      </c>
      <c r="C3964" s="28">
        <v>170.53531852942351</v>
      </c>
      <c r="E3964" s="14" t="s">
        <v>4304</v>
      </c>
      <c r="F3964" s="11">
        <v>181</v>
      </c>
    </row>
    <row r="3965" spans="2:6" x14ac:dyDescent="0.3">
      <c r="B3965" s="12">
        <v>3962</v>
      </c>
      <c r="C3965" s="28">
        <v>173.10806894973507</v>
      </c>
      <c r="E3965" s="14" t="s">
        <v>4429</v>
      </c>
      <c r="F3965" s="11">
        <v>177</v>
      </c>
    </row>
    <row r="3966" spans="2:6" x14ac:dyDescent="0.3">
      <c r="B3966" s="12">
        <v>3963</v>
      </c>
      <c r="C3966" s="28">
        <v>148.87362950925777</v>
      </c>
      <c r="E3966" s="14" t="s">
        <v>3027</v>
      </c>
      <c r="F3966" s="11">
        <v>164</v>
      </c>
    </row>
    <row r="3967" spans="2:6" x14ac:dyDescent="0.3">
      <c r="B3967" s="12">
        <v>3964</v>
      </c>
      <c r="C3967" s="28">
        <v>163.41036168395902</v>
      </c>
      <c r="E3967" s="14" t="s">
        <v>2543</v>
      </c>
      <c r="F3967" s="11">
        <v>161</v>
      </c>
    </row>
    <row r="3968" spans="2:6" x14ac:dyDescent="0.3">
      <c r="B3968" s="12">
        <v>3965</v>
      </c>
      <c r="C3968" s="28">
        <v>164.72601017161082</v>
      </c>
      <c r="E3968" s="14" t="s">
        <v>1799</v>
      </c>
      <c r="F3968" s="11">
        <v>163</v>
      </c>
    </row>
    <row r="3969" spans="2:6" x14ac:dyDescent="0.3">
      <c r="B3969" s="12">
        <v>3966</v>
      </c>
      <c r="C3969" s="28">
        <v>158.87221705336779</v>
      </c>
      <c r="E3969" s="14" t="s">
        <v>1664</v>
      </c>
      <c r="F3969" s="11">
        <v>160</v>
      </c>
    </row>
    <row r="3970" spans="2:6" x14ac:dyDescent="0.3">
      <c r="B3970" s="12">
        <v>3967</v>
      </c>
      <c r="C3970" s="28">
        <v>163.27560698041358</v>
      </c>
      <c r="E3970" s="14" t="s">
        <v>569</v>
      </c>
      <c r="F3970" s="11">
        <v>170</v>
      </c>
    </row>
    <row r="3971" spans="2:6" x14ac:dyDescent="0.3">
      <c r="B3971" s="12">
        <v>3968</v>
      </c>
      <c r="C3971" s="28">
        <v>166.6897939563369</v>
      </c>
      <c r="E3971" s="14" t="s">
        <v>2969</v>
      </c>
      <c r="F3971" s="11">
        <v>175</v>
      </c>
    </row>
    <row r="3972" spans="2:6" x14ac:dyDescent="0.3">
      <c r="B3972" s="12">
        <v>3969</v>
      </c>
      <c r="C3972" s="28">
        <v>150.16099709209732</v>
      </c>
      <c r="E3972" s="14" t="s">
        <v>4426</v>
      </c>
      <c r="F3972" s="11">
        <v>165</v>
      </c>
    </row>
    <row r="3973" spans="2:6" x14ac:dyDescent="0.3">
      <c r="B3973" s="12">
        <v>3970</v>
      </c>
      <c r="C3973" s="28">
        <v>163.60923528420952</v>
      </c>
      <c r="E3973" s="14" t="s">
        <v>2427</v>
      </c>
      <c r="F3973" s="11">
        <v>179</v>
      </c>
    </row>
    <row r="3974" spans="2:6" x14ac:dyDescent="0.3">
      <c r="B3974" s="12">
        <v>3971</v>
      </c>
      <c r="C3974" s="28">
        <v>161.23922564115014</v>
      </c>
      <c r="E3974" s="14" t="s">
        <v>3098</v>
      </c>
      <c r="F3974" s="11">
        <v>155</v>
      </c>
    </row>
    <row r="3975" spans="2:6" x14ac:dyDescent="0.3">
      <c r="B3975" s="12">
        <v>3972</v>
      </c>
      <c r="C3975" s="28">
        <v>149.47285513752163</v>
      </c>
      <c r="E3975" s="14" t="s">
        <v>2578</v>
      </c>
      <c r="F3975" s="11">
        <v>165</v>
      </c>
    </row>
    <row r="3976" spans="2:6" x14ac:dyDescent="0.3">
      <c r="B3976" s="12">
        <v>3973</v>
      </c>
      <c r="C3976" s="28">
        <v>162.63863103055397</v>
      </c>
      <c r="E3976" s="14" t="s">
        <v>367</v>
      </c>
      <c r="F3976" s="11">
        <v>191</v>
      </c>
    </row>
    <row r="3977" spans="2:6" x14ac:dyDescent="0.3">
      <c r="B3977" s="12">
        <v>3974</v>
      </c>
      <c r="C3977" s="28">
        <v>151.13751628704208</v>
      </c>
      <c r="E3977" s="14" t="s">
        <v>1873</v>
      </c>
      <c r="F3977" s="11">
        <v>162</v>
      </c>
    </row>
    <row r="3978" spans="2:6" x14ac:dyDescent="0.3">
      <c r="B3978" s="12">
        <v>3975</v>
      </c>
      <c r="C3978" s="28">
        <v>165.27045236727542</v>
      </c>
      <c r="E3978" s="14" t="s">
        <v>1386</v>
      </c>
      <c r="F3978" s="11">
        <v>176</v>
      </c>
    </row>
    <row r="3979" spans="2:6" x14ac:dyDescent="0.3">
      <c r="B3979" s="12">
        <v>3976</v>
      </c>
      <c r="C3979" s="28">
        <v>159.62765392961495</v>
      </c>
      <c r="E3979" s="14" t="s">
        <v>4072</v>
      </c>
      <c r="F3979" s="11">
        <v>173</v>
      </c>
    </row>
    <row r="3980" spans="2:6" x14ac:dyDescent="0.3">
      <c r="B3980" s="12">
        <v>3977</v>
      </c>
      <c r="C3980" s="28">
        <v>160.52114669285828</v>
      </c>
      <c r="E3980" s="14" t="s">
        <v>651</v>
      </c>
      <c r="F3980" s="11">
        <v>168</v>
      </c>
    </row>
    <row r="3981" spans="2:6" x14ac:dyDescent="0.3">
      <c r="B3981" s="12">
        <v>3978</v>
      </c>
      <c r="C3981" s="28">
        <v>158.80966310311069</v>
      </c>
      <c r="E3981" s="14" t="s">
        <v>1262</v>
      </c>
      <c r="F3981" s="11">
        <v>176</v>
      </c>
    </row>
    <row r="3982" spans="2:6" x14ac:dyDescent="0.3">
      <c r="B3982" s="12">
        <v>3979</v>
      </c>
      <c r="C3982" s="28">
        <v>171.22129723067545</v>
      </c>
      <c r="E3982" s="14" t="s">
        <v>691</v>
      </c>
      <c r="F3982" s="11">
        <v>178</v>
      </c>
    </row>
    <row r="3983" spans="2:6" x14ac:dyDescent="0.3">
      <c r="B3983" s="12">
        <v>3980</v>
      </c>
      <c r="C3983" s="28">
        <v>160.46190295286669</v>
      </c>
      <c r="E3983" s="14" t="s">
        <v>2954</v>
      </c>
      <c r="F3983" s="11">
        <v>161</v>
      </c>
    </row>
    <row r="3984" spans="2:6" x14ac:dyDescent="0.3">
      <c r="B3984" s="12">
        <v>3981</v>
      </c>
      <c r="C3984" s="28">
        <v>167.42727251561428</v>
      </c>
      <c r="E3984" s="14" t="s">
        <v>228</v>
      </c>
      <c r="F3984" s="11">
        <v>178</v>
      </c>
    </row>
    <row r="3985" spans="2:6" x14ac:dyDescent="0.3">
      <c r="B3985" s="12">
        <v>3982</v>
      </c>
      <c r="C3985" s="28">
        <v>159.11610154828489</v>
      </c>
      <c r="E3985" s="14" t="s">
        <v>230</v>
      </c>
      <c r="F3985" s="11">
        <v>163</v>
      </c>
    </row>
    <row r="3986" spans="2:6" x14ac:dyDescent="0.3">
      <c r="B3986" s="12">
        <v>3983</v>
      </c>
      <c r="C3986" s="28">
        <v>160.06107962318882</v>
      </c>
      <c r="E3986" s="14" t="s">
        <v>1840</v>
      </c>
      <c r="F3986" s="11">
        <v>180</v>
      </c>
    </row>
    <row r="3987" spans="2:6" x14ac:dyDescent="0.3">
      <c r="B3987" s="12">
        <v>3984</v>
      </c>
      <c r="C3987" s="28">
        <v>178.0000612402153</v>
      </c>
      <c r="E3987" s="14" t="s">
        <v>4548</v>
      </c>
      <c r="F3987" s="11">
        <v>167</v>
      </c>
    </row>
    <row r="3988" spans="2:6" x14ac:dyDescent="0.3">
      <c r="B3988" s="12">
        <v>3985</v>
      </c>
      <c r="C3988" s="28">
        <v>159.85502180367382</v>
      </c>
      <c r="E3988" s="14" t="s">
        <v>2247</v>
      </c>
      <c r="F3988" s="11">
        <v>156</v>
      </c>
    </row>
    <row r="3989" spans="2:6" x14ac:dyDescent="0.3">
      <c r="B3989" s="12">
        <v>3986</v>
      </c>
      <c r="C3989" s="28">
        <v>170.22936327912413</v>
      </c>
      <c r="E3989" s="14" t="s">
        <v>4079</v>
      </c>
      <c r="F3989" s="11">
        <v>167</v>
      </c>
    </row>
    <row r="3990" spans="2:6" x14ac:dyDescent="0.3">
      <c r="B3990" s="12">
        <v>3987</v>
      </c>
      <c r="C3990" s="28">
        <v>153.05868859910657</v>
      </c>
      <c r="E3990" s="14" t="s">
        <v>136</v>
      </c>
      <c r="F3990" s="11">
        <v>169</v>
      </c>
    </row>
    <row r="3991" spans="2:6" x14ac:dyDescent="0.3">
      <c r="B3991" s="12">
        <v>3988</v>
      </c>
      <c r="C3991" s="28">
        <v>166.63087551875847</v>
      </c>
      <c r="E3991" s="14" t="s">
        <v>897</v>
      </c>
      <c r="F3991" s="11">
        <v>173</v>
      </c>
    </row>
    <row r="3992" spans="2:6" x14ac:dyDescent="0.3">
      <c r="B3992" s="12">
        <v>3989</v>
      </c>
      <c r="C3992" s="28">
        <v>168.73474124643565</v>
      </c>
      <c r="E3992" s="14" t="s">
        <v>1256</v>
      </c>
      <c r="F3992" s="11">
        <v>173</v>
      </c>
    </row>
    <row r="3993" spans="2:6" x14ac:dyDescent="0.3">
      <c r="B3993" s="12">
        <v>3990</v>
      </c>
      <c r="C3993" s="28">
        <v>162.38251353159444</v>
      </c>
      <c r="E3993" s="14" t="s">
        <v>1661</v>
      </c>
      <c r="F3993" s="11">
        <v>167</v>
      </c>
    </row>
    <row r="3994" spans="2:6" x14ac:dyDescent="0.3">
      <c r="B3994" s="12">
        <v>3991</v>
      </c>
      <c r="C3994" s="28">
        <v>158.87811894065521</v>
      </c>
      <c r="E3994" s="14" t="s">
        <v>1865</v>
      </c>
      <c r="F3994" s="11">
        <v>169</v>
      </c>
    </row>
    <row r="3995" spans="2:6" x14ac:dyDescent="0.3">
      <c r="B3995" s="12">
        <v>3992</v>
      </c>
      <c r="C3995" s="28">
        <v>162.06480877899835</v>
      </c>
      <c r="E3995" s="14" t="s">
        <v>977</v>
      </c>
      <c r="F3995" s="11">
        <v>171</v>
      </c>
    </row>
    <row r="3996" spans="2:6" x14ac:dyDescent="0.3">
      <c r="B3996" s="12">
        <v>3993</v>
      </c>
      <c r="C3996" s="28">
        <v>163.40613812458628</v>
      </c>
      <c r="E3996" s="14" t="s">
        <v>2850</v>
      </c>
      <c r="F3996" s="11">
        <v>166</v>
      </c>
    </row>
    <row r="3997" spans="2:6" x14ac:dyDescent="0.3">
      <c r="B3997" s="12">
        <v>3994</v>
      </c>
      <c r="C3997" s="28">
        <v>171.54600800012889</v>
      </c>
      <c r="E3997" s="14" t="s">
        <v>2842</v>
      </c>
      <c r="F3997" s="11">
        <v>148</v>
      </c>
    </row>
    <row r="3998" spans="2:6" x14ac:dyDescent="0.3">
      <c r="B3998" s="12">
        <v>3995</v>
      </c>
      <c r="C3998" s="28">
        <v>158.25394586257863</v>
      </c>
      <c r="E3998" s="14" t="s">
        <v>4671</v>
      </c>
      <c r="F3998" s="11">
        <v>180</v>
      </c>
    </row>
    <row r="3999" spans="2:6" x14ac:dyDescent="0.3">
      <c r="B3999" s="12">
        <v>3996</v>
      </c>
      <c r="C3999" s="28">
        <v>156.25192769366919</v>
      </c>
      <c r="E3999" s="14" t="s">
        <v>1004</v>
      </c>
      <c r="F3999" s="11">
        <v>169</v>
      </c>
    </row>
    <row r="4000" spans="2:6" x14ac:dyDescent="0.3">
      <c r="B4000" s="12">
        <v>3997</v>
      </c>
      <c r="C4000" s="28">
        <v>159.453903145754</v>
      </c>
      <c r="E4000" s="14" t="s">
        <v>4579</v>
      </c>
      <c r="F4000" s="11">
        <v>170</v>
      </c>
    </row>
    <row r="4001" spans="2:6" x14ac:dyDescent="0.3">
      <c r="B4001" s="12">
        <v>3998</v>
      </c>
      <c r="C4001" s="28">
        <v>168.18174552334321</v>
      </c>
      <c r="E4001" s="14" t="s">
        <v>3015</v>
      </c>
      <c r="F4001" s="11">
        <v>167</v>
      </c>
    </row>
    <row r="4002" spans="2:6" x14ac:dyDescent="0.3">
      <c r="B4002" s="12">
        <v>3999</v>
      </c>
      <c r="C4002" s="28">
        <v>174.35157290215471</v>
      </c>
      <c r="E4002" s="14" t="s">
        <v>70</v>
      </c>
      <c r="F4002" s="11">
        <v>173</v>
      </c>
    </row>
    <row r="4003" spans="2:6" x14ac:dyDescent="0.3">
      <c r="B4003" s="12">
        <v>4000</v>
      </c>
      <c r="C4003" s="28">
        <v>160.77247501499693</v>
      </c>
      <c r="E4003" s="14" t="s">
        <v>3957</v>
      </c>
      <c r="F4003" s="11">
        <v>156</v>
      </c>
    </row>
    <row r="4004" spans="2:6" x14ac:dyDescent="0.3">
      <c r="B4004" s="12">
        <v>4001</v>
      </c>
      <c r="C4004" s="28">
        <v>148.65458320950236</v>
      </c>
      <c r="E4004" s="14" t="s">
        <v>1966</v>
      </c>
      <c r="F4004" s="11">
        <v>160</v>
      </c>
    </row>
    <row r="4005" spans="2:6" x14ac:dyDescent="0.3">
      <c r="B4005" s="12">
        <v>4002</v>
      </c>
      <c r="C4005" s="28">
        <v>153.26558393830797</v>
      </c>
      <c r="E4005" s="14" t="s">
        <v>225</v>
      </c>
      <c r="F4005" s="11">
        <v>164</v>
      </c>
    </row>
    <row r="4006" spans="2:6" x14ac:dyDescent="0.3">
      <c r="B4006" s="12">
        <v>4003</v>
      </c>
      <c r="C4006" s="28">
        <v>156.0421386427231</v>
      </c>
      <c r="E4006" s="14" t="s">
        <v>2589</v>
      </c>
      <c r="F4006" s="11">
        <v>162</v>
      </c>
    </row>
    <row r="4007" spans="2:6" x14ac:dyDescent="0.3">
      <c r="B4007" s="12">
        <v>4004</v>
      </c>
      <c r="C4007" s="28">
        <v>166.30879231270086</v>
      </c>
      <c r="E4007" s="14" t="s">
        <v>3084</v>
      </c>
      <c r="F4007" s="11">
        <v>169</v>
      </c>
    </row>
    <row r="4008" spans="2:6" x14ac:dyDescent="0.3">
      <c r="B4008" s="12">
        <v>4005</v>
      </c>
      <c r="C4008" s="28">
        <v>153.63049032893542</v>
      </c>
      <c r="E4008" s="14" t="s">
        <v>4425</v>
      </c>
      <c r="F4008" s="11">
        <v>168</v>
      </c>
    </row>
    <row r="4009" spans="2:6" x14ac:dyDescent="0.3">
      <c r="B4009" s="12">
        <v>4006</v>
      </c>
      <c r="C4009" s="28">
        <v>157.48080363708817</v>
      </c>
      <c r="E4009" s="14" t="s">
        <v>90</v>
      </c>
      <c r="F4009" s="11">
        <v>179</v>
      </c>
    </row>
    <row r="4010" spans="2:6" x14ac:dyDescent="0.3">
      <c r="B4010" s="12">
        <v>4007</v>
      </c>
      <c r="C4010" s="28">
        <v>151.55583630797059</v>
      </c>
      <c r="E4010" s="14" t="s">
        <v>836</v>
      </c>
      <c r="F4010" s="11">
        <v>167</v>
      </c>
    </row>
    <row r="4011" spans="2:6" x14ac:dyDescent="0.3">
      <c r="B4011" s="12">
        <v>4008</v>
      </c>
      <c r="C4011" s="28">
        <v>162.0603805853564</v>
      </c>
      <c r="E4011" s="14" t="s">
        <v>2001</v>
      </c>
      <c r="F4011" s="11">
        <v>172</v>
      </c>
    </row>
    <row r="4012" spans="2:6" x14ac:dyDescent="0.3">
      <c r="B4012" s="12">
        <v>4009</v>
      </c>
      <c r="C4012" s="28">
        <v>159.68568650201593</v>
      </c>
      <c r="E4012" s="14" t="s">
        <v>3730</v>
      </c>
      <c r="F4012" s="11">
        <v>165</v>
      </c>
    </row>
    <row r="4013" spans="2:6" x14ac:dyDescent="0.3">
      <c r="B4013" s="12">
        <v>4010</v>
      </c>
      <c r="C4013" s="28">
        <v>168.67264397359489</v>
      </c>
      <c r="E4013" s="14" t="s">
        <v>3014</v>
      </c>
      <c r="F4013" s="11">
        <v>160</v>
      </c>
    </row>
    <row r="4014" spans="2:6" x14ac:dyDescent="0.3">
      <c r="B4014" s="12">
        <v>4011</v>
      </c>
      <c r="C4014" s="28">
        <v>158.88760781232639</v>
      </c>
      <c r="E4014" s="14" t="s">
        <v>2160</v>
      </c>
      <c r="F4014" s="11">
        <v>173</v>
      </c>
    </row>
    <row r="4015" spans="2:6" x14ac:dyDescent="0.3">
      <c r="B4015" s="12">
        <v>4012</v>
      </c>
      <c r="C4015" s="28">
        <v>176.95117956003594</v>
      </c>
      <c r="E4015" s="14" t="s">
        <v>3302</v>
      </c>
      <c r="F4015" s="11">
        <v>168</v>
      </c>
    </row>
    <row r="4016" spans="2:6" x14ac:dyDescent="0.3">
      <c r="B4016" s="12">
        <v>4013</v>
      </c>
      <c r="C4016" s="28">
        <v>157.88378758288599</v>
      </c>
      <c r="E4016" s="14" t="s">
        <v>2989</v>
      </c>
      <c r="F4016" s="11">
        <v>168</v>
      </c>
    </row>
    <row r="4017" spans="2:6" x14ac:dyDescent="0.3">
      <c r="B4017" s="12">
        <v>4014</v>
      </c>
      <c r="C4017" s="28">
        <v>159.24444483375859</v>
      </c>
      <c r="E4017" s="14" t="s">
        <v>722</v>
      </c>
      <c r="F4017" s="11">
        <v>174</v>
      </c>
    </row>
    <row r="4018" spans="2:6" x14ac:dyDescent="0.3">
      <c r="B4018" s="12">
        <v>4015</v>
      </c>
      <c r="C4018" s="28">
        <v>169.36216222839511</v>
      </c>
      <c r="E4018" s="14" t="s">
        <v>1686</v>
      </c>
      <c r="F4018" s="11">
        <v>183</v>
      </c>
    </row>
    <row r="4019" spans="2:6" x14ac:dyDescent="0.3">
      <c r="B4019" s="12">
        <v>4016</v>
      </c>
      <c r="C4019" s="28">
        <v>156.65402658874999</v>
      </c>
      <c r="E4019" s="14" t="s">
        <v>3525</v>
      </c>
      <c r="F4019" s="11">
        <v>169</v>
      </c>
    </row>
    <row r="4020" spans="2:6" x14ac:dyDescent="0.3">
      <c r="B4020" s="12">
        <v>4017</v>
      </c>
      <c r="C4020" s="28">
        <v>152.42993244070166</v>
      </c>
      <c r="E4020" s="14" t="s">
        <v>4140</v>
      </c>
      <c r="F4020" s="11">
        <v>175</v>
      </c>
    </row>
    <row r="4021" spans="2:6" x14ac:dyDescent="0.3">
      <c r="B4021" s="12">
        <v>4018</v>
      </c>
      <c r="C4021" s="28">
        <v>164.14839680961356</v>
      </c>
      <c r="E4021" s="14" t="s">
        <v>1984</v>
      </c>
      <c r="F4021" s="11">
        <v>163</v>
      </c>
    </row>
    <row r="4022" spans="2:6" x14ac:dyDescent="0.3">
      <c r="B4022" s="12">
        <v>4019</v>
      </c>
      <c r="C4022" s="28">
        <v>152.34656407798917</v>
      </c>
      <c r="E4022" s="14" t="s">
        <v>2014</v>
      </c>
      <c r="F4022" s="11">
        <v>167</v>
      </c>
    </row>
    <row r="4023" spans="2:6" x14ac:dyDescent="0.3">
      <c r="B4023" s="12">
        <v>4020</v>
      </c>
      <c r="C4023" s="28">
        <v>164.64679903747384</v>
      </c>
      <c r="E4023" s="14" t="s">
        <v>200</v>
      </c>
      <c r="F4023" s="11">
        <v>171</v>
      </c>
    </row>
    <row r="4024" spans="2:6" x14ac:dyDescent="0.3">
      <c r="B4024" s="12">
        <v>4021</v>
      </c>
      <c r="C4024" s="28">
        <v>170.0089250509906</v>
      </c>
      <c r="E4024" s="14" t="s">
        <v>2945</v>
      </c>
      <c r="F4024" s="11">
        <v>174</v>
      </c>
    </row>
    <row r="4025" spans="2:6" x14ac:dyDescent="0.3">
      <c r="B4025" s="12">
        <v>4022</v>
      </c>
      <c r="C4025" s="28">
        <v>164.1329268763038</v>
      </c>
      <c r="E4025" s="14" t="s">
        <v>3652</v>
      </c>
      <c r="F4025" s="11">
        <v>172</v>
      </c>
    </row>
    <row r="4026" spans="2:6" x14ac:dyDescent="0.3">
      <c r="B4026" s="12">
        <v>4023</v>
      </c>
      <c r="C4026" s="28">
        <v>158.84454892014611</v>
      </c>
      <c r="E4026" s="14" t="s">
        <v>1580</v>
      </c>
      <c r="F4026" s="11">
        <v>170</v>
      </c>
    </row>
    <row r="4027" spans="2:6" x14ac:dyDescent="0.3">
      <c r="B4027" s="12">
        <v>4024</v>
      </c>
      <c r="C4027" s="28">
        <v>149.62219917127192</v>
      </c>
      <c r="E4027" s="14" t="s">
        <v>61</v>
      </c>
      <c r="F4027" s="11">
        <v>170</v>
      </c>
    </row>
    <row r="4028" spans="2:6" x14ac:dyDescent="0.3">
      <c r="B4028" s="12">
        <v>4025</v>
      </c>
      <c r="C4028" s="28">
        <v>162.17203891716119</v>
      </c>
      <c r="E4028" s="14" t="s">
        <v>141</v>
      </c>
      <c r="F4028" s="11">
        <v>162</v>
      </c>
    </row>
    <row r="4029" spans="2:6" x14ac:dyDescent="0.3">
      <c r="B4029" s="12">
        <v>4026</v>
      </c>
      <c r="C4029" s="28">
        <v>171.79450208170718</v>
      </c>
      <c r="E4029" s="14" t="s">
        <v>3212</v>
      </c>
      <c r="F4029" s="11">
        <v>162</v>
      </c>
    </row>
    <row r="4030" spans="2:6" x14ac:dyDescent="0.3">
      <c r="B4030" s="12">
        <v>4027</v>
      </c>
      <c r="C4030" s="28">
        <v>162.69954741142203</v>
      </c>
      <c r="E4030" s="14" t="s">
        <v>3659</v>
      </c>
      <c r="F4030" s="11">
        <v>170</v>
      </c>
    </row>
    <row r="4031" spans="2:6" x14ac:dyDescent="0.3">
      <c r="B4031" s="12">
        <v>4028</v>
      </c>
      <c r="C4031" s="28">
        <v>152.21421702233735</v>
      </c>
      <c r="E4031" s="14" t="s">
        <v>2179</v>
      </c>
      <c r="F4031" s="11">
        <v>170</v>
      </c>
    </row>
    <row r="4032" spans="2:6" x14ac:dyDescent="0.3">
      <c r="B4032" s="12">
        <v>4029</v>
      </c>
      <c r="C4032" s="28">
        <v>167.444021543421</v>
      </c>
      <c r="E4032" s="14" t="s">
        <v>2909</v>
      </c>
      <c r="F4032" s="11">
        <v>175</v>
      </c>
    </row>
    <row r="4033" spans="2:6" x14ac:dyDescent="0.3">
      <c r="B4033" s="12">
        <v>4030</v>
      </c>
      <c r="C4033" s="28">
        <v>163.28833472748713</v>
      </c>
      <c r="E4033" s="14" t="s">
        <v>2872</v>
      </c>
      <c r="F4033" s="11">
        <v>158</v>
      </c>
    </row>
    <row r="4034" spans="2:6" x14ac:dyDescent="0.3">
      <c r="B4034" s="12">
        <v>4031</v>
      </c>
      <c r="C4034" s="28">
        <v>160.99722161089196</v>
      </c>
      <c r="E4034" s="14" t="s">
        <v>2897</v>
      </c>
      <c r="F4034" s="11">
        <v>173</v>
      </c>
    </row>
    <row r="4035" spans="2:6" x14ac:dyDescent="0.3">
      <c r="B4035" s="12">
        <v>4032</v>
      </c>
      <c r="C4035" s="28">
        <v>164.80062501256322</v>
      </c>
      <c r="E4035" s="14" t="s">
        <v>803</v>
      </c>
      <c r="F4035" s="11">
        <v>160</v>
      </c>
    </row>
    <row r="4036" spans="2:6" x14ac:dyDescent="0.3">
      <c r="B4036" s="12">
        <v>4033</v>
      </c>
      <c r="C4036" s="28">
        <v>162.75611380104215</v>
      </c>
      <c r="E4036" s="14" t="s">
        <v>53</v>
      </c>
      <c r="F4036" s="11">
        <v>167</v>
      </c>
    </row>
    <row r="4037" spans="2:6" x14ac:dyDescent="0.3">
      <c r="B4037" s="12">
        <v>4034</v>
      </c>
      <c r="C4037" s="28">
        <v>170.85238189090794</v>
      </c>
      <c r="E4037" s="14" t="s">
        <v>245</v>
      </c>
      <c r="F4037" s="11">
        <v>170</v>
      </c>
    </row>
    <row r="4038" spans="2:6" x14ac:dyDescent="0.3">
      <c r="B4038" s="12">
        <v>4035</v>
      </c>
      <c r="C4038" s="28">
        <v>148.19765366304958</v>
      </c>
      <c r="E4038" s="14" t="s">
        <v>1175</v>
      </c>
      <c r="F4038" s="11">
        <v>163</v>
      </c>
    </row>
    <row r="4039" spans="2:6" x14ac:dyDescent="0.3">
      <c r="B4039" s="12">
        <v>4036</v>
      </c>
      <c r="C4039" s="28">
        <v>162.19959346603321</v>
      </c>
      <c r="E4039" s="14" t="s">
        <v>1335</v>
      </c>
      <c r="F4039" s="11">
        <v>183</v>
      </c>
    </row>
    <row r="4040" spans="2:6" x14ac:dyDescent="0.3">
      <c r="B4040" s="12">
        <v>4037</v>
      </c>
      <c r="C4040" s="28">
        <v>163.62406089066872</v>
      </c>
      <c r="E4040" s="14" t="s">
        <v>1450</v>
      </c>
      <c r="F4040" s="11">
        <v>165</v>
      </c>
    </row>
    <row r="4041" spans="2:6" x14ac:dyDescent="0.3">
      <c r="B4041" s="12">
        <v>4038</v>
      </c>
      <c r="C4041" s="28">
        <v>157.22221756430886</v>
      </c>
      <c r="E4041" s="14" t="s">
        <v>198</v>
      </c>
      <c r="F4041" s="11">
        <v>160</v>
      </c>
    </row>
    <row r="4042" spans="2:6" x14ac:dyDescent="0.3">
      <c r="B4042" s="12">
        <v>4039</v>
      </c>
      <c r="C4042" s="28">
        <v>161.87606656709693</v>
      </c>
      <c r="E4042" s="14" t="s">
        <v>2357</v>
      </c>
      <c r="F4042" s="11">
        <v>170</v>
      </c>
    </row>
    <row r="4043" spans="2:6" x14ac:dyDescent="0.3">
      <c r="B4043" s="12">
        <v>4040</v>
      </c>
      <c r="C4043" s="28">
        <v>169.87238647878658</v>
      </c>
      <c r="E4043" s="14" t="s">
        <v>3908</v>
      </c>
      <c r="F4043" s="11">
        <v>167</v>
      </c>
    </row>
    <row r="4044" spans="2:6" x14ac:dyDescent="0.3">
      <c r="B4044" s="12">
        <v>4041</v>
      </c>
      <c r="C4044" s="28">
        <v>160.58846133496937</v>
      </c>
      <c r="E4044" s="14" t="s">
        <v>3347</v>
      </c>
      <c r="F4044" s="11">
        <v>183</v>
      </c>
    </row>
    <row r="4045" spans="2:6" x14ac:dyDescent="0.3">
      <c r="B4045" s="12">
        <v>4042</v>
      </c>
      <c r="C4045" s="28">
        <v>156.28468636175222</v>
      </c>
      <c r="E4045" s="14" t="s">
        <v>1348</v>
      </c>
      <c r="F4045" s="11">
        <v>160</v>
      </c>
    </row>
    <row r="4046" spans="2:6" x14ac:dyDescent="0.3">
      <c r="B4046" s="12">
        <v>4043</v>
      </c>
      <c r="C4046" s="28">
        <v>160.83719092475332</v>
      </c>
      <c r="E4046" s="14" t="s">
        <v>1509</v>
      </c>
      <c r="F4046" s="11">
        <v>193</v>
      </c>
    </row>
    <row r="4047" spans="2:6" x14ac:dyDescent="0.3">
      <c r="B4047" s="12">
        <v>4044</v>
      </c>
      <c r="C4047" s="28">
        <v>158.12294549152227</v>
      </c>
      <c r="E4047" s="14" t="s">
        <v>2568</v>
      </c>
      <c r="F4047" s="11">
        <v>173</v>
      </c>
    </row>
    <row r="4048" spans="2:6" x14ac:dyDescent="0.3">
      <c r="B4048" s="12">
        <v>4045</v>
      </c>
      <c r="C4048" s="28">
        <v>162.06224239362922</v>
      </c>
      <c r="E4048" s="14" t="s">
        <v>2828</v>
      </c>
      <c r="F4048" s="11">
        <v>173</v>
      </c>
    </row>
    <row r="4049" spans="2:6" x14ac:dyDescent="0.3">
      <c r="B4049" s="12">
        <v>4046</v>
      </c>
      <c r="C4049" s="28">
        <v>167.89519106432269</v>
      </c>
      <c r="E4049" s="14" t="s">
        <v>3516</v>
      </c>
      <c r="F4049" s="11">
        <v>180</v>
      </c>
    </row>
    <row r="4050" spans="2:6" x14ac:dyDescent="0.3">
      <c r="B4050" s="12">
        <v>4047</v>
      </c>
      <c r="C4050" s="28">
        <v>164.96364389004805</v>
      </c>
      <c r="E4050" s="14" t="s">
        <v>4046</v>
      </c>
      <c r="F4050" s="11">
        <v>178</v>
      </c>
    </row>
    <row r="4051" spans="2:6" x14ac:dyDescent="0.3">
      <c r="B4051" s="12">
        <v>4048</v>
      </c>
      <c r="C4051" s="28">
        <v>155.42588865634977</v>
      </c>
      <c r="E4051" s="14" t="s">
        <v>4521</v>
      </c>
      <c r="F4051" s="11">
        <v>177</v>
      </c>
    </row>
    <row r="4052" spans="2:6" x14ac:dyDescent="0.3">
      <c r="B4052" s="12">
        <v>4049</v>
      </c>
      <c r="C4052" s="28">
        <v>166.57130934305133</v>
      </c>
      <c r="E4052" s="14" t="s">
        <v>4567</v>
      </c>
      <c r="F4052" s="11">
        <v>153</v>
      </c>
    </row>
    <row r="4053" spans="2:6" x14ac:dyDescent="0.3">
      <c r="B4053" s="12">
        <v>4050</v>
      </c>
      <c r="C4053" s="28">
        <v>163.66997111660427</v>
      </c>
      <c r="E4053" s="14" t="s">
        <v>4701</v>
      </c>
      <c r="F4053" s="11">
        <v>156</v>
      </c>
    </row>
    <row r="4054" spans="2:6" x14ac:dyDescent="0.3">
      <c r="B4054" s="12">
        <v>4051</v>
      </c>
      <c r="C4054" s="28">
        <v>154.98960001198751</v>
      </c>
      <c r="E4054" s="14" t="s">
        <v>4472</v>
      </c>
      <c r="F4054" s="11">
        <v>169</v>
      </c>
    </row>
    <row r="4055" spans="2:6" x14ac:dyDescent="0.3">
      <c r="B4055" s="12">
        <v>4052</v>
      </c>
      <c r="C4055" s="28">
        <v>152.04471332367433</v>
      </c>
      <c r="E4055" s="14" t="s">
        <v>2752</v>
      </c>
      <c r="F4055" s="11">
        <v>152</v>
      </c>
    </row>
    <row r="4056" spans="2:6" x14ac:dyDescent="0.3">
      <c r="B4056" s="12">
        <v>4053</v>
      </c>
      <c r="C4056" s="28">
        <v>161.9023958216433</v>
      </c>
      <c r="E4056" s="14" t="s">
        <v>3233</v>
      </c>
      <c r="F4056" s="11">
        <v>186</v>
      </c>
    </row>
    <row r="4057" spans="2:6" x14ac:dyDescent="0.3">
      <c r="B4057" s="12">
        <v>4054</v>
      </c>
      <c r="C4057" s="28">
        <v>169.15403566546186</v>
      </c>
      <c r="E4057" s="14" t="s">
        <v>2083</v>
      </c>
      <c r="F4057" s="11">
        <v>185</v>
      </c>
    </row>
    <row r="4058" spans="2:6" x14ac:dyDescent="0.3">
      <c r="B4058" s="12">
        <v>4055</v>
      </c>
      <c r="C4058" s="28">
        <v>153.89283080157145</v>
      </c>
      <c r="E4058" s="14" t="s">
        <v>2966</v>
      </c>
      <c r="F4058" s="11">
        <v>166</v>
      </c>
    </row>
    <row r="4059" spans="2:6" x14ac:dyDescent="0.3">
      <c r="B4059" s="12">
        <v>4056</v>
      </c>
      <c r="C4059" s="28">
        <v>163.72945164392135</v>
      </c>
      <c r="E4059" s="14" t="s">
        <v>3761</v>
      </c>
      <c r="F4059" s="11">
        <v>175</v>
      </c>
    </row>
    <row r="4060" spans="2:6" x14ac:dyDescent="0.3">
      <c r="B4060" s="12">
        <v>4057</v>
      </c>
      <c r="C4060" s="28">
        <v>160.37462182043058</v>
      </c>
      <c r="E4060" s="14" t="s">
        <v>4846</v>
      </c>
      <c r="F4060" s="11">
        <v>157</v>
      </c>
    </row>
    <row r="4061" spans="2:6" x14ac:dyDescent="0.3">
      <c r="B4061" s="12">
        <v>4058</v>
      </c>
      <c r="C4061" s="28">
        <v>154.3374986213102</v>
      </c>
      <c r="E4061" s="14" t="s">
        <v>506</v>
      </c>
      <c r="F4061" s="11">
        <v>173</v>
      </c>
    </row>
    <row r="4062" spans="2:6" x14ac:dyDescent="0.3">
      <c r="B4062" s="12">
        <v>4059</v>
      </c>
      <c r="C4062" s="28">
        <v>144.32848919039427</v>
      </c>
      <c r="E4062" s="14" t="s">
        <v>4220</v>
      </c>
      <c r="F4062" s="11">
        <v>170</v>
      </c>
    </row>
    <row r="4063" spans="2:6" x14ac:dyDescent="0.3">
      <c r="B4063" s="12">
        <v>4060</v>
      </c>
      <c r="C4063" s="28">
        <v>176.18300832344929</v>
      </c>
      <c r="E4063" s="14" t="s">
        <v>3776</v>
      </c>
      <c r="F4063" s="11">
        <v>155</v>
      </c>
    </row>
    <row r="4064" spans="2:6" x14ac:dyDescent="0.3">
      <c r="B4064" s="12">
        <v>4061</v>
      </c>
      <c r="C4064" s="28">
        <v>158.29513824456683</v>
      </c>
      <c r="E4064" s="14" t="s">
        <v>107</v>
      </c>
      <c r="F4064" s="11">
        <v>163</v>
      </c>
    </row>
    <row r="4065" spans="2:6" x14ac:dyDescent="0.3">
      <c r="B4065" s="12">
        <v>4062</v>
      </c>
      <c r="C4065" s="28">
        <v>167.27332352103616</v>
      </c>
      <c r="E4065" s="14" t="s">
        <v>413</v>
      </c>
      <c r="F4065" s="11">
        <v>179</v>
      </c>
    </row>
    <row r="4066" spans="2:6" x14ac:dyDescent="0.3">
      <c r="B4066" s="12">
        <v>4063</v>
      </c>
      <c r="C4066" s="28">
        <v>157.80628484460831</v>
      </c>
      <c r="E4066" s="14" t="s">
        <v>3886</v>
      </c>
      <c r="F4066" s="11">
        <v>176</v>
      </c>
    </row>
    <row r="4067" spans="2:6" x14ac:dyDescent="0.3">
      <c r="B4067" s="12">
        <v>4064</v>
      </c>
      <c r="C4067" s="28">
        <v>164.23496898311859</v>
      </c>
      <c r="E4067" s="14" t="s">
        <v>1065</v>
      </c>
      <c r="F4067" s="11">
        <v>159</v>
      </c>
    </row>
    <row r="4068" spans="2:6" x14ac:dyDescent="0.3">
      <c r="B4068" s="12">
        <v>4065</v>
      </c>
      <c r="C4068" s="28">
        <v>169.4329981890117</v>
      </c>
      <c r="E4068" s="14" t="s">
        <v>3279</v>
      </c>
      <c r="F4068" s="11">
        <v>170</v>
      </c>
    </row>
    <row r="4069" spans="2:6" x14ac:dyDescent="0.3">
      <c r="B4069" s="12">
        <v>4066</v>
      </c>
      <c r="C4069" s="28">
        <v>173.51002174370927</v>
      </c>
      <c r="E4069" s="14" t="s">
        <v>1176</v>
      </c>
      <c r="F4069" s="11">
        <v>164</v>
      </c>
    </row>
    <row r="4070" spans="2:6" x14ac:dyDescent="0.3">
      <c r="B4070" s="12">
        <v>4067</v>
      </c>
      <c r="C4070" s="28">
        <v>164.02765584270986</v>
      </c>
      <c r="E4070" s="14" t="s">
        <v>1305</v>
      </c>
      <c r="F4070" s="11">
        <v>178</v>
      </c>
    </row>
    <row r="4071" spans="2:6" x14ac:dyDescent="0.3">
      <c r="B4071" s="12">
        <v>4068</v>
      </c>
      <c r="C4071" s="28">
        <v>162.56757621407181</v>
      </c>
      <c r="E4071" s="14" t="s">
        <v>1349</v>
      </c>
      <c r="F4071" s="11">
        <v>184</v>
      </c>
    </row>
    <row r="4072" spans="2:6" x14ac:dyDescent="0.3">
      <c r="B4072" s="12">
        <v>4069</v>
      </c>
      <c r="C4072" s="28">
        <v>171.28640643780551</v>
      </c>
      <c r="E4072" s="14" t="s">
        <v>908</v>
      </c>
      <c r="F4072" s="11">
        <v>171</v>
      </c>
    </row>
    <row r="4073" spans="2:6" x14ac:dyDescent="0.3">
      <c r="B4073" s="12">
        <v>4070</v>
      </c>
      <c r="C4073" s="28">
        <v>161.2536822302387</v>
      </c>
      <c r="E4073" s="14" t="s">
        <v>2892</v>
      </c>
      <c r="F4073" s="11">
        <v>166</v>
      </c>
    </row>
    <row r="4074" spans="2:6" x14ac:dyDescent="0.3">
      <c r="B4074" s="12">
        <v>4071</v>
      </c>
      <c r="C4074" s="28">
        <v>155.48145000619741</v>
      </c>
      <c r="E4074" s="14" t="s">
        <v>2140</v>
      </c>
      <c r="F4074" s="11">
        <v>170</v>
      </c>
    </row>
    <row r="4075" spans="2:6" x14ac:dyDescent="0.3">
      <c r="B4075" s="12">
        <v>4072</v>
      </c>
      <c r="C4075" s="28">
        <v>170.50252221892481</v>
      </c>
      <c r="E4075" s="14" t="s">
        <v>2214</v>
      </c>
      <c r="F4075" s="11">
        <v>193</v>
      </c>
    </row>
    <row r="4076" spans="2:6" x14ac:dyDescent="0.3">
      <c r="B4076" s="12">
        <v>4073</v>
      </c>
      <c r="C4076" s="28">
        <v>170.07268510687811</v>
      </c>
      <c r="E4076" s="14" t="s">
        <v>652</v>
      </c>
      <c r="F4076" s="11">
        <v>179</v>
      </c>
    </row>
    <row r="4077" spans="2:6" x14ac:dyDescent="0.3">
      <c r="B4077" s="12">
        <v>4074</v>
      </c>
      <c r="C4077" s="28">
        <v>176.20956306407277</v>
      </c>
      <c r="E4077" s="14" t="s">
        <v>4399</v>
      </c>
      <c r="F4077" s="11">
        <v>168</v>
      </c>
    </row>
    <row r="4078" spans="2:6" x14ac:dyDescent="0.3">
      <c r="B4078" s="12">
        <v>4075</v>
      </c>
      <c r="C4078" s="28">
        <v>158.18538690976743</v>
      </c>
      <c r="E4078" s="14" t="s">
        <v>2485</v>
      </c>
      <c r="F4078" s="11">
        <v>165</v>
      </c>
    </row>
    <row r="4079" spans="2:6" x14ac:dyDescent="0.3">
      <c r="B4079" s="12">
        <v>4076</v>
      </c>
      <c r="C4079" s="28">
        <v>166.27467487705601</v>
      </c>
      <c r="E4079" s="14" t="s">
        <v>2747</v>
      </c>
      <c r="F4079" s="11">
        <v>172</v>
      </c>
    </row>
    <row r="4080" spans="2:6" x14ac:dyDescent="0.3">
      <c r="B4080" s="12">
        <v>4077</v>
      </c>
      <c r="C4080" s="28">
        <v>178.65733718750965</v>
      </c>
      <c r="E4080" s="14" t="s">
        <v>3918</v>
      </c>
      <c r="F4080" s="11">
        <v>175</v>
      </c>
    </row>
    <row r="4081" spans="2:6" x14ac:dyDescent="0.3">
      <c r="B4081" s="12">
        <v>4078</v>
      </c>
      <c r="C4081" s="28">
        <v>162.30629097896895</v>
      </c>
      <c r="E4081" s="14" t="s">
        <v>4020</v>
      </c>
      <c r="F4081" s="11">
        <v>171</v>
      </c>
    </row>
    <row r="4082" spans="2:6" x14ac:dyDescent="0.3">
      <c r="B4082" s="12">
        <v>4079</v>
      </c>
      <c r="C4082" s="28">
        <v>156.23333889539143</v>
      </c>
      <c r="E4082" s="14" t="s">
        <v>4587</v>
      </c>
      <c r="F4082" s="11">
        <v>170</v>
      </c>
    </row>
    <row r="4083" spans="2:6" x14ac:dyDescent="0.3">
      <c r="B4083" s="12">
        <v>4080</v>
      </c>
      <c r="C4083" s="28">
        <v>155.01406840729518</v>
      </c>
      <c r="E4083" s="14" t="s">
        <v>243</v>
      </c>
      <c r="F4083" s="11">
        <v>165</v>
      </c>
    </row>
    <row r="4084" spans="2:6" x14ac:dyDescent="0.3">
      <c r="B4084" s="12">
        <v>4081</v>
      </c>
      <c r="C4084" s="28">
        <v>170.38084919923119</v>
      </c>
      <c r="E4084" s="14" t="s">
        <v>241</v>
      </c>
      <c r="F4084" s="11">
        <v>180</v>
      </c>
    </row>
    <row r="4085" spans="2:6" x14ac:dyDescent="0.3">
      <c r="B4085" s="12">
        <v>4082</v>
      </c>
      <c r="C4085" s="28">
        <v>171.51375507112996</v>
      </c>
      <c r="E4085" s="14" t="s">
        <v>297</v>
      </c>
      <c r="F4085" s="11">
        <v>165</v>
      </c>
    </row>
    <row r="4086" spans="2:6" x14ac:dyDescent="0.3">
      <c r="B4086" s="12">
        <v>4083</v>
      </c>
      <c r="C4086" s="28">
        <v>161.47216160559833</v>
      </c>
      <c r="E4086" s="14" t="s">
        <v>509</v>
      </c>
      <c r="F4086" s="11">
        <v>175</v>
      </c>
    </row>
    <row r="4087" spans="2:6" x14ac:dyDescent="0.3">
      <c r="B4087" s="12">
        <v>4084</v>
      </c>
      <c r="C4087" s="28">
        <v>150.67669300745501</v>
      </c>
      <c r="E4087" s="14" t="s">
        <v>543</v>
      </c>
      <c r="F4087" s="11">
        <v>177</v>
      </c>
    </row>
    <row r="4088" spans="2:6" x14ac:dyDescent="0.3">
      <c r="B4088" s="12">
        <v>4085</v>
      </c>
      <c r="C4088" s="28">
        <v>166.54685786867904</v>
      </c>
      <c r="E4088" s="14" t="s">
        <v>1504</v>
      </c>
      <c r="F4088" s="11">
        <v>173</v>
      </c>
    </row>
    <row r="4089" spans="2:6" x14ac:dyDescent="0.3">
      <c r="B4089" s="12">
        <v>4086</v>
      </c>
      <c r="C4089" s="28">
        <v>164.60087329744206</v>
      </c>
      <c r="E4089" s="14" t="s">
        <v>3059</v>
      </c>
      <c r="F4089" s="11">
        <v>170</v>
      </c>
    </row>
    <row r="4090" spans="2:6" x14ac:dyDescent="0.3">
      <c r="B4090" s="12">
        <v>4087</v>
      </c>
      <c r="C4090" s="28">
        <v>162.57268114223484</v>
      </c>
      <c r="E4090" s="14" t="s">
        <v>3656</v>
      </c>
      <c r="F4090" s="11">
        <v>178</v>
      </c>
    </row>
    <row r="4091" spans="2:6" x14ac:dyDescent="0.3">
      <c r="B4091" s="12">
        <v>4088</v>
      </c>
      <c r="C4091" s="28">
        <v>153.56123008930024</v>
      </c>
      <c r="E4091" s="14" t="s">
        <v>321</v>
      </c>
      <c r="F4091" s="11">
        <v>162</v>
      </c>
    </row>
    <row r="4092" spans="2:6" x14ac:dyDescent="0.3">
      <c r="B4092" s="12">
        <v>4089</v>
      </c>
      <c r="C4092" s="28">
        <v>164.97336379465364</v>
      </c>
      <c r="E4092" s="14" t="s">
        <v>4008</v>
      </c>
      <c r="F4092" s="11">
        <v>182</v>
      </c>
    </row>
    <row r="4093" spans="2:6" x14ac:dyDescent="0.3">
      <c r="B4093" s="12">
        <v>4090</v>
      </c>
      <c r="C4093" s="28">
        <v>169.35196547324583</v>
      </c>
      <c r="E4093" s="14" t="s">
        <v>2762</v>
      </c>
      <c r="F4093" s="11">
        <v>154</v>
      </c>
    </row>
    <row r="4094" spans="2:6" x14ac:dyDescent="0.3">
      <c r="B4094" s="12">
        <v>4091</v>
      </c>
      <c r="C4094" s="28">
        <v>158.26489881181493</v>
      </c>
      <c r="E4094" s="14" t="s">
        <v>1473</v>
      </c>
      <c r="F4094" s="11">
        <v>176</v>
      </c>
    </row>
    <row r="4095" spans="2:6" x14ac:dyDescent="0.3">
      <c r="B4095" s="12">
        <v>4092</v>
      </c>
      <c r="C4095" s="28">
        <v>165.42814520685712</v>
      </c>
      <c r="E4095" s="14" t="s">
        <v>1547</v>
      </c>
      <c r="F4095" s="11">
        <v>176</v>
      </c>
    </row>
    <row r="4096" spans="2:6" x14ac:dyDescent="0.3">
      <c r="B4096" s="12">
        <v>4093</v>
      </c>
      <c r="C4096" s="28">
        <v>152.63186985450753</v>
      </c>
      <c r="E4096" s="14" t="s">
        <v>1722</v>
      </c>
      <c r="F4096" s="11">
        <v>151</v>
      </c>
    </row>
    <row r="4097" spans="2:6" x14ac:dyDescent="0.3">
      <c r="B4097" s="12">
        <v>4094</v>
      </c>
      <c r="C4097" s="28">
        <v>154.45339619248415</v>
      </c>
      <c r="E4097" s="14" t="s">
        <v>1492</v>
      </c>
      <c r="F4097" s="11">
        <v>157</v>
      </c>
    </row>
    <row r="4098" spans="2:6" x14ac:dyDescent="0.3">
      <c r="B4098" s="12">
        <v>4095</v>
      </c>
      <c r="C4098" s="28">
        <v>157.86101532358202</v>
      </c>
      <c r="E4098" s="14" t="s">
        <v>1577</v>
      </c>
      <c r="F4098" s="11">
        <v>171</v>
      </c>
    </row>
    <row r="4099" spans="2:6" x14ac:dyDescent="0.3">
      <c r="B4099" s="12">
        <v>4096</v>
      </c>
      <c r="C4099" s="28">
        <v>168.273377721288</v>
      </c>
      <c r="E4099" s="14" t="s">
        <v>2136</v>
      </c>
      <c r="F4099" s="11">
        <v>179</v>
      </c>
    </row>
    <row r="4100" spans="2:6" x14ac:dyDescent="0.3">
      <c r="B4100" s="12">
        <v>4097</v>
      </c>
      <c r="C4100" s="28">
        <v>167.45956368370318</v>
      </c>
      <c r="E4100" s="14" t="s">
        <v>2270</v>
      </c>
      <c r="F4100" s="11">
        <v>177</v>
      </c>
    </row>
    <row r="4101" spans="2:6" x14ac:dyDescent="0.3">
      <c r="B4101" s="12">
        <v>4098</v>
      </c>
      <c r="C4101" s="28">
        <v>157.25089759599391</v>
      </c>
      <c r="E4101" s="14" t="s">
        <v>3291</v>
      </c>
      <c r="F4101" s="11">
        <v>196</v>
      </c>
    </row>
    <row r="4102" spans="2:6" x14ac:dyDescent="0.3">
      <c r="B4102" s="12">
        <v>4099</v>
      </c>
      <c r="C4102" s="28">
        <v>156.83132020783611</v>
      </c>
      <c r="E4102" s="14" t="s">
        <v>2790</v>
      </c>
      <c r="F4102" s="11">
        <v>180</v>
      </c>
    </row>
    <row r="4103" spans="2:6" x14ac:dyDescent="0.3">
      <c r="B4103" s="12">
        <v>4100</v>
      </c>
      <c r="C4103" s="28">
        <v>158.0935357316863</v>
      </c>
      <c r="E4103" s="14" t="s">
        <v>2702</v>
      </c>
      <c r="F4103" s="11">
        <v>177</v>
      </c>
    </row>
    <row r="4104" spans="2:6" x14ac:dyDescent="0.3">
      <c r="B4104" s="12">
        <v>4101</v>
      </c>
      <c r="C4104" s="28">
        <v>160.0391059375691</v>
      </c>
      <c r="E4104" s="14" t="s">
        <v>3214</v>
      </c>
      <c r="F4104" s="11">
        <v>158</v>
      </c>
    </row>
    <row r="4105" spans="2:6" x14ac:dyDescent="0.3">
      <c r="B4105" s="12">
        <v>4102</v>
      </c>
      <c r="C4105" s="28">
        <v>162.43711894812657</v>
      </c>
      <c r="E4105" s="14" t="s">
        <v>3843</v>
      </c>
      <c r="F4105" s="11">
        <v>173</v>
      </c>
    </row>
    <row r="4106" spans="2:6" x14ac:dyDescent="0.3">
      <c r="B4106" s="12">
        <v>4103</v>
      </c>
      <c r="C4106" s="28">
        <v>163.64971509264927</v>
      </c>
      <c r="E4106" s="14" t="s">
        <v>4131</v>
      </c>
      <c r="F4106" s="11">
        <v>175</v>
      </c>
    </row>
    <row r="4107" spans="2:6" x14ac:dyDescent="0.3">
      <c r="B4107" s="12">
        <v>4104</v>
      </c>
      <c r="C4107" s="28">
        <v>156.73608843426018</v>
      </c>
      <c r="E4107" s="14" t="s">
        <v>4404</v>
      </c>
      <c r="F4107" s="11">
        <v>175</v>
      </c>
    </row>
    <row r="4108" spans="2:6" x14ac:dyDescent="0.3">
      <c r="B4108" s="12">
        <v>4105</v>
      </c>
      <c r="C4108" s="28">
        <v>151.07365897113135</v>
      </c>
      <c r="E4108" s="14" t="s">
        <v>527</v>
      </c>
      <c r="F4108" s="11">
        <v>171</v>
      </c>
    </row>
    <row r="4109" spans="2:6" x14ac:dyDescent="0.3">
      <c r="B4109" s="12">
        <v>4106</v>
      </c>
      <c r="C4109" s="28">
        <v>165.63295145638324</v>
      </c>
      <c r="E4109" s="14" t="s">
        <v>425</v>
      </c>
      <c r="F4109" s="11">
        <v>163</v>
      </c>
    </row>
    <row r="4110" spans="2:6" x14ac:dyDescent="0.3">
      <c r="B4110" s="12">
        <v>4107</v>
      </c>
      <c r="C4110" s="28">
        <v>168.82298400073336</v>
      </c>
      <c r="E4110" s="14" t="s">
        <v>2182</v>
      </c>
      <c r="F4110" s="11">
        <v>167</v>
      </c>
    </row>
    <row r="4111" spans="2:6" x14ac:dyDescent="0.3">
      <c r="B4111" s="12">
        <v>4108</v>
      </c>
      <c r="C4111" s="28">
        <v>164.78016092788036</v>
      </c>
      <c r="E4111" s="14" t="s">
        <v>417</v>
      </c>
      <c r="F4111" s="11">
        <v>175</v>
      </c>
    </row>
    <row r="4112" spans="2:6" x14ac:dyDescent="0.3">
      <c r="B4112" s="12">
        <v>4109</v>
      </c>
      <c r="C4112" s="28">
        <v>162.15939873565571</v>
      </c>
      <c r="E4112" s="14" t="s">
        <v>2201</v>
      </c>
      <c r="F4112" s="11">
        <v>177</v>
      </c>
    </row>
    <row r="4113" spans="2:6" x14ac:dyDescent="0.3">
      <c r="B4113" s="12">
        <v>4110</v>
      </c>
      <c r="C4113" s="28">
        <v>150.26009866926259</v>
      </c>
      <c r="E4113" s="14" t="s">
        <v>327</v>
      </c>
      <c r="F4113" s="11">
        <v>170</v>
      </c>
    </row>
    <row r="4114" spans="2:6" x14ac:dyDescent="0.3">
      <c r="B4114" s="12">
        <v>4111</v>
      </c>
      <c r="C4114" s="28">
        <v>160.00740019597436</v>
      </c>
      <c r="E4114" s="14" t="s">
        <v>808</v>
      </c>
      <c r="F4114" s="11">
        <v>176</v>
      </c>
    </row>
    <row r="4115" spans="2:6" x14ac:dyDescent="0.3">
      <c r="B4115" s="12">
        <v>4112</v>
      </c>
      <c r="C4115" s="28">
        <v>164.00020255934399</v>
      </c>
      <c r="E4115" s="14" t="s">
        <v>4512</v>
      </c>
      <c r="F4115" s="11">
        <v>175</v>
      </c>
    </row>
    <row r="4116" spans="2:6" x14ac:dyDescent="0.3">
      <c r="B4116" s="12">
        <v>4113</v>
      </c>
      <c r="C4116" s="28">
        <v>158.11713290865822</v>
      </c>
      <c r="E4116" s="14" t="s">
        <v>4342</v>
      </c>
      <c r="F4116" s="11">
        <v>183</v>
      </c>
    </row>
    <row r="4117" spans="2:6" x14ac:dyDescent="0.3">
      <c r="B4117" s="12">
        <v>4114</v>
      </c>
      <c r="C4117" s="28">
        <v>170.3625267953648</v>
      </c>
      <c r="E4117" s="14" t="s">
        <v>2223</v>
      </c>
      <c r="F4117" s="11">
        <v>160</v>
      </c>
    </row>
    <row r="4118" spans="2:6" x14ac:dyDescent="0.3">
      <c r="B4118" s="12">
        <v>4115</v>
      </c>
      <c r="C4118" s="28">
        <v>162.59826274421656</v>
      </c>
      <c r="E4118" s="14" t="s">
        <v>4185</v>
      </c>
      <c r="F4118" s="11">
        <v>168</v>
      </c>
    </row>
    <row r="4119" spans="2:6" x14ac:dyDescent="0.3">
      <c r="B4119" s="12">
        <v>4116</v>
      </c>
      <c r="C4119" s="28">
        <v>170.60626221642764</v>
      </c>
      <c r="E4119" s="14" t="s">
        <v>2576</v>
      </c>
      <c r="F4119" s="11">
        <v>169</v>
      </c>
    </row>
    <row r="4120" spans="2:6" x14ac:dyDescent="0.3">
      <c r="B4120" s="12">
        <v>4117</v>
      </c>
      <c r="C4120" s="28">
        <v>166.02422491663182</v>
      </c>
      <c r="E4120" s="14" t="s">
        <v>2644</v>
      </c>
      <c r="F4120" s="11">
        <v>181</v>
      </c>
    </row>
    <row r="4121" spans="2:6" x14ac:dyDescent="0.3">
      <c r="B4121" s="12">
        <v>4118</v>
      </c>
      <c r="C4121" s="28">
        <v>158.10630237484003</v>
      </c>
      <c r="E4121" s="14" t="s">
        <v>3511</v>
      </c>
      <c r="F4121" s="11">
        <v>171</v>
      </c>
    </row>
    <row r="4122" spans="2:6" x14ac:dyDescent="0.3">
      <c r="B4122" s="12">
        <v>4119</v>
      </c>
      <c r="C4122" s="28">
        <v>163.59377090475812</v>
      </c>
      <c r="E4122" s="14" t="s">
        <v>142</v>
      </c>
      <c r="F4122" s="11">
        <v>164</v>
      </c>
    </row>
    <row r="4123" spans="2:6" x14ac:dyDescent="0.3">
      <c r="B4123" s="12">
        <v>4120</v>
      </c>
      <c r="C4123" s="28">
        <v>171.89327886760177</v>
      </c>
      <c r="E4123" s="14" t="s">
        <v>4160</v>
      </c>
      <c r="F4123" s="11">
        <v>167</v>
      </c>
    </row>
    <row r="4124" spans="2:6" x14ac:dyDescent="0.3">
      <c r="B4124" s="12">
        <v>4121</v>
      </c>
      <c r="C4124" s="28">
        <v>165.58560465088274</v>
      </c>
      <c r="E4124" s="14" t="s">
        <v>2803</v>
      </c>
      <c r="F4124" s="11">
        <v>168</v>
      </c>
    </row>
    <row r="4125" spans="2:6" x14ac:dyDescent="0.3">
      <c r="B4125" s="12">
        <v>4122</v>
      </c>
      <c r="C4125" s="28">
        <v>153.88957473979502</v>
      </c>
      <c r="E4125" s="14" t="s">
        <v>2769</v>
      </c>
      <c r="F4125" s="11">
        <v>152</v>
      </c>
    </row>
    <row r="4126" spans="2:6" x14ac:dyDescent="0.3">
      <c r="B4126" s="12">
        <v>4123</v>
      </c>
      <c r="C4126" s="28">
        <v>157.32179474685105</v>
      </c>
      <c r="E4126" s="14" t="s">
        <v>1694</v>
      </c>
      <c r="F4126" s="11">
        <v>178</v>
      </c>
    </row>
    <row r="4127" spans="2:6" x14ac:dyDescent="0.3">
      <c r="B4127" s="12">
        <v>4124</v>
      </c>
      <c r="C4127" s="28">
        <v>169.65031545142352</v>
      </c>
      <c r="E4127" s="14" t="s">
        <v>4436</v>
      </c>
      <c r="F4127" s="11">
        <v>146</v>
      </c>
    </row>
    <row r="4128" spans="2:6" x14ac:dyDescent="0.3">
      <c r="B4128" s="12">
        <v>4125</v>
      </c>
      <c r="C4128" s="28">
        <v>162.46346555687953</v>
      </c>
      <c r="E4128" s="14" t="s">
        <v>179</v>
      </c>
      <c r="F4128" s="11">
        <v>182</v>
      </c>
    </row>
    <row r="4129" spans="2:6" x14ac:dyDescent="0.3">
      <c r="B4129" s="12">
        <v>4126</v>
      </c>
      <c r="C4129" s="28">
        <v>167.40525495963328</v>
      </c>
      <c r="E4129" s="14" t="s">
        <v>1140</v>
      </c>
      <c r="F4129" s="11">
        <v>175</v>
      </c>
    </row>
    <row r="4130" spans="2:6" x14ac:dyDescent="0.3">
      <c r="B4130" s="12">
        <v>4127</v>
      </c>
      <c r="C4130" s="28">
        <v>166.98474126577361</v>
      </c>
      <c r="E4130" s="14" t="s">
        <v>249</v>
      </c>
      <c r="F4130" s="11">
        <v>183</v>
      </c>
    </row>
    <row r="4131" spans="2:6" x14ac:dyDescent="0.3">
      <c r="B4131" s="12">
        <v>4128</v>
      </c>
      <c r="C4131" s="28">
        <v>161.52738707043775</v>
      </c>
      <c r="E4131" s="14" t="s">
        <v>3388</v>
      </c>
      <c r="F4131" s="11">
        <v>166</v>
      </c>
    </row>
    <row r="4132" spans="2:6" x14ac:dyDescent="0.3">
      <c r="B4132" s="12">
        <v>4129</v>
      </c>
      <c r="C4132" s="28">
        <v>166.70286139596928</v>
      </c>
      <c r="E4132" s="14" t="s">
        <v>3196</v>
      </c>
      <c r="F4132" s="11">
        <v>172</v>
      </c>
    </row>
    <row r="4133" spans="2:6" x14ac:dyDescent="0.3">
      <c r="B4133" s="12">
        <v>4130</v>
      </c>
      <c r="C4133" s="28">
        <v>168.437164676653</v>
      </c>
      <c r="E4133" s="14" t="s">
        <v>570</v>
      </c>
      <c r="F4133" s="11">
        <v>167</v>
      </c>
    </row>
    <row r="4134" spans="2:6" x14ac:dyDescent="0.3">
      <c r="B4134" s="12">
        <v>4131</v>
      </c>
      <c r="C4134" s="28">
        <v>160.50483100646406</v>
      </c>
      <c r="E4134" s="14" t="s">
        <v>1513</v>
      </c>
      <c r="F4134" s="11">
        <v>166</v>
      </c>
    </row>
    <row r="4135" spans="2:6" x14ac:dyDescent="0.3">
      <c r="B4135" s="12">
        <v>4132</v>
      </c>
      <c r="C4135" s="28">
        <v>165.15544252224655</v>
      </c>
      <c r="E4135" s="14" t="s">
        <v>1942</v>
      </c>
      <c r="F4135" s="11">
        <v>169</v>
      </c>
    </row>
    <row r="4136" spans="2:6" x14ac:dyDescent="0.3">
      <c r="B4136" s="12">
        <v>4133</v>
      </c>
      <c r="C4136" s="28">
        <v>162.40598337351696</v>
      </c>
      <c r="E4136" s="14" t="s">
        <v>1557</v>
      </c>
      <c r="F4136" s="11">
        <v>173</v>
      </c>
    </row>
    <row r="4137" spans="2:6" x14ac:dyDescent="0.3">
      <c r="B4137" s="12">
        <v>4134</v>
      </c>
      <c r="C4137" s="28">
        <v>164.40153720834167</v>
      </c>
      <c r="E4137" s="14" t="s">
        <v>4230</v>
      </c>
      <c r="F4137" s="11">
        <v>165</v>
      </c>
    </row>
    <row r="4138" spans="2:6" x14ac:dyDescent="0.3">
      <c r="B4138" s="12">
        <v>4135</v>
      </c>
      <c r="C4138" s="28">
        <v>159.53316101613052</v>
      </c>
      <c r="E4138" s="14" t="s">
        <v>4283</v>
      </c>
      <c r="F4138" s="11">
        <v>168</v>
      </c>
    </row>
    <row r="4139" spans="2:6" x14ac:dyDescent="0.3">
      <c r="B4139" s="12">
        <v>4136</v>
      </c>
      <c r="C4139" s="28">
        <v>165.12209780766383</v>
      </c>
      <c r="E4139" s="14" t="s">
        <v>992</v>
      </c>
      <c r="F4139" s="11">
        <v>155</v>
      </c>
    </row>
    <row r="4140" spans="2:6" x14ac:dyDescent="0.3">
      <c r="B4140" s="12">
        <v>4137</v>
      </c>
      <c r="C4140" s="28">
        <v>166.08629425101131</v>
      </c>
      <c r="E4140" s="14" t="s">
        <v>3902</v>
      </c>
      <c r="F4140" s="11">
        <v>168</v>
      </c>
    </row>
    <row r="4141" spans="2:6" x14ac:dyDescent="0.3">
      <c r="B4141" s="12">
        <v>4138</v>
      </c>
      <c r="C4141" s="28">
        <v>155.39684722029028</v>
      </c>
      <c r="E4141" s="14" t="s">
        <v>3903</v>
      </c>
      <c r="F4141" s="11">
        <v>168</v>
      </c>
    </row>
    <row r="4142" spans="2:6" x14ac:dyDescent="0.3">
      <c r="B4142" s="12">
        <v>4139</v>
      </c>
      <c r="C4142" s="28">
        <v>160.68132131403544</v>
      </c>
      <c r="E4142" s="14" t="s">
        <v>3904</v>
      </c>
      <c r="F4142" s="11">
        <v>175</v>
      </c>
    </row>
    <row r="4143" spans="2:6" x14ac:dyDescent="0.3">
      <c r="B4143" s="12">
        <v>4140</v>
      </c>
      <c r="C4143" s="28">
        <v>154.92638237792161</v>
      </c>
      <c r="E4143" s="14" t="s">
        <v>591</v>
      </c>
      <c r="F4143" s="11">
        <v>175</v>
      </c>
    </row>
    <row r="4144" spans="2:6" x14ac:dyDescent="0.3">
      <c r="B4144" s="12">
        <v>4141</v>
      </c>
      <c r="C4144" s="28">
        <v>163.42641227470614</v>
      </c>
      <c r="E4144" s="14" t="s">
        <v>4730</v>
      </c>
      <c r="F4144" s="11">
        <v>175</v>
      </c>
    </row>
    <row r="4145" spans="2:6" x14ac:dyDescent="0.3">
      <c r="B4145" s="12">
        <v>4142</v>
      </c>
      <c r="C4145" s="28">
        <v>167.64191134899465</v>
      </c>
      <c r="E4145" s="14" t="s">
        <v>3194</v>
      </c>
      <c r="F4145" s="11">
        <v>187</v>
      </c>
    </row>
    <row r="4146" spans="2:6" x14ac:dyDescent="0.3">
      <c r="B4146" s="12">
        <v>4143</v>
      </c>
      <c r="C4146" s="28">
        <v>155.33872923489554</v>
      </c>
      <c r="E4146" s="14" t="s">
        <v>2313</v>
      </c>
      <c r="F4146" s="11">
        <v>173</v>
      </c>
    </row>
    <row r="4147" spans="2:6" x14ac:dyDescent="0.3">
      <c r="B4147" s="12">
        <v>4144</v>
      </c>
      <c r="C4147" s="28">
        <v>171.9181897662292</v>
      </c>
      <c r="E4147" s="14" t="s">
        <v>6</v>
      </c>
      <c r="F4147" s="11">
        <v>165</v>
      </c>
    </row>
    <row r="4148" spans="2:6" x14ac:dyDescent="0.3">
      <c r="B4148" s="12">
        <v>4145</v>
      </c>
      <c r="C4148" s="28">
        <v>160.99704393574794</v>
      </c>
      <c r="E4148" s="14" t="s">
        <v>1598</v>
      </c>
      <c r="F4148" s="11">
        <v>160</v>
      </c>
    </row>
    <row r="4149" spans="2:6" x14ac:dyDescent="0.3">
      <c r="B4149" s="12">
        <v>4146</v>
      </c>
      <c r="C4149" s="28">
        <v>168.3410279297442</v>
      </c>
      <c r="E4149" s="14" t="s">
        <v>281</v>
      </c>
      <c r="F4149" s="11">
        <v>172</v>
      </c>
    </row>
    <row r="4150" spans="2:6" x14ac:dyDescent="0.3">
      <c r="B4150" s="12">
        <v>4147</v>
      </c>
      <c r="C4150" s="28">
        <v>160.08028279522716</v>
      </c>
      <c r="E4150" s="14" t="s">
        <v>1268</v>
      </c>
      <c r="F4150" s="11">
        <v>166</v>
      </c>
    </row>
    <row r="4151" spans="2:6" x14ac:dyDescent="0.3">
      <c r="B4151" s="12">
        <v>4148</v>
      </c>
      <c r="C4151" s="28">
        <v>167.42065128040571</v>
      </c>
      <c r="E4151" s="14" t="s">
        <v>3165</v>
      </c>
      <c r="F4151" s="11">
        <v>158</v>
      </c>
    </row>
    <row r="4152" spans="2:6" x14ac:dyDescent="0.3">
      <c r="B4152" s="12">
        <v>4149</v>
      </c>
      <c r="C4152" s="28">
        <v>166.10787209873129</v>
      </c>
      <c r="E4152" s="14" t="s">
        <v>3927</v>
      </c>
      <c r="F4152" s="11">
        <v>143</v>
      </c>
    </row>
    <row r="4153" spans="2:6" x14ac:dyDescent="0.3">
      <c r="B4153" s="12">
        <v>4150</v>
      </c>
      <c r="C4153" s="28">
        <v>166.25538136488618</v>
      </c>
      <c r="E4153" s="14" t="s">
        <v>3928</v>
      </c>
      <c r="F4153" s="11">
        <v>170</v>
      </c>
    </row>
    <row r="4154" spans="2:6" x14ac:dyDescent="0.3">
      <c r="B4154" s="12">
        <v>4151</v>
      </c>
      <c r="C4154" s="28">
        <v>166.75228954441963</v>
      </c>
      <c r="E4154" s="14" t="s">
        <v>454</v>
      </c>
      <c r="F4154" s="11">
        <v>162</v>
      </c>
    </row>
    <row r="4155" spans="2:6" x14ac:dyDescent="0.3">
      <c r="B4155" s="12">
        <v>4152</v>
      </c>
      <c r="C4155" s="28">
        <v>162.35582570708499</v>
      </c>
      <c r="E4155" s="14" t="s">
        <v>863</v>
      </c>
      <c r="F4155" s="11">
        <v>185</v>
      </c>
    </row>
    <row r="4156" spans="2:6" x14ac:dyDescent="0.3">
      <c r="B4156" s="12">
        <v>4153</v>
      </c>
      <c r="C4156" s="28">
        <v>158.33220510476292</v>
      </c>
      <c r="E4156" s="14" t="s">
        <v>4323</v>
      </c>
      <c r="F4156" s="11">
        <v>180</v>
      </c>
    </row>
    <row r="4157" spans="2:6" x14ac:dyDescent="0.3">
      <c r="B4157" s="12">
        <v>4154</v>
      </c>
      <c r="C4157" s="28">
        <v>163.01625988498233</v>
      </c>
      <c r="E4157" s="14" t="s">
        <v>1836</v>
      </c>
      <c r="F4157" s="11">
        <v>172</v>
      </c>
    </row>
    <row r="4158" spans="2:6" x14ac:dyDescent="0.3">
      <c r="B4158" s="12">
        <v>4155</v>
      </c>
      <c r="C4158" s="28">
        <v>164.95897183834973</v>
      </c>
      <c r="E4158" s="14" t="s">
        <v>2720</v>
      </c>
      <c r="F4158" s="11">
        <v>163</v>
      </c>
    </row>
    <row r="4159" spans="2:6" x14ac:dyDescent="0.3">
      <c r="B4159" s="12">
        <v>4156</v>
      </c>
      <c r="C4159" s="28">
        <v>163.25079448595184</v>
      </c>
      <c r="E4159" s="14" t="s">
        <v>3714</v>
      </c>
      <c r="F4159" s="11">
        <v>166</v>
      </c>
    </row>
    <row r="4160" spans="2:6" x14ac:dyDescent="0.3">
      <c r="B4160" s="12">
        <v>4157</v>
      </c>
      <c r="C4160" s="28">
        <v>169.56724737360778</v>
      </c>
      <c r="E4160" s="14" t="s">
        <v>3271</v>
      </c>
      <c r="F4160" s="11">
        <v>170</v>
      </c>
    </row>
    <row r="4161" spans="2:6" x14ac:dyDescent="0.3">
      <c r="B4161" s="12">
        <v>4158</v>
      </c>
      <c r="C4161" s="28">
        <v>163.55068487796004</v>
      </c>
      <c r="E4161" s="14" t="s">
        <v>3929</v>
      </c>
      <c r="F4161" s="11">
        <v>169</v>
      </c>
    </row>
    <row r="4162" spans="2:6" x14ac:dyDescent="0.3">
      <c r="B4162" s="12">
        <v>4159</v>
      </c>
      <c r="C4162" s="28">
        <v>165.39489492562097</v>
      </c>
      <c r="E4162" s="14" t="s">
        <v>3930</v>
      </c>
      <c r="F4162" s="11">
        <v>184</v>
      </c>
    </row>
    <row r="4163" spans="2:6" x14ac:dyDescent="0.3">
      <c r="B4163" s="12">
        <v>4160</v>
      </c>
      <c r="C4163" s="28">
        <v>154.52216856600717</v>
      </c>
      <c r="E4163" s="14" t="s">
        <v>4562</v>
      </c>
      <c r="F4163" s="11">
        <v>173</v>
      </c>
    </row>
    <row r="4164" spans="2:6" x14ac:dyDescent="0.3">
      <c r="B4164" s="12">
        <v>4161</v>
      </c>
      <c r="C4164" s="28">
        <v>159.25829744853894</v>
      </c>
      <c r="E4164" s="14" t="s">
        <v>3494</v>
      </c>
      <c r="F4164" s="11">
        <v>173</v>
      </c>
    </row>
    <row r="4165" spans="2:6" x14ac:dyDescent="0.3">
      <c r="B4165" s="12">
        <v>4162</v>
      </c>
      <c r="C4165" s="28">
        <v>161.66972678262036</v>
      </c>
      <c r="E4165" s="14" t="s">
        <v>4731</v>
      </c>
      <c r="F4165" s="11">
        <v>167</v>
      </c>
    </row>
    <row r="4166" spans="2:6" x14ac:dyDescent="0.3">
      <c r="B4166" s="12">
        <v>4163</v>
      </c>
      <c r="C4166" s="28">
        <v>159.98131685395725</v>
      </c>
      <c r="E4166" s="14" t="s">
        <v>3873</v>
      </c>
      <c r="F4166" s="11">
        <v>168</v>
      </c>
    </row>
    <row r="4167" spans="2:6" x14ac:dyDescent="0.3">
      <c r="B4167" s="12">
        <v>4164</v>
      </c>
      <c r="C4167" s="28">
        <v>148.88850578213001</v>
      </c>
      <c r="E4167" s="14" t="s">
        <v>22</v>
      </c>
      <c r="F4167" s="11">
        <v>170</v>
      </c>
    </row>
    <row r="4168" spans="2:6" x14ac:dyDescent="0.3">
      <c r="B4168" s="12">
        <v>4165</v>
      </c>
      <c r="C4168" s="28">
        <v>163.65456939010298</v>
      </c>
      <c r="E4168" s="14" t="s">
        <v>4525</v>
      </c>
      <c r="F4168" s="11">
        <v>173</v>
      </c>
    </row>
    <row r="4169" spans="2:6" x14ac:dyDescent="0.3">
      <c r="B4169" s="12">
        <v>4166</v>
      </c>
      <c r="C4169" s="28">
        <v>165.79297989151598</v>
      </c>
      <c r="E4169" s="14" t="s">
        <v>1289</v>
      </c>
      <c r="F4169" s="11">
        <v>160</v>
      </c>
    </row>
    <row r="4170" spans="2:6" x14ac:dyDescent="0.3">
      <c r="B4170" s="12">
        <v>4167</v>
      </c>
      <c r="C4170" s="28">
        <v>158.70676607025189</v>
      </c>
      <c r="E4170" s="14" t="s">
        <v>2815</v>
      </c>
      <c r="F4170" s="11">
        <v>185</v>
      </c>
    </row>
    <row r="4171" spans="2:6" x14ac:dyDescent="0.3">
      <c r="B4171" s="12">
        <v>4168</v>
      </c>
      <c r="C4171" s="28">
        <v>170.1197965305154</v>
      </c>
      <c r="E4171" s="14" t="s">
        <v>181</v>
      </c>
      <c r="F4171" s="11">
        <v>160</v>
      </c>
    </row>
    <row r="4172" spans="2:6" x14ac:dyDescent="0.3">
      <c r="B4172" s="12">
        <v>4169</v>
      </c>
      <c r="C4172" s="28">
        <v>163.71110225419781</v>
      </c>
      <c r="E4172" s="14" t="s">
        <v>708</v>
      </c>
      <c r="F4172" s="11">
        <v>165</v>
      </c>
    </row>
    <row r="4173" spans="2:6" x14ac:dyDescent="0.3">
      <c r="B4173" s="12">
        <v>4170</v>
      </c>
      <c r="C4173" s="28">
        <v>164.2677169882422</v>
      </c>
      <c r="E4173" s="14" t="s">
        <v>2579</v>
      </c>
      <c r="F4173" s="11">
        <v>158</v>
      </c>
    </row>
    <row r="4174" spans="2:6" x14ac:dyDescent="0.3">
      <c r="B4174" s="12">
        <v>4171</v>
      </c>
      <c r="C4174" s="28">
        <v>158.1558551602555</v>
      </c>
      <c r="E4174" s="14" t="s">
        <v>3943</v>
      </c>
      <c r="F4174" s="11">
        <v>185</v>
      </c>
    </row>
    <row r="4175" spans="2:6" x14ac:dyDescent="0.3">
      <c r="B4175" s="12">
        <v>4172</v>
      </c>
      <c r="C4175" s="28">
        <v>156.5619338168818</v>
      </c>
      <c r="E4175" s="14" t="s">
        <v>3200</v>
      </c>
      <c r="F4175" s="11">
        <v>172</v>
      </c>
    </row>
    <row r="4176" spans="2:6" x14ac:dyDescent="0.3">
      <c r="B4176" s="12">
        <v>4173</v>
      </c>
      <c r="C4176" s="28">
        <v>163.03355041607227</v>
      </c>
      <c r="E4176" s="14" t="s">
        <v>4543</v>
      </c>
      <c r="F4176" s="11">
        <v>183</v>
      </c>
    </row>
    <row r="4177" spans="2:6" x14ac:dyDescent="0.3">
      <c r="B4177" s="12">
        <v>4174</v>
      </c>
      <c r="C4177" s="28">
        <v>161.09282073324249</v>
      </c>
      <c r="E4177" s="14" t="s">
        <v>1736</v>
      </c>
      <c r="F4177" s="11">
        <v>160</v>
      </c>
    </row>
    <row r="4178" spans="2:6" x14ac:dyDescent="0.3">
      <c r="B4178" s="12">
        <v>4175</v>
      </c>
      <c r="C4178" s="28">
        <v>170.48420114302982</v>
      </c>
      <c r="E4178" s="14" t="s">
        <v>4873</v>
      </c>
      <c r="F4178" s="11">
        <v>172</v>
      </c>
    </row>
    <row r="4179" spans="2:6" x14ac:dyDescent="0.3">
      <c r="B4179" s="12">
        <v>4176</v>
      </c>
      <c r="C4179" s="28">
        <v>157.80042076746022</v>
      </c>
      <c r="E4179" s="14" t="s">
        <v>4673</v>
      </c>
      <c r="F4179" s="11">
        <v>164</v>
      </c>
    </row>
    <row r="4180" spans="2:6" x14ac:dyDescent="0.3">
      <c r="B4180" s="12">
        <v>4177</v>
      </c>
      <c r="C4180" s="28">
        <v>162.21500071694282</v>
      </c>
      <c r="E4180" s="14" t="s">
        <v>1313</v>
      </c>
      <c r="F4180" s="11">
        <v>160</v>
      </c>
    </row>
    <row r="4181" spans="2:6" x14ac:dyDescent="0.3">
      <c r="B4181" s="12">
        <v>4178</v>
      </c>
      <c r="C4181" s="28">
        <v>163.76802802184287</v>
      </c>
      <c r="E4181" s="14" t="s">
        <v>3946</v>
      </c>
      <c r="F4181" s="11">
        <v>171</v>
      </c>
    </row>
    <row r="4182" spans="2:6" x14ac:dyDescent="0.3">
      <c r="B4182" s="12">
        <v>4179</v>
      </c>
      <c r="C4182" s="28">
        <v>165.7509008096126</v>
      </c>
      <c r="E4182" s="14" t="s">
        <v>3947</v>
      </c>
      <c r="F4182" s="11">
        <v>180</v>
      </c>
    </row>
    <row r="4183" spans="2:6" x14ac:dyDescent="0.3">
      <c r="B4183" s="12">
        <v>4180</v>
      </c>
      <c r="C4183" s="28">
        <v>148.42723061766466</v>
      </c>
      <c r="E4183" s="14" t="s">
        <v>1234</v>
      </c>
      <c r="F4183" s="11">
        <v>171</v>
      </c>
    </row>
    <row r="4184" spans="2:6" x14ac:dyDescent="0.3">
      <c r="B4184" s="12">
        <v>4181</v>
      </c>
      <c r="C4184" s="28">
        <v>174.9529305518686</v>
      </c>
      <c r="E4184" s="14" t="s">
        <v>1839</v>
      </c>
      <c r="F4184" s="11">
        <v>173</v>
      </c>
    </row>
    <row r="4185" spans="2:6" x14ac:dyDescent="0.3">
      <c r="B4185" s="12">
        <v>4182</v>
      </c>
      <c r="C4185" s="28">
        <v>172.25961788397308</v>
      </c>
      <c r="E4185" s="14" t="s">
        <v>1141</v>
      </c>
      <c r="F4185" s="11">
        <v>162</v>
      </c>
    </row>
    <row r="4186" spans="2:6" x14ac:dyDescent="0.3">
      <c r="B4186" s="12">
        <v>4183</v>
      </c>
      <c r="C4186" s="28">
        <v>164.53463205223167</v>
      </c>
      <c r="E4186" s="14" t="s">
        <v>4732</v>
      </c>
      <c r="F4186" s="11">
        <v>176</v>
      </c>
    </row>
    <row r="4187" spans="2:6" x14ac:dyDescent="0.3">
      <c r="B4187" s="12">
        <v>4184</v>
      </c>
      <c r="C4187" s="28">
        <v>162.67237520613051</v>
      </c>
      <c r="E4187" s="14" t="s">
        <v>3949</v>
      </c>
      <c r="F4187" s="11">
        <v>175</v>
      </c>
    </row>
    <row r="4188" spans="2:6" x14ac:dyDescent="0.3">
      <c r="B4188" s="12">
        <v>4185</v>
      </c>
      <c r="C4188" s="28">
        <v>153.99223134372423</v>
      </c>
      <c r="E4188" s="14" t="s">
        <v>3950</v>
      </c>
      <c r="F4188" s="11">
        <v>159</v>
      </c>
    </row>
    <row r="4189" spans="2:6" x14ac:dyDescent="0.3">
      <c r="B4189" s="12">
        <v>4186</v>
      </c>
      <c r="C4189" s="28">
        <v>157.10154971502553</v>
      </c>
      <c r="E4189" s="14" t="s">
        <v>3070</v>
      </c>
      <c r="F4189" s="11">
        <v>169</v>
      </c>
    </row>
    <row r="4190" spans="2:6" x14ac:dyDescent="0.3">
      <c r="B4190" s="12">
        <v>4187</v>
      </c>
      <c r="C4190" s="28">
        <v>169.54748563104471</v>
      </c>
      <c r="E4190" s="14" t="s">
        <v>3221</v>
      </c>
      <c r="F4190" s="11">
        <v>168</v>
      </c>
    </row>
    <row r="4191" spans="2:6" x14ac:dyDescent="0.3">
      <c r="B4191" s="12">
        <v>4188</v>
      </c>
      <c r="C4191" s="28">
        <v>167.19171076532268</v>
      </c>
      <c r="E4191" s="14" t="s">
        <v>3958</v>
      </c>
      <c r="F4191" s="11">
        <v>173</v>
      </c>
    </row>
    <row r="4192" spans="2:6" x14ac:dyDescent="0.3">
      <c r="B4192" s="12">
        <v>4189</v>
      </c>
      <c r="C4192" s="28">
        <v>155.21784196531448</v>
      </c>
      <c r="E4192" s="14" t="s">
        <v>3633</v>
      </c>
      <c r="F4192" s="11">
        <v>150</v>
      </c>
    </row>
    <row r="4193" spans="2:6" x14ac:dyDescent="0.3">
      <c r="B4193" s="12">
        <v>4190</v>
      </c>
      <c r="C4193" s="28">
        <v>165.45696150304886</v>
      </c>
      <c r="E4193" s="14" t="s">
        <v>79</v>
      </c>
      <c r="F4193" s="11">
        <v>159</v>
      </c>
    </row>
    <row r="4194" spans="2:6" x14ac:dyDescent="0.3">
      <c r="B4194" s="12">
        <v>4191</v>
      </c>
      <c r="C4194" s="28">
        <v>156.50913343765828</v>
      </c>
      <c r="E4194" s="14" t="s">
        <v>1181</v>
      </c>
      <c r="F4194" s="11">
        <v>164</v>
      </c>
    </row>
    <row r="4195" spans="2:6" x14ac:dyDescent="0.3">
      <c r="B4195" s="12">
        <v>4192</v>
      </c>
      <c r="C4195" s="28">
        <v>169.17427679668691</v>
      </c>
      <c r="E4195" s="14" t="s">
        <v>1986</v>
      </c>
      <c r="F4195" s="11">
        <v>163</v>
      </c>
    </row>
    <row r="4196" spans="2:6" x14ac:dyDescent="0.3">
      <c r="B4196" s="12">
        <v>4193</v>
      </c>
      <c r="C4196" s="28">
        <v>163.80520026399861</v>
      </c>
      <c r="E4196" s="14" t="s">
        <v>3078</v>
      </c>
      <c r="F4196" s="11">
        <v>168</v>
      </c>
    </row>
    <row r="4197" spans="2:6" x14ac:dyDescent="0.3">
      <c r="B4197" s="12">
        <v>4194</v>
      </c>
      <c r="C4197" s="28">
        <v>153.85700577369866</v>
      </c>
      <c r="E4197" s="14" t="s">
        <v>2713</v>
      </c>
      <c r="F4197" s="11">
        <v>165</v>
      </c>
    </row>
    <row r="4198" spans="2:6" x14ac:dyDescent="0.3">
      <c r="B4198" s="12">
        <v>4195</v>
      </c>
      <c r="C4198" s="28">
        <v>155.38448768605207</v>
      </c>
      <c r="E4198" s="14" t="s">
        <v>4335</v>
      </c>
      <c r="F4198" s="11">
        <v>175</v>
      </c>
    </row>
    <row r="4199" spans="2:6" x14ac:dyDescent="0.3">
      <c r="B4199" s="12">
        <v>4196</v>
      </c>
      <c r="C4199" s="28">
        <v>158.03130871348046</v>
      </c>
      <c r="E4199" s="14" t="s">
        <v>3963</v>
      </c>
      <c r="F4199" s="11">
        <v>167</v>
      </c>
    </row>
    <row r="4200" spans="2:6" x14ac:dyDescent="0.3">
      <c r="B4200" s="12">
        <v>4197</v>
      </c>
      <c r="C4200" s="28">
        <v>161.79481940398477</v>
      </c>
      <c r="E4200" s="14" t="s">
        <v>3968</v>
      </c>
      <c r="F4200" s="11">
        <v>164</v>
      </c>
    </row>
    <row r="4201" spans="2:6" x14ac:dyDescent="0.3">
      <c r="B4201" s="12">
        <v>4198</v>
      </c>
      <c r="C4201" s="28">
        <v>163.42329113473761</v>
      </c>
      <c r="E4201" s="14" t="s">
        <v>1614</v>
      </c>
      <c r="F4201" s="11">
        <v>170</v>
      </c>
    </row>
    <row r="4202" spans="2:6" x14ac:dyDescent="0.3">
      <c r="B4202" s="12">
        <v>4199</v>
      </c>
      <c r="C4202" s="28">
        <v>173.63555885982476</v>
      </c>
      <c r="E4202" s="14" t="s">
        <v>4139</v>
      </c>
      <c r="F4202" s="11">
        <v>167</v>
      </c>
    </row>
    <row r="4203" spans="2:6" x14ac:dyDescent="0.3">
      <c r="B4203" s="12">
        <v>4200</v>
      </c>
      <c r="C4203" s="28">
        <v>154.01098560135941</v>
      </c>
      <c r="E4203" s="14" t="s">
        <v>1681</v>
      </c>
      <c r="F4203" s="11">
        <v>160</v>
      </c>
    </row>
    <row r="4204" spans="2:6" x14ac:dyDescent="0.3">
      <c r="B4204" s="12">
        <v>4201</v>
      </c>
      <c r="C4204" s="28">
        <v>162.115736924326</v>
      </c>
      <c r="E4204" s="14" t="s">
        <v>1003</v>
      </c>
      <c r="F4204" s="11">
        <v>165</v>
      </c>
    </row>
    <row r="4205" spans="2:6" x14ac:dyDescent="0.3">
      <c r="B4205" s="12">
        <v>4202</v>
      </c>
      <c r="C4205" s="28">
        <v>160.17871894338063</v>
      </c>
      <c r="E4205" s="14" t="s">
        <v>2997</v>
      </c>
      <c r="F4205" s="11">
        <v>169</v>
      </c>
    </row>
    <row r="4206" spans="2:6" x14ac:dyDescent="0.3">
      <c r="B4206" s="12">
        <v>4203</v>
      </c>
      <c r="C4206" s="28">
        <v>166.34122514387977</v>
      </c>
      <c r="E4206" s="14" t="s">
        <v>3257</v>
      </c>
      <c r="F4206" s="11">
        <v>164</v>
      </c>
    </row>
    <row r="4207" spans="2:6" x14ac:dyDescent="0.3">
      <c r="B4207" s="12">
        <v>4204</v>
      </c>
      <c r="C4207" s="28">
        <v>161.75503052661628</v>
      </c>
      <c r="E4207" s="14" t="s">
        <v>3970</v>
      </c>
      <c r="F4207" s="11">
        <v>172</v>
      </c>
    </row>
    <row r="4208" spans="2:6" x14ac:dyDescent="0.3">
      <c r="B4208" s="12">
        <v>4205</v>
      </c>
      <c r="C4208" s="28">
        <v>162.96420148052658</v>
      </c>
      <c r="E4208" s="14" t="s">
        <v>4495</v>
      </c>
      <c r="F4208" s="11">
        <v>160</v>
      </c>
    </row>
    <row r="4209" spans="2:6" x14ac:dyDescent="0.3">
      <c r="B4209" s="12">
        <v>4206</v>
      </c>
      <c r="C4209" s="28">
        <v>160.27143348857675</v>
      </c>
      <c r="E4209" s="14" t="s">
        <v>4895</v>
      </c>
      <c r="F4209" s="11">
        <v>168</v>
      </c>
    </row>
    <row r="4210" spans="2:6" x14ac:dyDescent="0.3">
      <c r="B4210" s="12">
        <v>4207</v>
      </c>
      <c r="C4210" s="28">
        <v>155.38741917134377</v>
      </c>
      <c r="E4210" s="14" t="s">
        <v>3457</v>
      </c>
      <c r="F4210" s="11">
        <v>178</v>
      </c>
    </row>
    <row r="4211" spans="2:6" x14ac:dyDescent="0.3">
      <c r="B4211" s="12">
        <v>4208</v>
      </c>
      <c r="C4211" s="28">
        <v>166.94295319108775</v>
      </c>
      <c r="E4211" s="14" t="s">
        <v>920</v>
      </c>
      <c r="F4211" s="11">
        <v>165</v>
      </c>
    </row>
    <row r="4212" spans="2:6" x14ac:dyDescent="0.3">
      <c r="B4212" s="12">
        <v>4209</v>
      </c>
      <c r="C4212" s="28">
        <v>154.6909862153453</v>
      </c>
      <c r="E4212" s="14" t="s">
        <v>3985</v>
      </c>
      <c r="F4212" s="11">
        <v>178</v>
      </c>
    </row>
    <row r="4213" spans="2:6" x14ac:dyDescent="0.3">
      <c r="B4213" s="12">
        <v>4210</v>
      </c>
      <c r="C4213" s="28">
        <v>163.5740410394564</v>
      </c>
      <c r="E4213" s="14" t="s">
        <v>340</v>
      </c>
      <c r="F4213" s="11">
        <v>176</v>
      </c>
    </row>
    <row r="4214" spans="2:6" x14ac:dyDescent="0.3">
      <c r="B4214" s="12">
        <v>4211</v>
      </c>
      <c r="C4214" s="28">
        <v>155.7020788227928</v>
      </c>
      <c r="E4214" s="14" t="s">
        <v>682</v>
      </c>
      <c r="F4214" s="11">
        <v>160</v>
      </c>
    </row>
    <row r="4215" spans="2:6" x14ac:dyDescent="0.3">
      <c r="B4215" s="12">
        <v>4212</v>
      </c>
      <c r="C4215" s="28">
        <v>158.07386166759255</v>
      </c>
      <c r="E4215" s="14" t="s">
        <v>1406</v>
      </c>
      <c r="F4215" s="11">
        <v>170</v>
      </c>
    </row>
    <row r="4216" spans="2:6" x14ac:dyDescent="0.3">
      <c r="B4216" s="12">
        <v>4213</v>
      </c>
      <c r="C4216" s="28">
        <v>166.97591046404077</v>
      </c>
      <c r="E4216" s="14" t="s">
        <v>1311</v>
      </c>
      <c r="F4216" s="11">
        <v>177</v>
      </c>
    </row>
    <row r="4217" spans="2:6" x14ac:dyDescent="0.3">
      <c r="B4217" s="12">
        <v>4214</v>
      </c>
      <c r="C4217" s="28">
        <v>163.40021880841346</v>
      </c>
      <c r="E4217" s="14" t="s">
        <v>2220</v>
      </c>
      <c r="F4217" s="11">
        <v>170</v>
      </c>
    </row>
    <row r="4218" spans="2:6" x14ac:dyDescent="0.3">
      <c r="B4218" s="12">
        <v>4215</v>
      </c>
      <c r="C4218" s="28">
        <v>162.3782295248287</v>
      </c>
      <c r="E4218" s="14" t="s">
        <v>3449</v>
      </c>
      <c r="F4218" s="11">
        <v>178</v>
      </c>
    </row>
    <row r="4219" spans="2:6" x14ac:dyDescent="0.3">
      <c r="B4219" s="12">
        <v>4216</v>
      </c>
      <c r="C4219" s="28">
        <v>169.25811889178038</v>
      </c>
      <c r="E4219" s="14" t="s">
        <v>435</v>
      </c>
      <c r="F4219" s="11">
        <v>143</v>
      </c>
    </row>
    <row r="4220" spans="2:6" x14ac:dyDescent="0.3">
      <c r="B4220" s="12">
        <v>4217</v>
      </c>
      <c r="C4220" s="28">
        <v>152.67581733810235</v>
      </c>
      <c r="E4220" s="14" t="s">
        <v>2618</v>
      </c>
      <c r="F4220" s="11">
        <v>178</v>
      </c>
    </row>
    <row r="4221" spans="2:6" x14ac:dyDescent="0.3">
      <c r="B4221" s="12">
        <v>4218</v>
      </c>
      <c r="C4221" s="28">
        <v>169.32307304640952</v>
      </c>
      <c r="E4221" s="14" t="s">
        <v>1205</v>
      </c>
      <c r="F4221" s="11">
        <v>162</v>
      </c>
    </row>
    <row r="4222" spans="2:6" x14ac:dyDescent="0.3">
      <c r="B4222" s="12">
        <v>4219</v>
      </c>
      <c r="C4222" s="28">
        <v>164.17925501424014</v>
      </c>
      <c r="E4222" s="14" t="s">
        <v>2307</v>
      </c>
      <c r="F4222" s="11">
        <v>175</v>
      </c>
    </row>
    <row r="4223" spans="2:6" x14ac:dyDescent="0.3">
      <c r="B4223" s="12">
        <v>4220</v>
      </c>
      <c r="C4223" s="28">
        <v>168.45561793403573</v>
      </c>
      <c r="E4223" s="14" t="s">
        <v>789</v>
      </c>
      <c r="F4223" s="11">
        <v>170</v>
      </c>
    </row>
    <row r="4224" spans="2:6" x14ac:dyDescent="0.3">
      <c r="B4224" s="12">
        <v>4221</v>
      </c>
      <c r="C4224" s="28">
        <v>175.10530091915393</v>
      </c>
      <c r="E4224" s="14" t="s">
        <v>629</v>
      </c>
      <c r="F4224" s="11">
        <v>167</v>
      </c>
    </row>
    <row r="4225" spans="2:6" x14ac:dyDescent="0.3">
      <c r="B4225" s="12">
        <v>4222</v>
      </c>
      <c r="C4225" s="28">
        <v>166.9123883345859</v>
      </c>
      <c r="E4225" s="14" t="s">
        <v>3998</v>
      </c>
      <c r="F4225" s="11">
        <v>168</v>
      </c>
    </row>
    <row r="4226" spans="2:6" x14ac:dyDescent="0.3">
      <c r="B4226" s="12">
        <v>4223</v>
      </c>
      <c r="C4226" s="28">
        <v>166.15341279819026</v>
      </c>
      <c r="E4226" s="14" t="s">
        <v>2454</v>
      </c>
      <c r="F4226" s="11">
        <v>166</v>
      </c>
    </row>
    <row r="4227" spans="2:6" x14ac:dyDescent="0.3">
      <c r="B4227" s="12">
        <v>4224</v>
      </c>
      <c r="C4227" s="28">
        <v>162.60809122993825</v>
      </c>
      <c r="E4227" s="14" t="s">
        <v>4357</v>
      </c>
      <c r="F4227" s="11">
        <v>160</v>
      </c>
    </row>
    <row r="4228" spans="2:6" x14ac:dyDescent="0.3">
      <c r="B4228" s="12">
        <v>4225</v>
      </c>
      <c r="C4228" s="28">
        <v>162.78143758662256</v>
      </c>
      <c r="E4228" s="14" t="s">
        <v>2529</v>
      </c>
      <c r="F4228" s="11">
        <v>172</v>
      </c>
    </row>
    <row r="4229" spans="2:6" x14ac:dyDescent="0.3">
      <c r="B4229" s="12">
        <v>4226</v>
      </c>
      <c r="C4229" s="28">
        <v>153.46998765170292</v>
      </c>
      <c r="E4229" s="14" t="s">
        <v>3223</v>
      </c>
      <c r="F4229" s="11">
        <v>186</v>
      </c>
    </row>
    <row r="4230" spans="2:6" x14ac:dyDescent="0.3">
      <c r="B4230" s="12">
        <v>4227</v>
      </c>
      <c r="C4230" s="28">
        <v>161.40492338148985</v>
      </c>
      <c r="E4230" s="14" t="s">
        <v>3114</v>
      </c>
      <c r="F4230" s="11">
        <v>173</v>
      </c>
    </row>
    <row r="4231" spans="2:6" x14ac:dyDescent="0.3">
      <c r="B4231" s="12">
        <v>4228</v>
      </c>
      <c r="C4231" s="28">
        <v>160.65728040327406</v>
      </c>
      <c r="E4231" s="14" t="s">
        <v>1624</v>
      </c>
      <c r="F4231" s="11">
        <v>177</v>
      </c>
    </row>
    <row r="4232" spans="2:6" x14ac:dyDescent="0.3">
      <c r="B4232" s="12">
        <v>4229</v>
      </c>
      <c r="C4232" s="28">
        <v>161.48329674927746</v>
      </c>
      <c r="E4232" s="14" t="s">
        <v>983</v>
      </c>
      <c r="F4232" s="11">
        <v>172</v>
      </c>
    </row>
    <row r="4233" spans="2:6" x14ac:dyDescent="0.3">
      <c r="B4233" s="12">
        <v>4230</v>
      </c>
      <c r="C4233" s="28">
        <v>154.01343036397179</v>
      </c>
      <c r="E4233" s="14" t="s">
        <v>575</v>
      </c>
      <c r="F4233" s="11">
        <v>166</v>
      </c>
    </row>
    <row r="4234" spans="2:6" x14ac:dyDescent="0.3">
      <c r="B4234" s="12">
        <v>4231</v>
      </c>
      <c r="C4234" s="28">
        <v>156.90518265473349</v>
      </c>
      <c r="E4234" s="14" t="s">
        <v>1939</v>
      </c>
      <c r="F4234" s="11">
        <v>167</v>
      </c>
    </row>
    <row r="4235" spans="2:6" x14ac:dyDescent="0.3">
      <c r="B4235" s="12">
        <v>4232</v>
      </c>
      <c r="C4235" s="28">
        <v>170.47447456298036</v>
      </c>
      <c r="E4235" s="14" t="s">
        <v>2021</v>
      </c>
      <c r="F4235" s="11">
        <v>164</v>
      </c>
    </row>
    <row r="4236" spans="2:6" x14ac:dyDescent="0.3">
      <c r="B4236" s="12">
        <v>4233</v>
      </c>
      <c r="C4236" s="28">
        <v>157.64957256776503</v>
      </c>
      <c r="E4236" s="14" t="s">
        <v>3354</v>
      </c>
      <c r="F4236" s="11">
        <v>170</v>
      </c>
    </row>
    <row r="4237" spans="2:6" x14ac:dyDescent="0.3">
      <c r="B4237" s="12">
        <v>4234</v>
      </c>
      <c r="C4237" s="28">
        <v>158.74831043401184</v>
      </c>
      <c r="E4237" s="14" t="s">
        <v>4124</v>
      </c>
      <c r="F4237" s="11">
        <v>173</v>
      </c>
    </row>
    <row r="4238" spans="2:6" x14ac:dyDescent="0.3">
      <c r="B4238" s="12">
        <v>4235</v>
      </c>
      <c r="C4238" s="28">
        <v>161.19711048989953</v>
      </c>
      <c r="E4238" s="14" t="s">
        <v>1053</v>
      </c>
      <c r="F4238" s="11">
        <v>167</v>
      </c>
    </row>
    <row r="4239" spans="2:6" x14ac:dyDescent="0.3">
      <c r="B4239" s="12">
        <v>4236</v>
      </c>
      <c r="C4239" s="28">
        <v>169.68140778469515</v>
      </c>
      <c r="E4239" s="14" t="s">
        <v>3312</v>
      </c>
      <c r="F4239" s="11">
        <v>170</v>
      </c>
    </row>
    <row r="4240" spans="2:6" x14ac:dyDescent="0.3">
      <c r="B4240" s="12">
        <v>4237</v>
      </c>
      <c r="C4240" s="28">
        <v>160.90338216182803</v>
      </c>
      <c r="E4240" s="14" t="s">
        <v>407</v>
      </c>
      <c r="F4240" s="11">
        <v>167</v>
      </c>
    </row>
    <row r="4241" spans="2:6" x14ac:dyDescent="0.3">
      <c r="B4241" s="12">
        <v>4238</v>
      </c>
      <c r="C4241" s="28">
        <v>161.9201580893384</v>
      </c>
      <c r="E4241" s="14" t="s">
        <v>2795</v>
      </c>
      <c r="F4241" s="11">
        <v>167</v>
      </c>
    </row>
    <row r="4242" spans="2:6" x14ac:dyDescent="0.3">
      <c r="B4242" s="12">
        <v>4239</v>
      </c>
      <c r="C4242" s="28">
        <v>164.96242662314984</v>
      </c>
      <c r="E4242" s="14" t="s">
        <v>3790</v>
      </c>
      <c r="F4242" s="11">
        <v>171</v>
      </c>
    </row>
    <row r="4243" spans="2:6" x14ac:dyDescent="0.3">
      <c r="B4243" s="12">
        <v>4240</v>
      </c>
      <c r="C4243" s="28">
        <v>167.38444292303669</v>
      </c>
      <c r="E4243" s="14" t="s">
        <v>235</v>
      </c>
      <c r="F4243" s="11">
        <v>190</v>
      </c>
    </row>
    <row r="4244" spans="2:6" x14ac:dyDescent="0.3">
      <c r="B4244" s="12">
        <v>4241</v>
      </c>
      <c r="C4244" s="28">
        <v>149.74550335228912</v>
      </c>
      <c r="E4244" s="14" t="s">
        <v>237</v>
      </c>
      <c r="F4244" s="11">
        <v>167</v>
      </c>
    </row>
    <row r="4245" spans="2:6" x14ac:dyDescent="0.3">
      <c r="B4245" s="12">
        <v>4242</v>
      </c>
      <c r="C4245" s="28">
        <v>172.42107846609599</v>
      </c>
      <c r="E4245" s="14" t="s">
        <v>368</v>
      </c>
      <c r="F4245" s="11">
        <v>172</v>
      </c>
    </row>
    <row r="4246" spans="2:6" x14ac:dyDescent="0.3">
      <c r="B4246" s="12">
        <v>4243</v>
      </c>
      <c r="C4246" s="28">
        <v>169.56673530395807</v>
      </c>
      <c r="E4246" s="14" t="s">
        <v>1158</v>
      </c>
      <c r="F4246" s="11">
        <v>158</v>
      </c>
    </row>
    <row r="4247" spans="2:6" x14ac:dyDescent="0.3">
      <c r="B4247" s="12">
        <v>4244</v>
      </c>
      <c r="C4247" s="28">
        <v>154.91261000906508</v>
      </c>
      <c r="E4247" s="14" t="s">
        <v>1790</v>
      </c>
      <c r="F4247" s="11">
        <v>162</v>
      </c>
    </row>
    <row r="4248" spans="2:6" x14ac:dyDescent="0.3">
      <c r="B4248" s="12">
        <v>4245</v>
      </c>
      <c r="C4248" s="28">
        <v>160.9028531051996</v>
      </c>
      <c r="E4248" s="14" t="s">
        <v>3636</v>
      </c>
      <c r="F4248" s="11">
        <v>155</v>
      </c>
    </row>
    <row r="4249" spans="2:6" x14ac:dyDescent="0.3">
      <c r="B4249" s="12">
        <v>4246</v>
      </c>
      <c r="C4249" s="28">
        <v>154.63073151692606</v>
      </c>
      <c r="E4249" s="14" t="s">
        <v>2461</v>
      </c>
      <c r="F4249" s="11">
        <v>175</v>
      </c>
    </row>
    <row r="4250" spans="2:6" x14ac:dyDescent="0.3">
      <c r="B4250" s="12">
        <v>4247</v>
      </c>
      <c r="C4250" s="28">
        <v>155.44659998250233</v>
      </c>
      <c r="E4250" s="14" t="s">
        <v>2690</v>
      </c>
      <c r="F4250" s="11">
        <v>164</v>
      </c>
    </row>
    <row r="4251" spans="2:6" x14ac:dyDescent="0.3">
      <c r="B4251" s="12">
        <v>4248</v>
      </c>
      <c r="C4251" s="28">
        <v>173.24429100585735</v>
      </c>
      <c r="E4251" s="14" t="s">
        <v>3431</v>
      </c>
      <c r="F4251" s="11">
        <v>181</v>
      </c>
    </row>
    <row r="4252" spans="2:6" x14ac:dyDescent="0.3">
      <c r="B4252" s="12">
        <v>4249</v>
      </c>
      <c r="C4252" s="28">
        <v>163.96639183273268</v>
      </c>
      <c r="E4252" s="14" t="s">
        <v>3625</v>
      </c>
      <c r="F4252" s="11">
        <v>154</v>
      </c>
    </row>
    <row r="4253" spans="2:6" x14ac:dyDescent="0.3">
      <c r="B4253" s="12">
        <v>4250</v>
      </c>
      <c r="C4253" s="28">
        <v>158.3272109177089</v>
      </c>
      <c r="E4253" s="14" t="s">
        <v>4014</v>
      </c>
      <c r="F4253" s="11">
        <v>180</v>
      </c>
    </row>
    <row r="4254" spans="2:6" x14ac:dyDescent="0.3">
      <c r="B4254" s="12">
        <v>4251</v>
      </c>
      <c r="C4254" s="28">
        <v>159.457403370306</v>
      </c>
      <c r="E4254" s="14" t="s">
        <v>4557</v>
      </c>
      <c r="F4254" s="11">
        <v>175</v>
      </c>
    </row>
    <row r="4255" spans="2:6" x14ac:dyDescent="0.3">
      <c r="B4255" s="12">
        <v>4252</v>
      </c>
      <c r="C4255" s="28">
        <v>164.54866516886568</v>
      </c>
      <c r="E4255" s="14" t="s">
        <v>170</v>
      </c>
      <c r="F4255" s="11">
        <v>178</v>
      </c>
    </row>
    <row r="4256" spans="2:6" x14ac:dyDescent="0.3">
      <c r="B4256" s="12">
        <v>4253</v>
      </c>
      <c r="C4256" s="28">
        <v>156.82327731517671</v>
      </c>
      <c r="E4256" s="14" t="s">
        <v>4045</v>
      </c>
      <c r="F4256" s="11">
        <v>163</v>
      </c>
    </row>
    <row r="4257" spans="2:6" x14ac:dyDescent="0.3">
      <c r="B4257" s="12">
        <v>4254</v>
      </c>
      <c r="C4257" s="28">
        <v>165.00681393297882</v>
      </c>
      <c r="E4257" s="14" t="s">
        <v>4052</v>
      </c>
      <c r="F4257" s="11">
        <v>165</v>
      </c>
    </row>
    <row r="4258" spans="2:6" x14ac:dyDescent="0.3">
      <c r="B4258" s="12">
        <v>4255</v>
      </c>
      <c r="C4258" s="28">
        <v>155.93477485935639</v>
      </c>
      <c r="E4258" s="14" t="s">
        <v>4053</v>
      </c>
      <c r="F4258" s="11">
        <v>173</v>
      </c>
    </row>
    <row r="4259" spans="2:6" x14ac:dyDescent="0.3">
      <c r="B4259" s="12">
        <v>4256</v>
      </c>
      <c r="C4259" s="28">
        <v>159.42179137044988</v>
      </c>
      <c r="E4259" s="14" t="s">
        <v>3427</v>
      </c>
      <c r="F4259" s="11">
        <v>158</v>
      </c>
    </row>
    <row r="4260" spans="2:6" x14ac:dyDescent="0.3">
      <c r="B4260" s="12">
        <v>4257</v>
      </c>
      <c r="C4260" s="28">
        <v>158.24713006564284</v>
      </c>
      <c r="E4260" s="14" t="s">
        <v>4054</v>
      </c>
      <c r="F4260" s="11">
        <v>178</v>
      </c>
    </row>
    <row r="4261" spans="2:6" x14ac:dyDescent="0.3">
      <c r="B4261" s="12">
        <v>4258</v>
      </c>
      <c r="C4261" s="28">
        <v>148.30288715209426</v>
      </c>
      <c r="E4261" s="14" t="s">
        <v>4055</v>
      </c>
      <c r="F4261" s="11">
        <v>167</v>
      </c>
    </row>
    <row r="4262" spans="2:6" x14ac:dyDescent="0.3">
      <c r="B4262" s="12">
        <v>4259</v>
      </c>
      <c r="C4262" s="28">
        <v>155.2718380957088</v>
      </c>
      <c r="E4262" s="14" t="s">
        <v>4056</v>
      </c>
      <c r="F4262" s="11">
        <v>174</v>
      </c>
    </row>
    <row r="4263" spans="2:6" x14ac:dyDescent="0.3">
      <c r="B4263" s="12">
        <v>4260</v>
      </c>
      <c r="C4263" s="28">
        <v>161.14585481826782</v>
      </c>
      <c r="E4263" s="14" t="s">
        <v>239</v>
      </c>
      <c r="F4263" s="11">
        <v>176</v>
      </c>
    </row>
    <row r="4264" spans="2:6" x14ac:dyDescent="0.3">
      <c r="B4264" s="12">
        <v>4261</v>
      </c>
      <c r="C4264" s="28">
        <v>171.70564104926046</v>
      </c>
      <c r="E4264" s="14" t="s">
        <v>1206</v>
      </c>
      <c r="F4264" s="11">
        <v>176</v>
      </c>
    </row>
    <row r="4265" spans="2:6" x14ac:dyDescent="0.3">
      <c r="B4265" s="12">
        <v>4262</v>
      </c>
      <c r="C4265" s="28">
        <v>162.64758744078338</v>
      </c>
      <c r="E4265" s="14" t="s">
        <v>1309</v>
      </c>
      <c r="F4265" s="11">
        <v>173</v>
      </c>
    </row>
    <row r="4266" spans="2:6" x14ac:dyDescent="0.3">
      <c r="B4266" s="12">
        <v>4263</v>
      </c>
      <c r="C4266" s="28">
        <v>167.34474857348906</v>
      </c>
      <c r="E4266" s="14" t="s">
        <v>2584</v>
      </c>
      <c r="F4266" s="11">
        <v>172</v>
      </c>
    </row>
    <row r="4267" spans="2:6" x14ac:dyDescent="0.3">
      <c r="B4267" s="12">
        <v>4264</v>
      </c>
      <c r="C4267" s="28">
        <v>161.78880645766549</v>
      </c>
      <c r="E4267" s="14" t="s">
        <v>3781</v>
      </c>
      <c r="F4267" s="11">
        <v>162</v>
      </c>
    </row>
    <row r="4268" spans="2:6" x14ac:dyDescent="0.3">
      <c r="B4268" s="12">
        <v>4265</v>
      </c>
      <c r="C4268" s="28">
        <v>166.36534935736225</v>
      </c>
      <c r="E4268" s="14" t="s">
        <v>314</v>
      </c>
      <c r="F4268" s="11">
        <v>180</v>
      </c>
    </row>
    <row r="4269" spans="2:6" x14ac:dyDescent="0.3">
      <c r="B4269" s="12">
        <v>4266</v>
      </c>
      <c r="C4269" s="28">
        <v>151.60050872029439</v>
      </c>
      <c r="E4269" s="14" t="s">
        <v>3367</v>
      </c>
      <c r="F4269" s="11">
        <v>188</v>
      </c>
    </row>
    <row r="4270" spans="2:6" x14ac:dyDescent="0.3">
      <c r="B4270" s="12">
        <v>4267</v>
      </c>
      <c r="C4270" s="28">
        <v>166.60533984056781</v>
      </c>
      <c r="E4270" s="14" t="s">
        <v>1410</v>
      </c>
      <c r="F4270" s="11">
        <v>168</v>
      </c>
    </row>
    <row r="4271" spans="2:6" x14ac:dyDescent="0.3">
      <c r="B4271" s="12">
        <v>4268</v>
      </c>
      <c r="C4271" s="28">
        <v>158.5674107487614</v>
      </c>
      <c r="E4271" s="14" t="s">
        <v>3840</v>
      </c>
      <c r="F4271" s="11">
        <v>167</v>
      </c>
    </row>
    <row r="4272" spans="2:6" x14ac:dyDescent="0.3">
      <c r="B4272" s="12">
        <v>4269</v>
      </c>
      <c r="C4272" s="28">
        <v>163.09313552459449</v>
      </c>
      <c r="E4272" s="14" t="s">
        <v>530</v>
      </c>
      <c r="F4272" s="11">
        <v>164</v>
      </c>
    </row>
    <row r="4273" spans="2:6" x14ac:dyDescent="0.3">
      <c r="B4273" s="12">
        <v>4270</v>
      </c>
      <c r="C4273" s="28">
        <v>159.41229029245207</v>
      </c>
      <c r="E4273" s="14" t="s">
        <v>69</v>
      </c>
      <c r="F4273" s="11">
        <v>173</v>
      </c>
    </row>
    <row r="4274" spans="2:6" x14ac:dyDescent="0.3">
      <c r="B4274" s="12">
        <v>4271</v>
      </c>
      <c r="C4274" s="28">
        <v>152.09182588655773</v>
      </c>
      <c r="E4274" s="14" t="s">
        <v>818</v>
      </c>
      <c r="F4274" s="11">
        <v>172</v>
      </c>
    </row>
    <row r="4275" spans="2:6" x14ac:dyDescent="0.3">
      <c r="B4275" s="12">
        <v>4272</v>
      </c>
      <c r="C4275" s="28">
        <v>162.31883584947278</v>
      </c>
      <c r="E4275" s="14" t="s">
        <v>3853</v>
      </c>
      <c r="F4275" s="11">
        <v>172</v>
      </c>
    </row>
    <row r="4276" spans="2:6" x14ac:dyDescent="0.3">
      <c r="B4276" s="12">
        <v>4273</v>
      </c>
      <c r="C4276" s="28">
        <v>164.83199276495304</v>
      </c>
      <c r="E4276" s="14" t="s">
        <v>1592</v>
      </c>
      <c r="F4276" s="11">
        <v>186</v>
      </c>
    </row>
    <row r="4277" spans="2:6" x14ac:dyDescent="0.3">
      <c r="B4277" s="12">
        <v>4274</v>
      </c>
      <c r="C4277" s="28">
        <v>165.3000800233215</v>
      </c>
      <c r="E4277" s="14" t="s">
        <v>1693</v>
      </c>
      <c r="F4277" s="11">
        <v>170</v>
      </c>
    </row>
    <row r="4278" spans="2:6" x14ac:dyDescent="0.3">
      <c r="B4278" s="12">
        <v>4275</v>
      </c>
      <c r="C4278" s="28">
        <v>169.41559653059232</v>
      </c>
      <c r="E4278" s="14" t="s">
        <v>4515</v>
      </c>
      <c r="F4278" s="11">
        <v>180</v>
      </c>
    </row>
    <row r="4279" spans="2:6" x14ac:dyDescent="0.3">
      <c r="B4279" s="12">
        <v>4276</v>
      </c>
      <c r="C4279" s="28">
        <v>162.34810898766349</v>
      </c>
      <c r="E4279" s="14" t="s">
        <v>2544</v>
      </c>
      <c r="F4279" s="11">
        <v>172</v>
      </c>
    </row>
    <row r="4280" spans="2:6" x14ac:dyDescent="0.3">
      <c r="B4280" s="12">
        <v>4277</v>
      </c>
      <c r="C4280" s="28">
        <v>164.09483879543794</v>
      </c>
      <c r="E4280" s="14" t="s">
        <v>4250</v>
      </c>
      <c r="F4280" s="11">
        <v>154</v>
      </c>
    </row>
    <row r="4281" spans="2:6" x14ac:dyDescent="0.3">
      <c r="B4281" s="12">
        <v>4278</v>
      </c>
      <c r="C4281" s="28">
        <v>165.37382979930146</v>
      </c>
      <c r="E4281" s="14" t="s">
        <v>4058</v>
      </c>
      <c r="F4281" s="11">
        <v>183</v>
      </c>
    </row>
    <row r="4282" spans="2:6" x14ac:dyDescent="0.3">
      <c r="B4282" s="12">
        <v>4279</v>
      </c>
      <c r="C4282" s="28">
        <v>155.97513259574896</v>
      </c>
      <c r="E4282" s="14" t="s">
        <v>4060</v>
      </c>
      <c r="F4282" s="11">
        <v>170</v>
      </c>
    </row>
    <row r="4283" spans="2:6" x14ac:dyDescent="0.3">
      <c r="B4283" s="12">
        <v>4280</v>
      </c>
      <c r="C4283" s="28">
        <v>167.23347489860453</v>
      </c>
      <c r="E4283" s="14" t="s">
        <v>2853</v>
      </c>
      <c r="F4283" s="11">
        <v>180</v>
      </c>
    </row>
    <row r="4284" spans="2:6" x14ac:dyDescent="0.3">
      <c r="B4284" s="12">
        <v>4281</v>
      </c>
      <c r="C4284" s="28">
        <v>164.10777343486478</v>
      </c>
      <c r="E4284" s="14" t="s">
        <v>3026</v>
      </c>
      <c r="F4284" s="11">
        <v>165</v>
      </c>
    </row>
    <row r="4285" spans="2:6" x14ac:dyDescent="0.3">
      <c r="B4285" s="12">
        <v>4282</v>
      </c>
      <c r="C4285" s="28">
        <v>157.0802046714721</v>
      </c>
      <c r="E4285" s="14" t="s">
        <v>71</v>
      </c>
      <c r="F4285" s="11">
        <v>158</v>
      </c>
    </row>
    <row r="4286" spans="2:6" x14ac:dyDescent="0.3">
      <c r="B4286" s="12">
        <v>4283</v>
      </c>
      <c r="C4286" s="28">
        <v>166.71668359121028</v>
      </c>
      <c r="E4286" s="14" t="s">
        <v>2727</v>
      </c>
      <c r="F4286" s="11">
        <v>158</v>
      </c>
    </row>
    <row r="4287" spans="2:6" x14ac:dyDescent="0.3">
      <c r="B4287" s="12">
        <v>4284</v>
      </c>
      <c r="C4287" s="28">
        <v>162.71461038906489</v>
      </c>
      <c r="E4287" s="14" t="s">
        <v>781</v>
      </c>
      <c r="F4287" s="11">
        <v>165</v>
      </c>
    </row>
    <row r="4288" spans="2:6" x14ac:dyDescent="0.3">
      <c r="B4288" s="12">
        <v>4285</v>
      </c>
      <c r="C4288" s="28">
        <v>164.68146656990265</v>
      </c>
      <c r="E4288" s="14" t="s">
        <v>2988</v>
      </c>
      <c r="F4288" s="11">
        <v>164</v>
      </c>
    </row>
    <row r="4289" spans="2:6" x14ac:dyDescent="0.3">
      <c r="B4289" s="12">
        <v>4286</v>
      </c>
      <c r="C4289" s="28">
        <v>137.82835864574662</v>
      </c>
      <c r="E4289" s="14" t="s">
        <v>57</v>
      </c>
      <c r="F4289" s="11">
        <v>147</v>
      </c>
    </row>
    <row r="4290" spans="2:6" x14ac:dyDescent="0.3">
      <c r="B4290" s="12">
        <v>4287</v>
      </c>
      <c r="C4290" s="28">
        <v>162.86758902320045</v>
      </c>
      <c r="E4290" s="14" t="s">
        <v>2791</v>
      </c>
      <c r="F4290" s="11">
        <v>173</v>
      </c>
    </row>
    <row r="4291" spans="2:6" x14ac:dyDescent="0.3">
      <c r="B4291" s="12">
        <v>4288</v>
      </c>
      <c r="C4291" s="28">
        <v>162.86634892092857</v>
      </c>
      <c r="E4291" s="14" t="s">
        <v>2373</v>
      </c>
      <c r="F4291" s="11">
        <v>165</v>
      </c>
    </row>
    <row r="4292" spans="2:6" x14ac:dyDescent="0.3">
      <c r="B4292" s="12">
        <v>4289</v>
      </c>
      <c r="C4292" s="28">
        <v>155.77824864347369</v>
      </c>
      <c r="E4292" s="14" t="s">
        <v>3207</v>
      </c>
      <c r="F4292" s="11">
        <v>167</v>
      </c>
    </row>
    <row r="4293" spans="2:6" x14ac:dyDescent="0.3">
      <c r="B4293" s="12">
        <v>4290</v>
      </c>
      <c r="C4293" s="28">
        <v>159.61168128988822</v>
      </c>
      <c r="E4293" s="14" t="s">
        <v>3366</v>
      </c>
      <c r="F4293" s="11">
        <v>170</v>
      </c>
    </row>
    <row r="4294" spans="2:6" x14ac:dyDescent="0.3">
      <c r="B4294" s="12">
        <v>4291</v>
      </c>
      <c r="C4294" s="28">
        <v>170.51595029381767</v>
      </c>
      <c r="E4294" s="14" t="s">
        <v>3772</v>
      </c>
      <c r="F4294" s="11">
        <v>175</v>
      </c>
    </row>
    <row r="4295" spans="2:6" x14ac:dyDescent="0.3">
      <c r="B4295" s="12">
        <v>4292</v>
      </c>
      <c r="C4295" s="28">
        <v>157.52310659005741</v>
      </c>
      <c r="E4295" s="14" t="s">
        <v>3795</v>
      </c>
      <c r="F4295" s="11">
        <v>165</v>
      </c>
    </row>
    <row r="4296" spans="2:6" x14ac:dyDescent="0.3">
      <c r="B4296" s="12">
        <v>4293</v>
      </c>
      <c r="C4296" s="28">
        <v>158.07674464790708</v>
      </c>
      <c r="E4296" s="14" t="s">
        <v>4558</v>
      </c>
      <c r="F4296" s="11">
        <v>190</v>
      </c>
    </row>
    <row r="4297" spans="2:6" x14ac:dyDescent="0.3">
      <c r="B4297" s="12">
        <v>4294</v>
      </c>
      <c r="C4297" s="28">
        <v>169.15616076544509</v>
      </c>
      <c r="E4297" s="14" t="s">
        <v>4135</v>
      </c>
      <c r="F4297" s="11">
        <v>174</v>
      </c>
    </row>
    <row r="4298" spans="2:6" x14ac:dyDescent="0.3">
      <c r="B4298" s="12">
        <v>4295</v>
      </c>
      <c r="C4298" s="28">
        <v>162.20014346224005</v>
      </c>
      <c r="E4298" s="14" t="s">
        <v>3409</v>
      </c>
      <c r="F4298" s="11">
        <v>170</v>
      </c>
    </row>
    <row r="4299" spans="2:6" x14ac:dyDescent="0.3">
      <c r="B4299" s="12">
        <v>4296</v>
      </c>
      <c r="C4299" s="28">
        <v>154.00077312625331</v>
      </c>
      <c r="E4299" s="14" t="s">
        <v>1224</v>
      </c>
      <c r="F4299" s="11">
        <v>168</v>
      </c>
    </row>
    <row r="4300" spans="2:6" x14ac:dyDescent="0.3">
      <c r="B4300" s="12">
        <v>4297</v>
      </c>
      <c r="C4300" s="28">
        <v>164.50374646553334</v>
      </c>
      <c r="E4300" s="14" t="s">
        <v>1720</v>
      </c>
      <c r="F4300" s="11">
        <v>168</v>
      </c>
    </row>
    <row r="4301" spans="2:6" x14ac:dyDescent="0.3">
      <c r="B4301" s="12">
        <v>4298</v>
      </c>
      <c r="C4301" s="28">
        <v>157.941570723035</v>
      </c>
      <c r="E4301" s="14" t="s">
        <v>1144</v>
      </c>
      <c r="F4301" s="11">
        <v>170</v>
      </c>
    </row>
    <row r="4302" spans="2:6" x14ac:dyDescent="0.3">
      <c r="B4302" s="12">
        <v>4299</v>
      </c>
      <c r="C4302" s="28">
        <v>164.45174654167894</v>
      </c>
      <c r="E4302" s="14" t="s">
        <v>1671</v>
      </c>
      <c r="F4302" s="11">
        <v>165</v>
      </c>
    </row>
    <row r="4303" spans="2:6" x14ac:dyDescent="0.3">
      <c r="B4303" s="12">
        <v>4300</v>
      </c>
      <c r="C4303" s="28">
        <v>167.51693374959987</v>
      </c>
      <c r="E4303" s="14" t="s">
        <v>847</v>
      </c>
      <c r="F4303" s="11">
        <v>173</v>
      </c>
    </row>
    <row r="4304" spans="2:6" x14ac:dyDescent="0.3">
      <c r="B4304" s="12">
        <v>4301</v>
      </c>
      <c r="C4304" s="28">
        <v>159.72415676412885</v>
      </c>
      <c r="E4304" s="14" t="s">
        <v>2208</v>
      </c>
      <c r="F4304" s="11">
        <v>178</v>
      </c>
    </row>
    <row r="4305" spans="2:6" x14ac:dyDescent="0.3">
      <c r="B4305" s="12">
        <v>4302</v>
      </c>
      <c r="C4305" s="28">
        <v>157.8460862161032</v>
      </c>
      <c r="E4305" s="14" t="s">
        <v>72</v>
      </c>
      <c r="F4305" s="11">
        <v>166</v>
      </c>
    </row>
    <row r="4306" spans="2:6" x14ac:dyDescent="0.3">
      <c r="B4306" s="12">
        <v>4303</v>
      </c>
      <c r="C4306" s="28">
        <v>157.50288444420792</v>
      </c>
      <c r="E4306" s="14" t="s">
        <v>4438</v>
      </c>
      <c r="F4306" s="11">
        <v>168</v>
      </c>
    </row>
    <row r="4307" spans="2:6" x14ac:dyDescent="0.3">
      <c r="B4307" s="12">
        <v>4304</v>
      </c>
      <c r="C4307" s="28">
        <v>153.96416060151481</v>
      </c>
      <c r="E4307" s="14" t="s">
        <v>2494</v>
      </c>
      <c r="F4307" s="11">
        <v>160</v>
      </c>
    </row>
    <row r="4308" spans="2:6" x14ac:dyDescent="0.3">
      <c r="B4308" s="12">
        <v>4305</v>
      </c>
      <c r="C4308" s="28">
        <v>160.76550265157312</v>
      </c>
      <c r="E4308" s="14" t="s">
        <v>2587</v>
      </c>
      <c r="F4308" s="11">
        <v>162</v>
      </c>
    </row>
    <row r="4309" spans="2:6" x14ac:dyDescent="0.3">
      <c r="B4309" s="12">
        <v>4306</v>
      </c>
      <c r="C4309" s="28">
        <v>160.58307515233511</v>
      </c>
      <c r="E4309" s="14" t="s">
        <v>1721</v>
      </c>
      <c r="F4309" s="11">
        <v>180</v>
      </c>
    </row>
    <row r="4310" spans="2:6" x14ac:dyDescent="0.3">
      <c r="B4310" s="12">
        <v>4307</v>
      </c>
      <c r="C4310" s="28">
        <v>154.75292475405166</v>
      </c>
      <c r="E4310" s="14" t="s">
        <v>2260</v>
      </c>
      <c r="F4310" s="11">
        <v>178</v>
      </c>
    </row>
    <row r="4311" spans="2:6" x14ac:dyDescent="0.3">
      <c r="B4311" s="12">
        <v>4308</v>
      </c>
      <c r="C4311" s="28">
        <v>161.99206909608202</v>
      </c>
      <c r="E4311" s="14" t="s">
        <v>1160</v>
      </c>
      <c r="F4311" s="11">
        <v>179</v>
      </c>
    </row>
    <row r="4312" spans="2:6" x14ac:dyDescent="0.3">
      <c r="B4312" s="12">
        <v>4309</v>
      </c>
      <c r="C4312" s="28">
        <v>159.89866032645301</v>
      </c>
      <c r="E4312" s="14" t="s">
        <v>2737</v>
      </c>
      <c r="F4312" s="11">
        <v>163</v>
      </c>
    </row>
    <row r="4313" spans="2:6" x14ac:dyDescent="0.3">
      <c r="B4313" s="12">
        <v>4310</v>
      </c>
      <c r="C4313" s="28">
        <v>152.48323369193793</v>
      </c>
      <c r="E4313" s="14" t="s">
        <v>2900</v>
      </c>
      <c r="F4313" s="11">
        <v>177</v>
      </c>
    </row>
    <row r="4314" spans="2:6" x14ac:dyDescent="0.3">
      <c r="B4314" s="12">
        <v>4311</v>
      </c>
      <c r="C4314" s="28">
        <v>172.64099940122125</v>
      </c>
      <c r="E4314" s="14" t="s">
        <v>3429</v>
      </c>
      <c r="F4314" s="11">
        <v>160</v>
      </c>
    </row>
    <row r="4315" spans="2:6" x14ac:dyDescent="0.3">
      <c r="B4315" s="12">
        <v>4312</v>
      </c>
      <c r="C4315" s="28">
        <v>145.2012337434272</v>
      </c>
      <c r="E4315" s="14" t="s">
        <v>4236</v>
      </c>
      <c r="F4315" s="11">
        <v>185</v>
      </c>
    </row>
    <row r="4316" spans="2:6" x14ac:dyDescent="0.3">
      <c r="B4316" s="12">
        <v>4313</v>
      </c>
      <c r="C4316" s="28">
        <v>168.04755384992626</v>
      </c>
      <c r="E4316" s="14" t="s">
        <v>4604</v>
      </c>
      <c r="F4316" s="11">
        <v>165</v>
      </c>
    </row>
    <row r="4317" spans="2:6" x14ac:dyDescent="0.3">
      <c r="B4317" s="12">
        <v>4314</v>
      </c>
      <c r="C4317" s="28">
        <v>159.9313068358332</v>
      </c>
      <c r="E4317" s="14" t="s">
        <v>684</v>
      </c>
      <c r="F4317" s="11">
        <v>171</v>
      </c>
    </row>
    <row r="4318" spans="2:6" x14ac:dyDescent="0.3">
      <c r="B4318" s="12">
        <v>4315</v>
      </c>
      <c r="C4318" s="28">
        <v>161.9681168505299</v>
      </c>
      <c r="E4318" s="14" t="s">
        <v>2736</v>
      </c>
      <c r="F4318" s="11">
        <v>173</v>
      </c>
    </row>
    <row r="4319" spans="2:6" x14ac:dyDescent="0.3">
      <c r="B4319" s="12">
        <v>4316</v>
      </c>
      <c r="C4319" s="28">
        <v>163.8345821377402</v>
      </c>
      <c r="E4319" s="14" t="s">
        <v>1371</v>
      </c>
      <c r="F4319" s="11">
        <v>172</v>
      </c>
    </row>
    <row r="4320" spans="2:6" x14ac:dyDescent="0.3">
      <c r="B4320" s="12">
        <v>4317</v>
      </c>
      <c r="C4320" s="28">
        <v>158.69907958608184</v>
      </c>
      <c r="E4320" s="14" t="s">
        <v>4405</v>
      </c>
      <c r="F4320" s="11">
        <v>170</v>
      </c>
    </row>
    <row r="4321" spans="2:6" x14ac:dyDescent="0.3">
      <c r="B4321" s="12">
        <v>4318</v>
      </c>
      <c r="C4321" s="28">
        <v>161.6087255144692</v>
      </c>
      <c r="E4321" s="14" t="s">
        <v>3124</v>
      </c>
      <c r="F4321" s="11">
        <v>168</v>
      </c>
    </row>
    <row r="4322" spans="2:6" x14ac:dyDescent="0.3">
      <c r="B4322" s="12">
        <v>4319</v>
      </c>
      <c r="C4322" s="28">
        <v>146.80826886185042</v>
      </c>
      <c r="E4322" s="14" t="s">
        <v>3056</v>
      </c>
      <c r="F4322" s="11">
        <v>163</v>
      </c>
    </row>
    <row r="4323" spans="2:6" x14ac:dyDescent="0.3">
      <c r="B4323" s="12">
        <v>4320</v>
      </c>
      <c r="C4323" s="28">
        <v>162.069329928288</v>
      </c>
      <c r="E4323" s="14" t="s">
        <v>538</v>
      </c>
      <c r="F4323" s="11">
        <v>169</v>
      </c>
    </row>
    <row r="4324" spans="2:6" x14ac:dyDescent="0.3">
      <c r="B4324" s="12">
        <v>4321</v>
      </c>
      <c r="C4324" s="28">
        <v>157.47170948232608</v>
      </c>
      <c r="E4324" s="14" t="s">
        <v>1296</v>
      </c>
      <c r="F4324" s="11">
        <v>184</v>
      </c>
    </row>
    <row r="4325" spans="2:6" x14ac:dyDescent="0.3">
      <c r="B4325" s="12">
        <v>4322</v>
      </c>
      <c r="C4325" s="28">
        <v>158.07506495641027</v>
      </c>
      <c r="E4325" s="14" t="s">
        <v>4351</v>
      </c>
      <c r="F4325" s="11">
        <v>165</v>
      </c>
    </row>
    <row r="4326" spans="2:6" x14ac:dyDescent="0.3">
      <c r="B4326" s="12">
        <v>4323</v>
      </c>
      <c r="C4326" s="28">
        <v>161.14656805577937</v>
      </c>
      <c r="E4326" s="14" t="s">
        <v>4153</v>
      </c>
      <c r="F4326" s="11">
        <v>178</v>
      </c>
    </row>
    <row r="4327" spans="2:6" x14ac:dyDescent="0.3">
      <c r="B4327" s="12">
        <v>4324</v>
      </c>
      <c r="C4327" s="28">
        <v>157.99993000294515</v>
      </c>
      <c r="E4327" s="14" t="s">
        <v>1808</v>
      </c>
      <c r="F4327" s="11">
        <v>182</v>
      </c>
    </row>
    <row r="4328" spans="2:6" x14ac:dyDescent="0.3">
      <c r="B4328" s="12">
        <v>4325</v>
      </c>
      <c r="C4328" s="28">
        <v>165.3892453633128</v>
      </c>
      <c r="E4328" s="14" t="s">
        <v>4004</v>
      </c>
      <c r="F4328" s="11">
        <v>158</v>
      </c>
    </row>
    <row r="4329" spans="2:6" x14ac:dyDescent="0.3">
      <c r="B4329" s="12">
        <v>4326</v>
      </c>
      <c r="C4329" s="28">
        <v>154.88189306363523</v>
      </c>
      <c r="E4329" s="14" t="s">
        <v>4161</v>
      </c>
      <c r="F4329" s="11">
        <v>159</v>
      </c>
    </row>
    <row r="4330" spans="2:6" x14ac:dyDescent="0.3">
      <c r="B4330" s="12">
        <v>4327</v>
      </c>
      <c r="C4330" s="28">
        <v>169.60634631147272</v>
      </c>
      <c r="E4330" s="14" t="s">
        <v>3130</v>
      </c>
      <c r="F4330" s="11">
        <v>168</v>
      </c>
    </row>
    <row r="4331" spans="2:6" x14ac:dyDescent="0.3">
      <c r="B4331" s="12">
        <v>4328</v>
      </c>
      <c r="C4331" s="28">
        <v>162.04886610526884</v>
      </c>
      <c r="E4331" s="14" t="s">
        <v>4087</v>
      </c>
      <c r="F4331" s="11">
        <v>155</v>
      </c>
    </row>
    <row r="4332" spans="2:6" x14ac:dyDescent="0.3">
      <c r="B4332" s="12">
        <v>4329</v>
      </c>
      <c r="C4332" s="28">
        <v>163.59076349185497</v>
      </c>
      <c r="E4332" s="14" t="s">
        <v>1629</v>
      </c>
      <c r="F4332" s="11">
        <v>170</v>
      </c>
    </row>
    <row r="4333" spans="2:6" x14ac:dyDescent="0.3">
      <c r="B4333" s="12">
        <v>4330</v>
      </c>
      <c r="C4333" s="28">
        <v>161.54425207718342</v>
      </c>
      <c r="E4333" s="14" t="s">
        <v>4168</v>
      </c>
      <c r="F4333" s="11">
        <v>175</v>
      </c>
    </row>
    <row r="4334" spans="2:6" x14ac:dyDescent="0.3">
      <c r="B4334" s="12">
        <v>4331</v>
      </c>
      <c r="C4334" s="28">
        <v>157.49049095926216</v>
      </c>
      <c r="E4334" s="14" t="s">
        <v>4169</v>
      </c>
      <c r="F4334" s="11">
        <v>195</v>
      </c>
    </row>
    <row r="4335" spans="2:6" x14ac:dyDescent="0.3">
      <c r="B4335" s="12">
        <v>4332</v>
      </c>
      <c r="C4335" s="28">
        <v>162.83504948948385</v>
      </c>
      <c r="E4335" s="14" t="s">
        <v>4170</v>
      </c>
      <c r="F4335" s="11">
        <v>190</v>
      </c>
    </row>
    <row r="4336" spans="2:6" x14ac:dyDescent="0.3">
      <c r="B4336" s="12">
        <v>4333</v>
      </c>
      <c r="C4336" s="28">
        <v>163.36335570488049</v>
      </c>
      <c r="E4336" s="14" t="s">
        <v>4171</v>
      </c>
      <c r="F4336" s="11">
        <v>170</v>
      </c>
    </row>
    <row r="4337" spans="2:6" x14ac:dyDescent="0.3">
      <c r="B4337" s="12">
        <v>4334</v>
      </c>
      <c r="C4337" s="28">
        <v>164.6721374290525</v>
      </c>
      <c r="E4337" s="14" t="s">
        <v>4172</v>
      </c>
      <c r="F4337" s="11">
        <v>167</v>
      </c>
    </row>
    <row r="4338" spans="2:6" x14ac:dyDescent="0.3">
      <c r="B4338" s="12">
        <v>4335</v>
      </c>
      <c r="C4338" s="28">
        <v>161.18063467098332</v>
      </c>
      <c r="E4338" s="14" t="s">
        <v>4173</v>
      </c>
      <c r="F4338" s="11">
        <v>161</v>
      </c>
    </row>
    <row r="4339" spans="2:6" x14ac:dyDescent="0.3">
      <c r="B4339" s="12">
        <v>4336</v>
      </c>
      <c r="C4339" s="28">
        <v>170.02304364284322</v>
      </c>
      <c r="E4339" s="14" t="s">
        <v>4174</v>
      </c>
      <c r="F4339" s="11">
        <v>180</v>
      </c>
    </row>
    <row r="4340" spans="2:6" x14ac:dyDescent="0.3">
      <c r="B4340" s="12">
        <v>4337</v>
      </c>
      <c r="C4340" s="28">
        <v>164.45758844863926</v>
      </c>
      <c r="E4340" s="14" t="s">
        <v>4175</v>
      </c>
      <c r="F4340" s="11">
        <v>177</v>
      </c>
    </row>
    <row r="4341" spans="2:6" x14ac:dyDescent="0.3">
      <c r="B4341" s="12">
        <v>4338</v>
      </c>
      <c r="C4341" s="28">
        <v>158.99692489739584</v>
      </c>
      <c r="E4341" s="14" t="s">
        <v>4176</v>
      </c>
      <c r="F4341" s="11">
        <v>185</v>
      </c>
    </row>
    <row r="4342" spans="2:6" x14ac:dyDescent="0.3">
      <c r="B4342" s="12">
        <v>4339</v>
      </c>
      <c r="C4342" s="28">
        <v>179.46231675219246</v>
      </c>
      <c r="E4342" s="14" t="s">
        <v>4588</v>
      </c>
      <c r="F4342" s="11">
        <v>170</v>
      </c>
    </row>
    <row r="4343" spans="2:6" x14ac:dyDescent="0.3">
      <c r="B4343" s="12">
        <v>4340</v>
      </c>
      <c r="C4343" s="28">
        <v>170.03733620621639</v>
      </c>
      <c r="E4343" s="14" t="s">
        <v>2275</v>
      </c>
      <c r="F4343" s="11">
        <v>158</v>
      </c>
    </row>
    <row r="4344" spans="2:6" x14ac:dyDescent="0.3">
      <c r="B4344" s="12">
        <v>4341</v>
      </c>
      <c r="C4344" s="28">
        <v>159.51355313834787</v>
      </c>
      <c r="E4344" s="14" t="s">
        <v>2228</v>
      </c>
      <c r="F4344" s="11">
        <v>172</v>
      </c>
    </row>
    <row r="4345" spans="2:6" x14ac:dyDescent="0.3">
      <c r="B4345" s="12">
        <v>4342</v>
      </c>
      <c r="C4345" s="28">
        <v>164.05230510783238</v>
      </c>
      <c r="E4345" s="14" t="s">
        <v>852</v>
      </c>
      <c r="F4345" s="11">
        <v>178</v>
      </c>
    </row>
    <row r="4346" spans="2:6" x14ac:dyDescent="0.3">
      <c r="B4346" s="12">
        <v>4343</v>
      </c>
      <c r="C4346" s="28">
        <v>162.99530866308478</v>
      </c>
      <c r="E4346" s="14" t="s">
        <v>446</v>
      </c>
      <c r="F4346" s="11">
        <v>182</v>
      </c>
    </row>
    <row r="4347" spans="2:6" x14ac:dyDescent="0.3">
      <c r="B4347" s="12">
        <v>4344</v>
      </c>
      <c r="C4347" s="28">
        <v>157.96594542113823</v>
      </c>
      <c r="E4347" s="14" t="s">
        <v>1947</v>
      </c>
      <c r="F4347" s="11">
        <v>170</v>
      </c>
    </row>
    <row r="4348" spans="2:6" x14ac:dyDescent="0.3">
      <c r="B4348" s="12">
        <v>4345</v>
      </c>
      <c r="C4348" s="28">
        <v>157.73331099321496</v>
      </c>
      <c r="E4348" s="14" t="s">
        <v>4392</v>
      </c>
      <c r="F4348" s="11">
        <v>168</v>
      </c>
    </row>
    <row r="4349" spans="2:6" x14ac:dyDescent="0.3">
      <c r="B4349" s="12">
        <v>4346</v>
      </c>
      <c r="C4349" s="28">
        <v>172.13964816125312</v>
      </c>
      <c r="E4349" s="14" t="s">
        <v>1482</v>
      </c>
      <c r="F4349" s="11">
        <v>188</v>
      </c>
    </row>
    <row r="4350" spans="2:6" x14ac:dyDescent="0.3">
      <c r="B4350" s="12">
        <v>4347</v>
      </c>
      <c r="C4350" s="28">
        <v>160.99178089235508</v>
      </c>
      <c r="E4350" s="14" t="s">
        <v>3510</v>
      </c>
      <c r="F4350" s="11">
        <v>152</v>
      </c>
    </row>
    <row r="4351" spans="2:6" x14ac:dyDescent="0.3">
      <c r="B4351" s="12">
        <v>4348</v>
      </c>
      <c r="C4351" s="28">
        <v>167.7096299519298</v>
      </c>
      <c r="E4351" s="14" t="s">
        <v>3830</v>
      </c>
      <c r="F4351" s="11">
        <v>168</v>
      </c>
    </row>
    <row r="4352" spans="2:6" x14ac:dyDescent="0.3">
      <c r="B4352" s="12">
        <v>4349</v>
      </c>
      <c r="C4352" s="28">
        <v>157.15803626369558</v>
      </c>
      <c r="E4352" s="14" t="s">
        <v>1890</v>
      </c>
      <c r="F4352" s="11">
        <v>169</v>
      </c>
    </row>
    <row r="4353" spans="2:6" x14ac:dyDescent="0.3">
      <c r="B4353" s="12">
        <v>4350</v>
      </c>
      <c r="C4353" s="28">
        <v>165.20471807483878</v>
      </c>
      <c r="E4353" s="14" t="s">
        <v>2804</v>
      </c>
      <c r="F4353" s="11">
        <v>164</v>
      </c>
    </row>
    <row r="4354" spans="2:6" x14ac:dyDescent="0.3">
      <c r="B4354" s="12">
        <v>4351</v>
      </c>
      <c r="C4354" s="28">
        <v>154.42829980718778</v>
      </c>
      <c r="E4354" s="14" t="s">
        <v>2317</v>
      </c>
      <c r="F4354" s="11">
        <v>178</v>
      </c>
    </row>
    <row r="4355" spans="2:6" x14ac:dyDescent="0.3">
      <c r="B4355" s="12">
        <v>4352</v>
      </c>
      <c r="C4355" s="28">
        <v>153.87781633321003</v>
      </c>
      <c r="E4355" s="14" t="s">
        <v>3368</v>
      </c>
      <c r="F4355" s="11">
        <v>173</v>
      </c>
    </row>
    <row r="4356" spans="2:6" x14ac:dyDescent="0.3">
      <c r="B4356" s="12">
        <v>4353</v>
      </c>
      <c r="C4356" s="28">
        <v>160.66705644017333</v>
      </c>
      <c r="E4356" s="14" t="s">
        <v>1635</v>
      </c>
      <c r="F4356" s="11">
        <v>165</v>
      </c>
    </row>
    <row r="4357" spans="2:6" x14ac:dyDescent="0.3">
      <c r="B4357" s="12">
        <v>4354</v>
      </c>
      <c r="C4357" s="28">
        <v>155.84284532703421</v>
      </c>
      <c r="E4357" s="14" t="s">
        <v>439</v>
      </c>
      <c r="F4357" s="11">
        <v>175</v>
      </c>
    </row>
    <row r="4358" spans="2:6" x14ac:dyDescent="0.3">
      <c r="B4358" s="12">
        <v>4355</v>
      </c>
      <c r="C4358" s="28">
        <v>164.41583712361526</v>
      </c>
      <c r="E4358" s="14" t="s">
        <v>1612</v>
      </c>
      <c r="F4358" s="11">
        <v>165</v>
      </c>
    </row>
    <row r="4359" spans="2:6" x14ac:dyDescent="0.3">
      <c r="B4359" s="12">
        <v>4356</v>
      </c>
      <c r="C4359" s="28">
        <v>164.22298413551175</v>
      </c>
      <c r="E4359" s="14" t="s">
        <v>1776</v>
      </c>
      <c r="F4359" s="11">
        <v>163</v>
      </c>
    </row>
    <row r="4360" spans="2:6" x14ac:dyDescent="0.3">
      <c r="B4360" s="12">
        <v>4357</v>
      </c>
      <c r="C4360" s="28">
        <v>154.47335780554431</v>
      </c>
      <c r="E4360" s="14" t="s">
        <v>2251</v>
      </c>
      <c r="F4360" s="11">
        <v>174</v>
      </c>
    </row>
    <row r="4361" spans="2:6" x14ac:dyDescent="0.3">
      <c r="B4361" s="12">
        <v>4358</v>
      </c>
      <c r="C4361" s="28">
        <v>153.84830495246965</v>
      </c>
      <c r="E4361" s="14" t="s">
        <v>3690</v>
      </c>
      <c r="F4361" s="11">
        <v>173</v>
      </c>
    </row>
    <row r="4362" spans="2:6" x14ac:dyDescent="0.3">
      <c r="B4362" s="12">
        <v>4359</v>
      </c>
      <c r="C4362" s="28">
        <v>170.45931418168013</v>
      </c>
      <c r="E4362" s="14" t="s">
        <v>2142</v>
      </c>
      <c r="F4362" s="11">
        <v>171</v>
      </c>
    </row>
    <row r="4363" spans="2:6" x14ac:dyDescent="0.3">
      <c r="B4363" s="12">
        <v>4360</v>
      </c>
      <c r="C4363" s="28">
        <v>153.9752604573473</v>
      </c>
      <c r="E4363" s="14" t="s">
        <v>769</v>
      </c>
      <c r="F4363" s="11">
        <v>173</v>
      </c>
    </row>
    <row r="4364" spans="2:6" x14ac:dyDescent="0.3">
      <c r="B4364" s="12">
        <v>4361</v>
      </c>
      <c r="C4364" s="28">
        <v>157.25712536565771</v>
      </c>
      <c r="E4364" s="14" t="s">
        <v>3541</v>
      </c>
      <c r="F4364" s="11">
        <v>186</v>
      </c>
    </row>
    <row r="4365" spans="2:6" x14ac:dyDescent="0.3">
      <c r="B4365" s="12">
        <v>4362</v>
      </c>
      <c r="C4365" s="28">
        <v>162.92057757634478</v>
      </c>
      <c r="E4365" s="14" t="s">
        <v>1401</v>
      </c>
      <c r="F4365" s="11">
        <v>176</v>
      </c>
    </row>
    <row r="4366" spans="2:6" x14ac:dyDescent="0.3">
      <c r="B4366" s="12">
        <v>4363</v>
      </c>
      <c r="C4366" s="28">
        <v>168.30975713587952</v>
      </c>
      <c r="E4366" s="14" t="s">
        <v>4811</v>
      </c>
      <c r="F4366" s="11">
        <v>162</v>
      </c>
    </row>
    <row r="4367" spans="2:6" x14ac:dyDescent="0.3">
      <c r="B4367" s="12">
        <v>4364</v>
      </c>
      <c r="C4367" s="28">
        <v>159.11341076879117</v>
      </c>
      <c r="E4367" s="14" t="s">
        <v>4098</v>
      </c>
      <c r="F4367" s="11">
        <v>168</v>
      </c>
    </row>
    <row r="4368" spans="2:6" x14ac:dyDescent="0.3">
      <c r="B4368" s="12">
        <v>4365</v>
      </c>
      <c r="C4368" s="28">
        <v>153.17175725358629</v>
      </c>
      <c r="E4368" s="14" t="s">
        <v>74</v>
      </c>
      <c r="F4368" s="11">
        <v>170</v>
      </c>
    </row>
    <row r="4369" spans="2:6" x14ac:dyDescent="0.3">
      <c r="B4369" s="12">
        <v>4366</v>
      </c>
      <c r="C4369" s="28">
        <v>154.43439348063086</v>
      </c>
      <c r="E4369" s="14" t="s">
        <v>2728</v>
      </c>
      <c r="F4369" s="11">
        <v>175</v>
      </c>
    </row>
    <row r="4370" spans="2:6" x14ac:dyDescent="0.3">
      <c r="B4370" s="12">
        <v>4367</v>
      </c>
      <c r="C4370" s="28">
        <v>162.41870697026354</v>
      </c>
      <c r="E4370" s="14" t="s">
        <v>3384</v>
      </c>
      <c r="F4370" s="11">
        <v>170</v>
      </c>
    </row>
    <row r="4371" spans="2:6" x14ac:dyDescent="0.3">
      <c r="B4371" s="12">
        <v>4368</v>
      </c>
      <c r="C4371" s="28">
        <v>158.19847951840714</v>
      </c>
      <c r="E4371" s="14" t="s">
        <v>1301</v>
      </c>
      <c r="F4371" s="11">
        <v>198</v>
      </c>
    </row>
    <row r="4372" spans="2:6" x14ac:dyDescent="0.3">
      <c r="B4372" s="12">
        <v>4369</v>
      </c>
      <c r="C4372" s="28">
        <v>159.29107887233334</v>
      </c>
      <c r="E4372" s="14" t="s">
        <v>472</v>
      </c>
      <c r="F4372" s="11">
        <v>162</v>
      </c>
    </row>
    <row r="4373" spans="2:6" x14ac:dyDescent="0.3">
      <c r="B4373" s="12">
        <v>4370</v>
      </c>
      <c r="C4373" s="28">
        <v>163.7200039207348</v>
      </c>
      <c r="E4373" s="14" t="s">
        <v>4209</v>
      </c>
      <c r="F4373" s="11">
        <v>158</v>
      </c>
    </row>
    <row r="4374" spans="2:6" x14ac:dyDescent="0.3">
      <c r="B4374" s="12">
        <v>4371</v>
      </c>
      <c r="C4374" s="28">
        <v>154.79960599957218</v>
      </c>
      <c r="E4374" s="14" t="s">
        <v>4205</v>
      </c>
      <c r="F4374" s="11">
        <v>168</v>
      </c>
    </row>
    <row r="4375" spans="2:6" x14ac:dyDescent="0.3">
      <c r="B4375" s="12">
        <v>4372</v>
      </c>
      <c r="C4375" s="28">
        <v>156.51365939945546</v>
      </c>
      <c r="E4375" s="14" t="s">
        <v>4214</v>
      </c>
      <c r="F4375" s="11">
        <v>170</v>
      </c>
    </row>
    <row r="4376" spans="2:6" x14ac:dyDescent="0.3">
      <c r="B4376" s="12">
        <v>4373</v>
      </c>
      <c r="C4376" s="28">
        <v>162.76217533783625</v>
      </c>
      <c r="E4376" s="14" t="s">
        <v>2010</v>
      </c>
      <c r="F4376" s="11">
        <v>169</v>
      </c>
    </row>
    <row r="4377" spans="2:6" x14ac:dyDescent="0.3">
      <c r="B4377" s="12">
        <v>4374</v>
      </c>
      <c r="C4377" s="28">
        <v>156.58438880895443</v>
      </c>
      <c r="E4377" s="14" t="s">
        <v>126</v>
      </c>
      <c r="F4377" s="11">
        <v>158</v>
      </c>
    </row>
    <row r="4378" spans="2:6" x14ac:dyDescent="0.3">
      <c r="B4378" s="12">
        <v>4375</v>
      </c>
      <c r="C4378" s="28">
        <v>164.39489457709251</v>
      </c>
      <c r="E4378" s="14" t="s">
        <v>2416</v>
      </c>
      <c r="F4378" s="11">
        <v>164</v>
      </c>
    </row>
    <row r="4379" spans="2:6" x14ac:dyDescent="0.3">
      <c r="B4379" s="12">
        <v>4376</v>
      </c>
      <c r="C4379" s="28">
        <v>153.74408558856791</v>
      </c>
      <c r="E4379" s="14" t="s">
        <v>1603</v>
      </c>
      <c r="F4379" s="11">
        <v>158</v>
      </c>
    </row>
    <row r="4380" spans="2:6" x14ac:dyDescent="0.3">
      <c r="B4380" s="12">
        <v>4377</v>
      </c>
      <c r="C4380" s="28">
        <v>162.71758391554783</v>
      </c>
      <c r="E4380" s="14" t="s">
        <v>4221</v>
      </c>
      <c r="F4380" s="11">
        <v>163</v>
      </c>
    </row>
    <row r="4381" spans="2:6" x14ac:dyDescent="0.3">
      <c r="B4381" s="12">
        <v>4378</v>
      </c>
      <c r="C4381" s="28">
        <v>153.7195517648818</v>
      </c>
      <c r="E4381" s="14" t="s">
        <v>898</v>
      </c>
      <c r="F4381" s="11">
        <v>171</v>
      </c>
    </row>
    <row r="4382" spans="2:6" x14ac:dyDescent="0.3">
      <c r="B4382" s="12">
        <v>4379</v>
      </c>
      <c r="C4382" s="28">
        <v>164.76964942376648</v>
      </c>
      <c r="E4382" s="14" t="s">
        <v>1568</v>
      </c>
      <c r="F4382" s="11">
        <v>163</v>
      </c>
    </row>
    <row r="4383" spans="2:6" x14ac:dyDescent="0.3">
      <c r="B4383" s="12">
        <v>4380</v>
      </c>
      <c r="C4383" s="28">
        <v>164.20955788399726</v>
      </c>
      <c r="E4383" s="14" t="s">
        <v>287</v>
      </c>
      <c r="F4383" s="11">
        <v>164</v>
      </c>
    </row>
    <row r="4384" spans="2:6" x14ac:dyDescent="0.3">
      <c r="B4384" s="12">
        <v>4381</v>
      </c>
      <c r="C4384" s="28">
        <v>158.49870897553328</v>
      </c>
      <c r="E4384" s="14" t="s">
        <v>2606</v>
      </c>
      <c r="F4384" s="11">
        <v>158</v>
      </c>
    </row>
    <row r="4385" spans="2:6" x14ac:dyDescent="0.3">
      <c r="B4385" s="12">
        <v>4382</v>
      </c>
      <c r="C4385" s="28">
        <v>155.72150681812701</v>
      </c>
      <c r="E4385" s="14" t="s">
        <v>804</v>
      </c>
      <c r="F4385" s="11">
        <v>184</v>
      </c>
    </row>
    <row r="4386" spans="2:6" x14ac:dyDescent="0.3">
      <c r="B4386" s="12">
        <v>4383</v>
      </c>
      <c r="C4386" s="28">
        <v>159.67910724164744</v>
      </c>
      <c r="E4386" s="14" t="s">
        <v>2292</v>
      </c>
      <c r="F4386" s="11">
        <v>167</v>
      </c>
    </row>
    <row r="4387" spans="2:6" x14ac:dyDescent="0.3">
      <c r="B4387" s="12">
        <v>4384</v>
      </c>
      <c r="C4387" s="28">
        <v>150.16843994966675</v>
      </c>
      <c r="E4387" s="14" t="s">
        <v>4237</v>
      </c>
      <c r="F4387" s="11">
        <v>181</v>
      </c>
    </row>
    <row r="4388" spans="2:6" x14ac:dyDescent="0.3">
      <c r="B4388" s="12">
        <v>4385</v>
      </c>
      <c r="C4388" s="28">
        <v>161.69260238020027</v>
      </c>
      <c r="E4388" s="14" t="s">
        <v>301</v>
      </c>
      <c r="F4388" s="11">
        <v>172</v>
      </c>
    </row>
    <row r="4389" spans="2:6" x14ac:dyDescent="0.3">
      <c r="B4389" s="12">
        <v>4386</v>
      </c>
      <c r="C4389" s="28">
        <v>161.01494058218853</v>
      </c>
      <c r="E4389" s="14" t="s">
        <v>4278</v>
      </c>
      <c r="F4389" s="11">
        <v>176</v>
      </c>
    </row>
    <row r="4390" spans="2:6" x14ac:dyDescent="0.3">
      <c r="B4390" s="12">
        <v>4387</v>
      </c>
      <c r="C4390" s="28">
        <v>158.83125103470616</v>
      </c>
      <c r="E4390" s="14" t="s">
        <v>883</v>
      </c>
      <c r="F4390" s="11">
        <v>176</v>
      </c>
    </row>
    <row r="4391" spans="2:6" x14ac:dyDescent="0.3">
      <c r="B4391" s="12">
        <v>4388</v>
      </c>
      <c r="C4391" s="28">
        <v>159.90451515490182</v>
      </c>
      <c r="E4391" s="14" t="s">
        <v>4239</v>
      </c>
      <c r="F4391" s="11">
        <v>161</v>
      </c>
    </row>
    <row r="4392" spans="2:6" x14ac:dyDescent="0.3">
      <c r="B4392" s="12">
        <v>4389</v>
      </c>
      <c r="C4392" s="28">
        <v>163.74076444354714</v>
      </c>
      <c r="E4392" s="14" t="s">
        <v>1716</v>
      </c>
      <c r="F4392" s="11">
        <v>179</v>
      </c>
    </row>
    <row r="4393" spans="2:6" x14ac:dyDescent="0.3">
      <c r="B4393" s="12">
        <v>4390</v>
      </c>
      <c r="C4393" s="28">
        <v>166.31069025150467</v>
      </c>
      <c r="E4393" s="14" t="s">
        <v>3539</v>
      </c>
      <c r="F4393" s="11">
        <v>170</v>
      </c>
    </row>
    <row r="4394" spans="2:6" x14ac:dyDescent="0.3">
      <c r="B4394" s="12">
        <v>4391</v>
      </c>
      <c r="C4394" s="28">
        <v>164.35211679933809</v>
      </c>
      <c r="E4394" s="14" t="s">
        <v>3763</v>
      </c>
      <c r="F4394" s="11">
        <v>165</v>
      </c>
    </row>
    <row r="4395" spans="2:6" x14ac:dyDescent="0.3">
      <c r="B4395" s="12">
        <v>4392</v>
      </c>
      <c r="C4395" s="28">
        <v>165.52027458255941</v>
      </c>
      <c r="E4395" s="14" t="s">
        <v>4266</v>
      </c>
      <c r="F4395" s="11">
        <v>185</v>
      </c>
    </row>
    <row r="4396" spans="2:6" x14ac:dyDescent="0.3">
      <c r="B4396" s="12">
        <v>4393</v>
      </c>
      <c r="C4396" s="28">
        <v>164.71779862112132</v>
      </c>
      <c r="E4396" s="14" t="s">
        <v>4547</v>
      </c>
      <c r="F4396" s="11">
        <v>159</v>
      </c>
    </row>
    <row r="4397" spans="2:6" x14ac:dyDescent="0.3">
      <c r="B4397" s="12">
        <v>4394</v>
      </c>
      <c r="C4397" s="28">
        <v>163.19729704748823</v>
      </c>
      <c r="E4397" s="14" t="s">
        <v>4733</v>
      </c>
      <c r="F4397" s="11">
        <v>165</v>
      </c>
    </row>
    <row r="4398" spans="2:6" x14ac:dyDescent="0.3">
      <c r="B4398" s="12">
        <v>4395</v>
      </c>
      <c r="C4398" s="28">
        <v>164.39864679280271</v>
      </c>
      <c r="E4398" s="14" t="s">
        <v>683</v>
      </c>
      <c r="F4398" s="11">
        <v>185</v>
      </c>
    </row>
    <row r="4399" spans="2:6" x14ac:dyDescent="0.3">
      <c r="B4399" s="12">
        <v>4396</v>
      </c>
      <c r="C4399" s="28">
        <v>173.01474013657798</v>
      </c>
      <c r="E4399" s="14" t="s">
        <v>1709</v>
      </c>
      <c r="F4399" s="11">
        <v>175</v>
      </c>
    </row>
    <row r="4400" spans="2:6" x14ac:dyDescent="0.3">
      <c r="B4400" s="12">
        <v>4397</v>
      </c>
      <c r="C4400" s="28">
        <v>167.75117638646441</v>
      </c>
      <c r="E4400" s="14" t="s">
        <v>2417</v>
      </c>
      <c r="F4400" s="11">
        <v>180</v>
      </c>
    </row>
    <row r="4401" spans="2:6" x14ac:dyDescent="0.3">
      <c r="B4401" s="12">
        <v>4398</v>
      </c>
      <c r="C4401" s="28">
        <v>159.82302608651807</v>
      </c>
      <c r="E4401" s="14" t="s">
        <v>4225</v>
      </c>
      <c r="F4401" s="11">
        <v>161</v>
      </c>
    </row>
    <row r="4402" spans="2:6" x14ac:dyDescent="0.3">
      <c r="B4402" s="12">
        <v>4399</v>
      </c>
      <c r="C4402" s="28">
        <v>159.89584388170289</v>
      </c>
      <c r="E4402" s="14" t="s">
        <v>838</v>
      </c>
      <c r="F4402" s="11">
        <v>170</v>
      </c>
    </row>
    <row r="4403" spans="2:6" x14ac:dyDescent="0.3">
      <c r="B4403" s="12">
        <v>4400</v>
      </c>
      <c r="C4403" s="28">
        <v>167.2891470428041</v>
      </c>
      <c r="E4403" s="14" t="s">
        <v>4243</v>
      </c>
      <c r="F4403" s="11">
        <v>148</v>
      </c>
    </row>
    <row r="4404" spans="2:6" x14ac:dyDescent="0.3">
      <c r="B4404" s="12">
        <v>4401</v>
      </c>
      <c r="C4404" s="28">
        <v>170.83921109317538</v>
      </c>
      <c r="E4404" s="14" t="s">
        <v>4246</v>
      </c>
      <c r="F4404" s="11">
        <v>165</v>
      </c>
    </row>
    <row r="4405" spans="2:6" x14ac:dyDescent="0.3">
      <c r="B4405" s="12">
        <v>4402</v>
      </c>
      <c r="C4405" s="28">
        <v>158.62489201172855</v>
      </c>
      <c r="E4405" s="14" t="s">
        <v>4248</v>
      </c>
      <c r="F4405" s="11">
        <v>158</v>
      </c>
    </row>
    <row r="4406" spans="2:6" x14ac:dyDescent="0.3">
      <c r="B4406" s="12">
        <v>4403</v>
      </c>
      <c r="C4406" s="28">
        <v>164.00988736014099</v>
      </c>
      <c r="E4406" s="14" t="s">
        <v>4252</v>
      </c>
      <c r="F4406" s="11">
        <v>169</v>
      </c>
    </row>
    <row r="4407" spans="2:6" x14ac:dyDescent="0.3">
      <c r="B4407" s="12">
        <v>4404</v>
      </c>
      <c r="C4407" s="28">
        <v>157.78235972184044</v>
      </c>
      <c r="E4407" s="14" t="s">
        <v>4253</v>
      </c>
      <c r="F4407" s="11">
        <v>178</v>
      </c>
    </row>
    <row r="4408" spans="2:6" x14ac:dyDescent="0.3">
      <c r="B4408" s="12">
        <v>4405</v>
      </c>
      <c r="C4408" s="28">
        <v>158.07210958139748</v>
      </c>
      <c r="E4408" s="14" t="s">
        <v>4254</v>
      </c>
      <c r="F4408" s="11">
        <v>175</v>
      </c>
    </row>
    <row r="4409" spans="2:6" x14ac:dyDescent="0.3">
      <c r="B4409" s="12">
        <v>4406</v>
      </c>
      <c r="C4409" s="28">
        <v>173.32527080276279</v>
      </c>
      <c r="E4409" s="14" t="s">
        <v>615</v>
      </c>
      <c r="F4409" s="11">
        <v>160</v>
      </c>
    </row>
    <row r="4410" spans="2:6" x14ac:dyDescent="0.3">
      <c r="B4410" s="12">
        <v>4407</v>
      </c>
      <c r="C4410" s="28">
        <v>148.79393695806277</v>
      </c>
      <c r="E4410" s="14" t="s">
        <v>623</v>
      </c>
      <c r="F4410" s="11">
        <v>166</v>
      </c>
    </row>
    <row r="4411" spans="2:6" x14ac:dyDescent="0.3">
      <c r="B4411" s="12">
        <v>4408</v>
      </c>
      <c r="C4411" s="28">
        <v>167.80444622986735</v>
      </c>
      <c r="E4411" s="14" t="s">
        <v>1002</v>
      </c>
      <c r="F4411" s="11">
        <v>168</v>
      </c>
    </row>
    <row r="4412" spans="2:6" x14ac:dyDescent="0.3">
      <c r="B4412" s="12">
        <v>4409</v>
      </c>
      <c r="C4412" s="28">
        <v>164.86393694453699</v>
      </c>
      <c r="E4412" s="14" t="s">
        <v>213</v>
      </c>
      <c r="F4412" s="11">
        <v>158</v>
      </c>
    </row>
    <row r="4413" spans="2:6" x14ac:dyDescent="0.3">
      <c r="B4413" s="12">
        <v>4410</v>
      </c>
      <c r="C4413" s="28">
        <v>156.93066711271598</v>
      </c>
      <c r="E4413" s="14" t="s">
        <v>4880</v>
      </c>
      <c r="F4413" s="11">
        <v>159</v>
      </c>
    </row>
    <row r="4414" spans="2:6" x14ac:dyDescent="0.3">
      <c r="B4414" s="12">
        <v>4411</v>
      </c>
      <c r="C4414" s="28">
        <v>163.53922142579705</v>
      </c>
      <c r="E4414" s="14" t="s">
        <v>1307</v>
      </c>
      <c r="F4414" s="11">
        <v>167</v>
      </c>
    </row>
    <row r="4415" spans="2:6" x14ac:dyDescent="0.3">
      <c r="B4415" s="12">
        <v>4412</v>
      </c>
      <c r="C4415" s="28">
        <v>169.4082535474729</v>
      </c>
      <c r="E4415" s="14" t="s">
        <v>2255</v>
      </c>
      <c r="F4415" s="11">
        <v>155</v>
      </c>
    </row>
    <row r="4416" spans="2:6" x14ac:dyDescent="0.3">
      <c r="B4416" s="12">
        <v>4413</v>
      </c>
      <c r="C4416" s="28">
        <v>172.4611883316137</v>
      </c>
      <c r="E4416" s="14" t="s">
        <v>3325</v>
      </c>
      <c r="F4416" s="11">
        <v>166</v>
      </c>
    </row>
    <row r="4417" spans="2:6" x14ac:dyDescent="0.3">
      <c r="B4417" s="12">
        <v>4414</v>
      </c>
      <c r="C4417" s="28">
        <v>161.96624190379566</v>
      </c>
      <c r="E4417" s="14" t="s">
        <v>28</v>
      </c>
      <c r="F4417" s="11">
        <v>182</v>
      </c>
    </row>
    <row r="4418" spans="2:6" x14ac:dyDescent="0.3">
      <c r="B4418" s="12">
        <v>4415</v>
      </c>
      <c r="C4418" s="28">
        <v>158.4863652331837</v>
      </c>
      <c r="E4418" s="14" t="s">
        <v>1706</v>
      </c>
      <c r="F4418" s="11">
        <v>167</v>
      </c>
    </row>
    <row r="4419" spans="2:6" x14ac:dyDescent="0.3">
      <c r="B4419" s="12">
        <v>4416</v>
      </c>
      <c r="C4419" s="28">
        <v>160.93569476317882</v>
      </c>
      <c r="E4419" s="14" t="s">
        <v>3917</v>
      </c>
      <c r="F4419" s="11">
        <v>165</v>
      </c>
    </row>
    <row r="4420" spans="2:6" x14ac:dyDescent="0.3">
      <c r="B4420" s="12">
        <v>4417</v>
      </c>
      <c r="C4420" s="28">
        <v>152.75278698268497</v>
      </c>
      <c r="E4420" s="14" t="s">
        <v>3502</v>
      </c>
      <c r="F4420" s="11">
        <v>168</v>
      </c>
    </row>
    <row r="4421" spans="2:6" x14ac:dyDescent="0.3">
      <c r="B4421" s="12">
        <v>4418</v>
      </c>
      <c r="C4421" s="28">
        <v>166.84763051838348</v>
      </c>
      <c r="E4421" s="14" t="s">
        <v>4705</v>
      </c>
      <c r="F4421" s="11">
        <v>166</v>
      </c>
    </row>
    <row r="4422" spans="2:6" x14ac:dyDescent="0.3">
      <c r="B4422" s="12">
        <v>4419</v>
      </c>
      <c r="C4422" s="28">
        <v>166.95204922035185</v>
      </c>
      <c r="E4422" s="14" t="s">
        <v>3226</v>
      </c>
      <c r="F4422" s="11">
        <v>167</v>
      </c>
    </row>
    <row r="4423" spans="2:6" x14ac:dyDescent="0.3">
      <c r="B4423" s="12">
        <v>4420</v>
      </c>
      <c r="C4423" s="28">
        <v>154.24153701027294</v>
      </c>
      <c r="E4423" s="14" t="s">
        <v>317</v>
      </c>
      <c r="F4423" s="11">
        <v>178</v>
      </c>
    </row>
    <row r="4424" spans="2:6" x14ac:dyDescent="0.3">
      <c r="B4424" s="12">
        <v>4421</v>
      </c>
      <c r="C4424" s="28">
        <v>165.00049138054115</v>
      </c>
      <c r="E4424" s="14" t="s">
        <v>2239</v>
      </c>
      <c r="F4424" s="11">
        <v>173</v>
      </c>
    </row>
    <row r="4425" spans="2:6" x14ac:dyDescent="0.3">
      <c r="B4425" s="12">
        <v>4422</v>
      </c>
      <c r="C4425" s="28">
        <v>160.6679379263748</v>
      </c>
      <c r="E4425" s="14" t="s">
        <v>4182</v>
      </c>
      <c r="F4425" s="11">
        <v>183</v>
      </c>
    </row>
    <row r="4426" spans="2:6" x14ac:dyDescent="0.3">
      <c r="B4426" s="12">
        <v>4423</v>
      </c>
      <c r="C4426" s="28">
        <v>167.17932940132195</v>
      </c>
      <c r="E4426" s="14" t="s">
        <v>3660</v>
      </c>
      <c r="F4426" s="11">
        <v>165</v>
      </c>
    </row>
    <row r="4427" spans="2:6" x14ac:dyDescent="0.3">
      <c r="B4427" s="12">
        <v>4424</v>
      </c>
      <c r="C4427" s="28">
        <v>161.20894478255832</v>
      </c>
      <c r="E4427" s="14" t="s">
        <v>1521</v>
      </c>
      <c r="F4427" s="11">
        <v>160</v>
      </c>
    </row>
    <row r="4428" spans="2:6" x14ac:dyDescent="0.3">
      <c r="B4428" s="12">
        <v>4425</v>
      </c>
      <c r="C4428" s="28">
        <v>180.65189301000495</v>
      </c>
      <c r="E4428" s="14" t="s">
        <v>205</v>
      </c>
      <c r="F4428" s="11">
        <v>161</v>
      </c>
    </row>
    <row r="4429" spans="2:6" x14ac:dyDescent="0.3">
      <c r="B4429" s="12">
        <v>4426</v>
      </c>
      <c r="C4429" s="28">
        <v>160.99545557602195</v>
      </c>
      <c r="E4429" s="14" t="s">
        <v>773</v>
      </c>
      <c r="F4429" s="11">
        <v>175</v>
      </c>
    </row>
    <row r="4430" spans="2:6" x14ac:dyDescent="0.3">
      <c r="B4430" s="12">
        <v>4427</v>
      </c>
      <c r="C4430" s="28">
        <v>151.48385143121089</v>
      </c>
      <c r="E4430" s="14" t="s">
        <v>3647</v>
      </c>
      <c r="F4430" s="11">
        <v>178</v>
      </c>
    </row>
    <row r="4431" spans="2:6" x14ac:dyDescent="0.3">
      <c r="B4431" s="12">
        <v>4428</v>
      </c>
      <c r="C4431" s="28">
        <v>153.92901700461468</v>
      </c>
      <c r="E4431" s="14" t="s">
        <v>944</v>
      </c>
      <c r="F4431" s="11">
        <v>156</v>
      </c>
    </row>
    <row r="4432" spans="2:6" x14ac:dyDescent="0.3">
      <c r="B4432" s="12">
        <v>4429</v>
      </c>
      <c r="C4432" s="28">
        <v>159.32504060758527</v>
      </c>
      <c r="E4432" s="14" t="s">
        <v>997</v>
      </c>
      <c r="F4432" s="11">
        <v>167</v>
      </c>
    </row>
    <row r="4433" spans="2:6" x14ac:dyDescent="0.3">
      <c r="B4433" s="12">
        <v>4430</v>
      </c>
      <c r="C4433" s="28">
        <v>154.02099081881835</v>
      </c>
      <c r="E4433" s="14" t="s">
        <v>3405</v>
      </c>
      <c r="F4433" s="11">
        <v>170</v>
      </c>
    </row>
    <row r="4434" spans="2:6" x14ac:dyDescent="0.3">
      <c r="B4434" s="12">
        <v>4431</v>
      </c>
      <c r="C4434" s="28">
        <v>168.04145630372054</v>
      </c>
      <c r="E4434" s="14" t="s">
        <v>2169</v>
      </c>
      <c r="F4434" s="11">
        <v>175</v>
      </c>
    </row>
    <row r="4435" spans="2:6" x14ac:dyDescent="0.3">
      <c r="B4435" s="12">
        <v>4432</v>
      </c>
      <c r="C4435" s="28">
        <v>172.13434599183083</v>
      </c>
      <c r="E4435" s="14" t="s">
        <v>2229</v>
      </c>
      <c r="F4435" s="11">
        <v>185</v>
      </c>
    </row>
    <row r="4436" spans="2:6" x14ac:dyDescent="0.3">
      <c r="B4436" s="12">
        <v>4433</v>
      </c>
      <c r="C4436" s="28">
        <v>153.72463450639015</v>
      </c>
      <c r="E4436" s="14" t="s">
        <v>2413</v>
      </c>
      <c r="F4436" s="11">
        <v>180</v>
      </c>
    </row>
    <row r="4437" spans="2:6" x14ac:dyDescent="0.3">
      <c r="B4437" s="12">
        <v>4434</v>
      </c>
      <c r="C4437" s="28">
        <v>176.02308654645122</v>
      </c>
      <c r="E4437" s="14" t="s">
        <v>3362</v>
      </c>
      <c r="F4437" s="11">
        <v>167</v>
      </c>
    </row>
    <row r="4438" spans="2:6" x14ac:dyDescent="0.3">
      <c r="B4438" s="12">
        <v>4435</v>
      </c>
      <c r="C4438" s="28">
        <v>162.62563980321343</v>
      </c>
      <c r="E4438" s="14" t="s">
        <v>2171</v>
      </c>
      <c r="F4438" s="11">
        <v>191</v>
      </c>
    </row>
    <row r="4439" spans="2:6" x14ac:dyDescent="0.3">
      <c r="B4439" s="12">
        <v>4436</v>
      </c>
      <c r="C4439" s="28">
        <v>165.4199283538118</v>
      </c>
      <c r="E4439" s="14" t="s">
        <v>324</v>
      </c>
      <c r="F4439" s="11">
        <v>170</v>
      </c>
    </row>
    <row r="4440" spans="2:6" x14ac:dyDescent="0.3">
      <c r="B4440" s="12">
        <v>4437</v>
      </c>
      <c r="C4440" s="28">
        <v>161.44915659205674</v>
      </c>
      <c r="E4440" s="14" t="s">
        <v>3931</v>
      </c>
      <c r="F4440" s="11">
        <v>160</v>
      </c>
    </row>
    <row r="4441" spans="2:6" x14ac:dyDescent="0.3">
      <c r="B4441" s="12">
        <v>4438</v>
      </c>
      <c r="C4441" s="28">
        <v>160.80220308684798</v>
      </c>
      <c r="E4441" s="14" t="s">
        <v>4821</v>
      </c>
      <c r="F4441" s="11">
        <v>185</v>
      </c>
    </row>
    <row r="4442" spans="2:6" x14ac:dyDescent="0.3">
      <c r="B4442" s="12">
        <v>4439</v>
      </c>
      <c r="C4442" s="28">
        <v>171.6671940426771</v>
      </c>
      <c r="E4442" s="14" t="s">
        <v>2035</v>
      </c>
      <c r="F4442" s="11">
        <v>181</v>
      </c>
    </row>
    <row r="4443" spans="2:6" x14ac:dyDescent="0.3">
      <c r="B4443" s="12">
        <v>4440</v>
      </c>
      <c r="C4443" s="28">
        <v>159.18359975561231</v>
      </c>
      <c r="E4443" s="14" t="s">
        <v>4406</v>
      </c>
      <c r="F4443" s="11">
        <v>188</v>
      </c>
    </row>
    <row r="4444" spans="2:6" x14ac:dyDescent="0.3">
      <c r="B4444" s="12">
        <v>4441</v>
      </c>
      <c r="C4444" s="28">
        <v>173.72274181557609</v>
      </c>
      <c r="E4444" s="14" t="s">
        <v>1079</v>
      </c>
      <c r="F4444" s="11">
        <v>175</v>
      </c>
    </row>
    <row r="4445" spans="2:6" x14ac:dyDescent="0.3">
      <c r="B4445" s="12">
        <v>4442</v>
      </c>
      <c r="C4445" s="28">
        <v>155.70943123789013</v>
      </c>
      <c r="E4445" s="14" t="s">
        <v>2464</v>
      </c>
      <c r="F4445" s="11">
        <v>174</v>
      </c>
    </row>
    <row r="4446" spans="2:6" x14ac:dyDescent="0.3">
      <c r="B4446" s="12">
        <v>4443</v>
      </c>
      <c r="C4446" s="28">
        <v>164.38625707333301</v>
      </c>
      <c r="E4446" s="14" t="s">
        <v>4866</v>
      </c>
      <c r="F4446" s="11">
        <v>163</v>
      </c>
    </row>
    <row r="4447" spans="2:6" x14ac:dyDescent="0.3">
      <c r="B4447" s="12">
        <v>4444</v>
      </c>
      <c r="C4447" s="28">
        <v>170.13636018845784</v>
      </c>
      <c r="E4447" s="14" t="s">
        <v>1147</v>
      </c>
      <c r="F4447" s="11">
        <v>183</v>
      </c>
    </row>
    <row r="4448" spans="2:6" x14ac:dyDescent="0.3">
      <c r="B4448" s="12">
        <v>4445</v>
      </c>
      <c r="C4448" s="28">
        <v>162.03400028009199</v>
      </c>
      <c r="E4448" s="14" t="s">
        <v>3719</v>
      </c>
      <c r="F4448" s="11">
        <v>180</v>
      </c>
    </row>
    <row r="4449" spans="2:6" x14ac:dyDescent="0.3">
      <c r="B4449" s="12">
        <v>4446</v>
      </c>
      <c r="C4449" s="28">
        <v>156.4921204953657</v>
      </c>
      <c r="E4449" s="14" t="s">
        <v>2726</v>
      </c>
      <c r="F4449" s="11">
        <v>178</v>
      </c>
    </row>
    <row r="4450" spans="2:6" x14ac:dyDescent="0.3">
      <c r="B4450" s="12">
        <v>4447</v>
      </c>
      <c r="C4450" s="28">
        <v>153.82344869116653</v>
      </c>
      <c r="E4450" s="14" t="s">
        <v>2724</v>
      </c>
      <c r="F4450" s="11">
        <v>183</v>
      </c>
    </row>
    <row r="4451" spans="2:6" x14ac:dyDescent="0.3">
      <c r="B4451" s="12">
        <v>4448</v>
      </c>
      <c r="C4451" s="28">
        <v>168.17984245866876</v>
      </c>
      <c r="E4451" s="14" t="s">
        <v>4282</v>
      </c>
      <c r="F4451" s="11">
        <v>167</v>
      </c>
    </row>
    <row r="4452" spans="2:6" x14ac:dyDescent="0.3">
      <c r="B4452" s="12">
        <v>4449</v>
      </c>
      <c r="C4452" s="28">
        <v>157.56321990450067</v>
      </c>
      <c r="E4452" s="14" t="s">
        <v>372</v>
      </c>
      <c r="F4452" s="11">
        <v>157</v>
      </c>
    </row>
    <row r="4453" spans="2:6" x14ac:dyDescent="0.3">
      <c r="B4453" s="12">
        <v>4450</v>
      </c>
      <c r="C4453" s="28">
        <v>160.16967293416559</v>
      </c>
      <c r="E4453" s="14" t="s">
        <v>3328</v>
      </c>
      <c r="F4453" s="11">
        <v>167</v>
      </c>
    </row>
    <row r="4454" spans="2:6" x14ac:dyDescent="0.3">
      <c r="B4454" s="12">
        <v>4451</v>
      </c>
      <c r="C4454" s="28">
        <v>158.95190741162531</v>
      </c>
      <c r="E4454" s="14" t="s">
        <v>2881</v>
      </c>
      <c r="F4454" s="11">
        <v>161</v>
      </c>
    </row>
    <row r="4455" spans="2:6" x14ac:dyDescent="0.3">
      <c r="B4455" s="12">
        <v>4452</v>
      </c>
      <c r="C4455" s="28">
        <v>161.43940063344172</v>
      </c>
      <c r="E4455" s="14" t="s">
        <v>3809</v>
      </c>
      <c r="F4455" s="11">
        <v>163</v>
      </c>
    </row>
    <row r="4456" spans="2:6" x14ac:dyDescent="0.3">
      <c r="B4456" s="12">
        <v>4453</v>
      </c>
      <c r="C4456" s="28">
        <v>167.11587253813002</v>
      </c>
      <c r="E4456" s="14" t="s">
        <v>4293</v>
      </c>
      <c r="F4456" s="11">
        <v>168</v>
      </c>
    </row>
    <row r="4457" spans="2:6" x14ac:dyDescent="0.3">
      <c r="B4457" s="12">
        <v>4454</v>
      </c>
      <c r="C4457" s="28">
        <v>154.51371385333195</v>
      </c>
      <c r="E4457" s="14" t="s">
        <v>500</v>
      </c>
      <c r="F4457" s="11">
        <v>159</v>
      </c>
    </row>
    <row r="4458" spans="2:6" x14ac:dyDescent="0.3">
      <c r="B4458" s="12">
        <v>4455</v>
      </c>
      <c r="C4458" s="28">
        <v>169.30365752204557</v>
      </c>
      <c r="E4458" s="14" t="s">
        <v>3461</v>
      </c>
      <c r="F4458" s="11">
        <v>162</v>
      </c>
    </row>
    <row r="4459" spans="2:6" x14ac:dyDescent="0.3">
      <c r="B4459" s="12">
        <v>4456</v>
      </c>
      <c r="C4459" s="28">
        <v>161.47136676489998</v>
      </c>
      <c r="E4459" s="14" t="s">
        <v>1314</v>
      </c>
      <c r="F4459" s="11">
        <v>178</v>
      </c>
    </row>
    <row r="4460" spans="2:6" x14ac:dyDescent="0.3">
      <c r="B4460" s="12">
        <v>4457</v>
      </c>
      <c r="C4460" s="28">
        <v>172.58813006121841</v>
      </c>
      <c r="E4460" s="14" t="s">
        <v>122</v>
      </c>
      <c r="F4460" s="11">
        <v>170</v>
      </c>
    </row>
    <row r="4461" spans="2:6" x14ac:dyDescent="0.3">
      <c r="B4461" s="12">
        <v>4458</v>
      </c>
      <c r="C4461" s="28">
        <v>158.48539287613249</v>
      </c>
      <c r="E4461" s="14" t="s">
        <v>2671</v>
      </c>
      <c r="F4461" s="11">
        <v>149</v>
      </c>
    </row>
    <row r="4462" spans="2:6" x14ac:dyDescent="0.3">
      <c r="B4462" s="12">
        <v>4459</v>
      </c>
      <c r="C4462" s="28">
        <v>166.97271851469773</v>
      </c>
      <c r="E4462" s="14" t="s">
        <v>4279</v>
      </c>
      <c r="F4462" s="11">
        <v>165</v>
      </c>
    </row>
    <row r="4463" spans="2:6" x14ac:dyDescent="0.3">
      <c r="B4463" s="12">
        <v>4460</v>
      </c>
      <c r="C4463" s="28">
        <v>159.3464917907082</v>
      </c>
      <c r="E4463" s="14" t="s">
        <v>3162</v>
      </c>
      <c r="F4463" s="11">
        <v>165</v>
      </c>
    </row>
    <row r="4464" spans="2:6" x14ac:dyDescent="0.3">
      <c r="B4464" s="12">
        <v>4461</v>
      </c>
      <c r="C4464" s="28">
        <v>161.03059528671218</v>
      </c>
      <c r="E4464" s="14" t="s">
        <v>4698</v>
      </c>
      <c r="F4464" s="11">
        <v>178</v>
      </c>
    </row>
    <row r="4465" spans="2:6" x14ac:dyDescent="0.3">
      <c r="B4465" s="12">
        <v>4462</v>
      </c>
      <c r="C4465" s="28">
        <v>162.96855173830232</v>
      </c>
      <c r="E4465" s="14" t="s">
        <v>1437</v>
      </c>
      <c r="F4465" s="11">
        <v>185</v>
      </c>
    </row>
    <row r="4466" spans="2:6" x14ac:dyDescent="0.3">
      <c r="B4466" s="12">
        <v>4463</v>
      </c>
      <c r="C4466" s="28">
        <v>144.76591891031029</v>
      </c>
      <c r="E4466" s="14" t="s">
        <v>4526</v>
      </c>
      <c r="F4466" s="11">
        <v>168</v>
      </c>
    </row>
    <row r="4467" spans="2:6" x14ac:dyDescent="0.3">
      <c r="B4467" s="12">
        <v>4464</v>
      </c>
      <c r="C4467" s="28">
        <v>163.74413210199953</v>
      </c>
      <c r="E4467" s="14" t="s">
        <v>2310</v>
      </c>
      <c r="F4467" s="11">
        <v>172</v>
      </c>
    </row>
    <row r="4468" spans="2:6" x14ac:dyDescent="0.3">
      <c r="B4468" s="12">
        <v>4465</v>
      </c>
      <c r="C4468" s="28">
        <v>156.02859562454378</v>
      </c>
      <c r="E4468" s="14" t="s">
        <v>3827</v>
      </c>
      <c r="F4468" s="11">
        <v>182</v>
      </c>
    </row>
    <row r="4469" spans="2:6" x14ac:dyDescent="0.3">
      <c r="B4469" s="12">
        <v>4466</v>
      </c>
      <c r="C4469" s="28">
        <v>156.94498639656479</v>
      </c>
      <c r="E4469" s="14" t="s">
        <v>4059</v>
      </c>
      <c r="F4469" s="11">
        <v>178</v>
      </c>
    </row>
    <row r="4470" spans="2:6" x14ac:dyDescent="0.3">
      <c r="B4470" s="12">
        <v>4467</v>
      </c>
      <c r="C4470" s="28">
        <v>164.31632698045334</v>
      </c>
      <c r="E4470" s="14" t="s">
        <v>2125</v>
      </c>
      <c r="F4470" s="11">
        <v>161</v>
      </c>
    </row>
    <row r="4471" spans="2:6" x14ac:dyDescent="0.3">
      <c r="B4471" s="12">
        <v>4468</v>
      </c>
      <c r="C4471" s="28">
        <v>160.17390402575953</v>
      </c>
      <c r="E4471" s="14" t="s">
        <v>2756</v>
      </c>
      <c r="F4471" s="11">
        <v>185</v>
      </c>
    </row>
    <row r="4472" spans="2:6" x14ac:dyDescent="0.3">
      <c r="B4472" s="12">
        <v>4469</v>
      </c>
      <c r="C4472" s="28">
        <v>150.12668555553438</v>
      </c>
      <c r="E4472" s="14" t="s">
        <v>4307</v>
      </c>
      <c r="F4472" s="11">
        <v>166</v>
      </c>
    </row>
    <row r="4473" spans="2:6" x14ac:dyDescent="0.3">
      <c r="B4473" s="12">
        <v>4470</v>
      </c>
      <c r="C4473" s="28">
        <v>174.46219371856648</v>
      </c>
      <c r="E4473" s="14" t="s">
        <v>4306</v>
      </c>
      <c r="F4473" s="11">
        <v>196</v>
      </c>
    </row>
    <row r="4474" spans="2:6" x14ac:dyDescent="0.3">
      <c r="B4474" s="12">
        <v>4471</v>
      </c>
      <c r="C4474" s="28">
        <v>172.23654658396487</v>
      </c>
      <c r="E4474" s="14" t="s">
        <v>2267</v>
      </c>
      <c r="F4474" s="11">
        <v>173</v>
      </c>
    </row>
    <row r="4475" spans="2:6" x14ac:dyDescent="0.3">
      <c r="B4475" s="12">
        <v>4472</v>
      </c>
      <c r="C4475" s="28">
        <v>158.73571665819614</v>
      </c>
      <c r="E4475" s="14" t="s">
        <v>2020</v>
      </c>
      <c r="F4475" s="11">
        <v>156</v>
      </c>
    </row>
    <row r="4476" spans="2:6" x14ac:dyDescent="0.3">
      <c r="B4476" s="12">
        <v>4473</v>
      </c>
      <c r="C4476" s="28">
        <v>160.48131436099504</v>
      </c>
      <c r="E4476" s="14" t="s">
        <v>1075</v>
      </c>
      <c r="F4476" s="11">
        <v>169</v>
      </c>
    </row>
    <row r="4477" spans="2:6" x14ac:dyDescent="0.3">
      <c r="B4477" s="12">
        <v>4474</v>
      </c>
      <c r="C4477" s="28">
        <v>160.47273167007637</v>
      </c>
      <c r="E4477" s="14" t="s">
        <v>1266</v>
      </c>
      <c r="F4477" s="11">
        <v>168</v>
      </c>
    </row>
    <row r="4478" spans="2:6" x14ac:dyDescent="0.3">
      <c r="B4478" s="12">
        <v>4475</v>
      </c>
      <c r="C4478" s="28">
        <v>167.08489774303328</v>
      </c>
      <c r="E4478" s="14" t="s">
        <v>14</v>
      </c>
      <c r="F4478" s="11">
        <v>182</v>
      </c>
    </row>
    <row r="4479" spans="2:6" x14ac:dyDescent="0.3">
      <c r="B4479" s="12">
        <v>4476</v>
      </c>
      <c r="C4479" s="28">
        <v>165.66810477716132</v>
      </c>
      <c r="E4479" s="14" t="s">
        <v>383</v>
      </c>
      <c r="F4479" s="11">
        <v>178</v>
      </c>
    </row>
    <row r="4480" spans="2:6" x14ac:dyDescent="0.3">
      <c r="B4480" s="12">
        <v>4477</v>
      </c>
      <c r="C4480" s="28">
        <v>160.00271168683474</v>
      </c>
      <c r="E4480" s="14" t="s">
        <v>4374</v>
      </c>
      <c r="F4480" s="11">
        <v>158</v>
      </c>
    </row>
    <row r="4481" spans="2:6" x14ac:dyDescent="0.3">
      <c r="B4481" s="12">
        <v>4478</v>
      </c>
      <c r="C4481" s="28">
        <v>165.56169889334916</v>
      </c>
      <c r="E4481" s="14" t="s">
        <v>2552</v>
      </c>
      <c r="F4481" s="11">
        <v>168</v>
      </c>
    </row>
    <row r="4482" spans="2:6" x14ac:dyDescent="0.3">
      <c r="B4482" s="12">
        <v>4479</v>
      </c>
      <c r="C4482" s="28">
        <v>158.90588263718635</v>
      </c>
      <c r="E4482" s="14" t="s">
        <v>4343</v>
      </c>
      <c r="F4482" s="11">
        <v>160</v>
      </c>
    </row>
    <row r="4483" spans="2:6" x14ac:dyDescent="0.3">
      <c r="B4483" s="12">
        <v>4480</v>
      </c>
      <c r="C4483" s="28">
        <v>164.28884294399299</v>
      </c>
      <c r="E4483" s="14" t="s">
        <v>3463</v>
      </c>
      <c r="F4483" s="11">
        <v>175</v>
      </c>
    </row>
    <row r="4484" spans="2:6" x14ac:dyDescent="0.3">
      <c r="B4484" s="12">
        <v>4481</v>
      </c>
      <c r="C4484" s="28">
        <v>157.53106634320721</v>
      </c>
      <c r="E4484" s="14" t="s">
        <v>1295</v>
      </c>
      <c r="F4484" s="11">
        <v>164</v>
      </c>
    </row>
    <row r="4485" spans="2:6" x14ac:dyDescent="0.3">
      <c r="B4485" s="12">
        <v>4482</v>
      </c>
      <c r="C4485" s="28">
        <v>172.02575076519264</v>
      </c>
      <c r="E4485" s="14" t="s">
        <v>1402</v>
      </c>
      <c r="F4485" s="11">
        <v>170</v>
      </c>
    </row>
    <row r="4486" spans="2:6" x14ac:dyDescent="0.3">
      <c r="B4486" s="12">
        <v>4483</v>
      </c>
      <c r="C4486" s="28">
        <v>157.38900140202526</v>
      </c>
      <c r="E4486" s="14" t="s">
        <v>1403</v>
      </c>
      <c r="F4486" s="11">
        <v>171</v>
      </c>
    </row>
    <row r="4487" spans="2:6" x14ac:dyDescent="0.3">
      <c r="B4487" s="12">
        <v>4484</v>
      </c>
      <c r="C4487" s="28">
        <v>158.31422231395766</v>
      </c>
      <c r="E4487" s="14" t="s">
        <v>238</v>
      </c>
      <c r="F4487" s="11">
        <v>168</v>
      </c>
    </row>
    <row r="4488" spans="2:6" x14ac:dyDescent="0.3">
      <c r="B4488" s="12">
        <v>4485</v>
      </c>
      <c r="C4488" s="28">
        <v>165.71888837734903</v>
      </c>
      <c r="E4488" s="14" t="s">
        <v>473</v>
      </c>
      <c r="F4488" s="11">
        <v>172</v>
      </c>
    </row>
    <row r="4489" spans="2:6" x14ac:dyDescent="0.3">
      <c r="B4489" s="12">
        <v>4486</v>
      </c>
      <c r="C4489" s="28">
        <v>165.07272017417722</v>
      </c>
      <c r="E4489" s="14" t="s">
        <v>498</v>
      </c>
      <c r="F4489" s="11">
        <v>193</v>
      </c>
    </row>
    <row r="4490" spans="2:6" x14ac:dyDescent="0.3">
      <c r="B4490" s="12">
        <v>4487</v>
      </c>
      <c r="C4490" s="28">
        <v>152.17920031123373</v>
      </c>
      <c r="E4490" s="14" t="s">
        <v>2585</v>
      </c>
      <c r="F4490" s="11">
        <v>185</v>
      </c>
    </row>
    <row r="4491" spans="2:6" x14ac:dyDescent="0.3">
      <c r="B4491" s="12">
        <v>4488</v>
      </c>
      <c r="C4491" s="28">
        <v>161.6168124063114</v>
      </c>
      <c r="E4491" s="14" t="s">
        <v>3901</v>
      </c>
      <c r="F4491" s="11">
        <v>189</v>
      </c>
    </row>
    <row r="4492" spans="2:6" x14ac:dyDescent="0.3">
      <c r="B4492" s="12">
        <v>4489</v>
      </c>
      <c r="C4492" s="28">
        <v>161.85525102464936</v>
      </c>
      <c r="E4492" s="14" t="s">
        <v>4242</v>
      </c>
      <c r="F4492" s="11">
        <v>175</v>
      </c>
    </row>
    <row r="4493" spans="2:6" x14ac:dyDescent="0.3">
      <c r="B4493" s="12">
        <v>4490</v>
      </c>
      <c r="C4493" s="28">
        <v>152.42959031199629</v>
      </c>
      <c r="E4493" s="14" t="s">
        <v>3575</v>
      </c>
      <c r="F4493" s="11">
        <v>160</v>
      </c>
    </row>
    <row r="4494" spans="2:6" x14ac:dyDescent="0.3">
      <c r="B4494" s="12">
        <v>4491</v>
      </c>
      <c r="C4494" s="28">
        <v>167.32328268826089</v>
      </c>
      <c r="E4494" s="14" t="s">
        <v>270</v>
      </c>
      <c r="F4494" s="11">
        <v>170</v>
      </c>
    </row>
    <row r="4495" spans="2:6" x14ac:dyDescent="0.3">
      <c r="B4495" s="12">
        <v>4492</v>
      </c>
      <c r="C4495" s="28">
        <v>158.45687667184626</v>
      </c>
      <c r="E4495" s="14" t="s">
        <v>721</v>
      </c>
      <c r="F4495" s="11">
        <v>193</v>
      </c>
    </row>
    <row r="4496" spans="2:6" x14ac:dyDescent="0.3">
      <c r="B4496" s="12">
        <v>4493</v>
      </c>
      <c r="C4496" s="28">
        <v>146.94183258745244</v>
      </c>
      <c r="E4496" s="14" t="s">
        <v>1024</v>
      </c>
      <c r="F4496" s="11">
        <v>172</v>
      </c>
    </row>
    <row r="4497" spans="2:6" x14ac:dyDescent="0.3">
      <c r="B4497" s="12">
        <v>4494</v>
      </c>
      <c r="C4497" s="28">
        <v>172.17080189916828</v>
      </c>
      <c r="E4497" s="14" t="s">
        <v>2799</v>
      </c>
      <c r="F4497" s="11">
        <v>176</v>
      </c>
    </row>
    <row r="4498" spans="2:6" x14ac:dyDescent="0.3">
      <c r="B4498" s="12">
        <v>4495</v>
      </c>
      <c r="C4498" s="28">
        <v>157.21272086807468</v>
      </c>
      <c r="E4498" s="14" t="s">
        <v>2916</v>
      </c>
      <c r="F4498" s="11">
        <v>165</v>
      </c>
    </row>
    <row r="4499" spans="2:6" x14ac:dyDescent="0.3">
      <c r="B4499" s="12">
        <v>4496</v>
      </c>
      <c r="C4499" s="28">
        <v>151.80772377424799</v>
      </c>
      <c r="E4499" s="14" t="s">
        <v>3513</v>
      </c>
      <c r="F4499" s="11">
        <v>167</v>
      </c>
    </row>
    <row r="4500" spans="2:6" x14ac:dyDescent="0.3">
      <c r="B4500" s="12">
        <v>4497</v>
      </c>
      <c r="C4500" s="28">
        <v>158.81916114084734</v>
      </c>
      <c r="E4500" s="14" t="s">
        <v>4009</v>
      </c>
      <c r="F4500" s="11">
        <v>181</v>
      </c>
    </row>
    <row r="4501" spans="2:6" x14ac:dyDescent="0.3">
      <c r="B4501" s="12">
        <v>4498</v>
      </c>
      <c r="C4501" s="28">
        <v>153.23187422273261</v>
      </c>
      <c r="E4501" s="14" t="s">
        <v>4411</v>
      </c>
      <c r="F4501" s="11">
        <v>162</v>
      </c>
    </row>
    <row r="4502" spans="2:6" x14ac:dyDescent="0.3">
      <c r="B4502" s="12">
        <v>4499</v>
      </c>
      <c r="C4502" s="28">
        <v>168.11077471993229</v>
      </c>
      <c r="E4502" s="14" t="s">
        <v>4180</v>
      </c>
      <c r="F4502" s="11">
        <v>173</v>
      </c>
    </row>
    <row r="4503" spans="2:6" x14ac:dyDescent="0.3">
      <c r="B4503" s="12">
        <v>4500</v>
      </c>
      <c r="C4503" s="28">
        <v>169.80059037411033</v>
      </c>
      <c r="E4503" s="14" t="s">
        <v>4715</v>
      </c>
      <c r="F4503" s="11">
        <v>167</v>
      </c>
    </row>
    <row r="4504" spans="2:6" x14ac:dyDescent="0.3">
      <c r="B4504" s="12">
        <v>4501</v>
      </c>
      <c r="C4504" s="28">
        <v>166.58851284481923</v>
      </c>
      <c r="E4504" s="14" t="s">
        <v>2514</v>
      </c>
      <c r="F4504" s="11">
        <v>163</v>
      </c>
    </row>
    <row r="4505" spans="2:6" x14ac:dyDescent="0.3">
      <c r="B4505" s="12">
        <v>4502</v>
      </c>
      <c r="C4505" s="28">
        <v>156.74049026808896</v>
      </c>
      <c r="E4505" s="14" t="s">
        <v>4420</v>
      </c>
      <c r="F4505" s="11">
        <v>162</v>
      </c>
    </row>
    <row r="4506" spans="2:6" x14ac:dyDescent="0.3">
      <c r="B4506" s="12">
        <v>4503</v>
      </c>
      <c r="C4506" s="28">
        <v>152.49620463129315</v>
      </c>
      <c r="E4506" s="14" t="s">
        <v>576</v>
      </c>
      <c r="F4506" s="11">
        <v>180</v>
      </c>
    </row>
    <row r="4507" spans="2:6" x14ac:dyDescent="0.3">
      <c r="B4507" s="12">
        <v>4504</v>
      </c>
      <c r="C4507" s="28">
        <v>166.94838539705722</v>
      </c>
      <c r="E4507" s="14" t="s">
        <v>1016</v>
      </c>
      <c r="F4507" s="11">
        <v>166</v>
      </c>
    </row>
    <row r="4508" spans="2:6" x14ac:dyDescent="0.3">
      <c r="B4508" s="12">
        <v>4505</v>
      </c>
      <c r="C4508" s="28">
        <v>166.67733621386384</v>
      </c>
      <c r="E4508" s="14" t="s">
        <v>3118</v>
      </c>
      <c r="F4508" s="11">
        <v>180</v>
      </c>
    </row>
    <row r="4509" spans="2:6" x14ac:dyDescent="0.3">
      <c r="B4509" s="12">
        <v>4506</v>
      </c>
      <c r="C4509" s="28">
        <v>152.46794443936713</v>
      </c>
      <c r="E4509" s="14" t="s">
        <v>3402</v>
      </c>
      <c r="F4509" s="11">
        <v>175</v>
      </c>
    </row>
    <row r="4510" spans="2:6" x14ac:dyDescent="0.3">
      <c r="B4510" s="12">
        <v>4507</v>
      </c>
      <c r="C4510" s="28">
        <v>162.05859130013081</v>
      </c>
      <c r="E4510" s="14" t="s">
        <v>4623</v>
      </c>
      <c r="F4510" s="11">
        <v>171</v>
      </c>
    </row>
    <row r="4511" spans="2:6" x14ac:dyDescent="0.3">
      <c r="B4511" s="12">
        <v>4508</v>
      </c>
      <c r="C4511" s="28">
        <v>146.77852130420493</v>
      </c>
      <c r="E4511" s="14" t="s">
        <v>1116</v>
      </c>
      <c r="F4511" s="11">
        <v>174</v>
      </c>
    </row>
    <row r="4512" spans="2:6" x14ac:dyDescent="0.3">
      <c r="B4512" s="12">
        <v>4509</v>
      </c>
      <c r="C4512" s="28">
        <v>160.12340207083324</v>
      </c>
      <c r="E4512" s="14" t="s">
        <v>267</v>
      </c>
      <c r="F4512" s="11">
        <v>179</v>
      </c>
    </row>
    <row r="4513" spans="2:6" x14ac:dyDescent="0.3">
      <c r="B4513" s="12">
        <v>4510</v>
      </c>
      <c r="C4513" s="28">
        <v>154.16463048792096</v>
      </c>
      <c r="E4513" s="14" t="s">
        <v>4203</v>
      </c>
      <c r="F4513" s="11">
        <v>154</v>
      </c>
    </row>
    <row r="4514" spans="2:6" x14ac:dyDescent="0.3">
      <c r="B4514" s="12">
        <v>4511</v>
      </c>
      <c r="C4514" s="28">
        <v>155.31171412101935</v>
      </c>
      <c r="E4514" s="14" t="s">
        <v>1636</v>
      </c>
      <c r="F4514" s="11">
        <v>168</v>
      </c>
    </row>
    <row r="4515" spans="2:6" x14ac:dyDescent="0.3">
      <c r="B4515" s="12">
        <v>4512</v>
      </c>
      <c r="C4515" s="28">
        <v>151.94974769204822</v>
      </c>
      <c r="E4515" s="14" t="s">
        <v>4745</v>
      </c>
      <c r="F4515" s="11">
        <v>168</v>
      </c>
    </row>
    <row r="4516" spans="2:6" x14ac:dyDescent="0.3">
      <c r="B4516" s="12">
        <v>4513</v>
      </c>
      <c r="C4516" s="28">
        <v>162.18835651945025</v>
      </c>
      <c r="E4516" s="14" t="s">
        <v>183</v>
      </c>
      <c r="F4516" s="11">
        <v>164</v>
      </c>
    </row>
    <row r="4517" spans="2:6" x14ac:dyDescent="0.3">
      <c r="B4517" s="12">
        <v>4514</v>
      </c>
      <c r="C4517" s="28">
        <v>166.26635752120538</v>
      </c>
      <c r="E4517" s="14" t="s">
        <v>4249</v>
      </c>
      <c r="F4517" s="11">
        <v>154</v>
      </c>
    </row>
    <row r="4518" spans="2:6" x14ac:dyDescent="0.3">
      <c r="B4518" s="12">
        <v>4515</v>
      </c>
      <c r="C4518" s="28">
        <v>161.00816416512265</v>
      </c>
      <c r="E4518" s="14" t="s">
        <v>854</v>
      </c>
      <c r="F4518" s="11">
        <v>166</v>
      </c>
    </row>
    <row r="4519" spans="2:6" x14ac:dyDescent="0.3">
      <c r="B4519" s="12">
        <v>4516</v>
      </c>
      <c r="C4519" s="28">
        <v>162.13573068442528</v>
      </c>
      <c r="E4519" s="14" t="s">
        <v>4734</v>
      </c>
      <c r="F4519" s="11">
        <v>155</v>
      </c>
    </row>
    <row r="4520" spans="2:6" x14ac:dyDescent="0.3">
      <c r="B4520" s="12">
        <v>4517</v>
      </c>
      <c r="C4520" s="28">
        <v>159.2655905282586</v>
      </c>
      <c r="E4520" s="14" t="s">
        <v>172</v>
      </c>
      <c r="F4520" s="11">
        <v>179</v>
      </c>
    </row>
    <row r="4521" spans="2:6" x14ac:dyDescent="0.3">
      <c r="B4521" s="12">
        <v>4518</v>
      </c>
      <c r="C4521" s="28">
        <v>158.48585257406401</v>
      </c>
      <c r="E4521" s="14" t="s">
        <v>2282</v>
      </c>
      <c r="F4521" s="11">
        <v>167</v>
      </c>
    </row>
    <row r="4522" spans="2:6" x14ac:dyDescent="0.3">
      <c r="B4522" s="12">
        <v>4519</v>
      </c>
      <c r="C4522" s="28">
        <v>166.08187947699528</v>
      </c>
      <c r="E4522" s="14" t="s">
        <v>1130</v>
      </c>
      <c r="F4522" s="11">
        <v>185</v>
      </c>
    </row>
    <row r="4523" spans="2:6" x14ac:dyDescent="0.3">
      <c r="B4523" s="12">
        <v>4520</v>
      </c>
      <c r="C4523" s="28">
        <v>162.45533970890494</v>
      </c>
      <c r="E4523" s="14" t="s">
        <v>2003</v>
      </c>
      <c r="F4523" s="11">
        <v>167</v>
      </c>
    </row>
    <row r="4524" spans="2:6" x14ac:dyDescent="0.3">
      <c r="B4524" s="12">
        <v>4521</v>
      </c>
      <c r="C4524" s="28">
        <v>161.95904390995801</v>
      </c>
      <c r="E4524" s="14" t="s">
        <v>1389</v>
      </c>
      <c r="F4524" s="11">
        <v>162</v>
      </c>
    </row>
    <row r="4525" spans="2:6" x14ac:dyDescent="0.3">
      <c r="B4525" s="12">
        <v>4522</v>
      </c>
      <c r="C4525" s="28">
        <v>159.85665193384793</v>
      </c>
      <c r="E4525" s="14" t="s">
        <v>4417</v>
      </c>
      <c r="F4525" s="11">
        <v>166</v>
      </c>
    </row>
    <row r="4526" spans="2:6" x14ac:dyDescent="0.3">
      <c r="B4526" s="12">
        <v>4523</v>
      </c>
      <c r="C4526" s="28">
        <v>165.98622827629913</v>
      </c>
      <c r="E4526" s="14" t="s">
        <v>4418</v>
      </c>
      <c r="F4526" s="11">
        <v>165</v>
      </c>
    </row>
    <row r="4527" spans="2:6" x14ac:dyDescent="0.3">
      <c r="B4527" s="12">
        <v>4524</v>
      </c>
      <c r="C4527" s="28">
        <v>158.88925040668863</v>
      </c>
      <c r="E4527" s="14" t="s">
        <v>4421</v>
      </c>
      <c r="F4527" s="11">
        <v>175</v>
      </c>
    </row>
    <row r="4528" spans="2:6" x14ac:dyDescent="0.3">
      <c r="B4528" s="12">
        <v>4525</v>
      </c>
      <c r="C4528" s="28">
        <v>169.47247143025174</v>
      </c>
      <c r="E4528" s="14" t="s">
        <v>4316</v>
      </c>
      <c r="F4528" s="11">
        <v>153</v>
      </c>
    </row>
    <row r="4529" spans="2:6" x14ac:dyDescent="0.3">
      <c r="B4529" s="12">
        <v>4526</v>
      </c>
      <c r="C4529" s="28">
        <v>158.75736558773664</v>
      </c>
      <c r="E4529" s="14" t="s">
        <v>4424</v>
      </c>
      <c r="F4529" s="11">
        <v>175</v>
      </c>
    </row>
    <row r="4530" spans="2:6" x14ac:dyDescent="0.3">
      <c r="B4530" s="12">
        <v>4527</v>
      </c>
      <c r="C4530" s="28">
        <v>152.6449626611184</v>
      </c>
      <c r="E4530" s="14" t="s">
        <v>3407</v>
      </c>
      <c r="F4530" s="11">
        <v>180</v>
      </c>
    </row>
    <row r="4531" spans="2:6" x14ac:dyDescent="0.3">
      <c r="B4531" s="12">
        <v>4528</v>
      </c>
      <c r="C4531" s="28">
        <v>168.40727412885633</v>
      </c>
      <c r="E4531" s="14" t="s">
        <v>2999</v>
      </c>
      <c r="F4531" s="11">
        <v>168</v>
      </c>
    </row>
    <row r="4532" spans="2:6" x14ac:dyDescent="0.3">
      <c r="B4532" s="12">
        <v>4529</v>
      </c>
      <c r="C4532" s="28">
        <v>168.76342124856626</v>
      </c>
      <c r="E4532" s="14" t="s">
        <v>1545</v>
      </c>
      <c r="F4532" s="11">
        <v>173</v>
      </c>
    </row>
    <row r="4533" spans="2:6" x14ac:dyDescent="0.3">
      <c r="B4533" s="12">
        <v>4530</v>
      </c>
      <c r="C4533" s="28">
        <v>162.44060236143127</v>
      </c>
      <c r="E4533" s="14" t="s">
        <v>3755</v>
      </c>
      <c r="F4533" s="11">
        <v>180</v>
      </c>
    </row>
    <row r="4534" spans="2:6" x14ac:dyDescent="0.3">
      <c r="B4534" s="12">
        <v>4531</v>
      </c>
      <c r="C4534" s="28">
        <v>153.02549325321522</v>
      </c>
      <c r="E4534" s="14" t="s">
        <v>639</v>
      </c>
      <c r="F4534" s="11">
        <v>188</v>
      </c>
    </row>
    <row r="4535" spans="2:6" x14ac:dyDescent="0.3">
      <c r="B4535" s="12">
        <v>4532</v>
      </c>
      <c r="C4535" s="28">
        <v>160.10377217319191</v>
      </c>
      <c r="E4535" s="14" t="s">
        <v>4830</v>
      </c>
      <c r="F4535" s="11">
        <v>150</v>
      </c>
    </row>
    <row r="4536" spans="2:6" x14ac:dyDescent="0.3">
      <c r="B4536" s="12">
        <v>4533</v>
      </c>
      <c r="C4536" s="28">
        <v>154.86597505317999</v>
      </c>
      <c r="E4536" s="14" t="s">
        <v>4291</v>
      </c>
      <c r="F4536" s="11">
        <v>167</v>
      </c>
    </row>
    <row r="4537" spans="2:6" x14ac:dyDescent="0.3">
      <c r="B4537" s="12">
        <v>4534</v>
      </c>
      <c r="C4537" s="28">
        <v>160.83728802236888</v>
      </c>
      <c r="E4537" s="14" t="s">
        <v>3357</v>
      </c>
      <c r="F4537" s="11">
        <v>169</v>
      </c>
    </row>
    <row r="4538" spans="2:6" x14ac:dyDescent="0.3">
      <c r="B4538" s="12">
        <v>4535</v>
      </c>
      <c r="C4538" s="28">
        <v>166.34387741013202</v>
      </c>
      <c r="E4538" s="14" t="s">
        <v>932</v>
      </c>
      <c r="F4538" s="11">
        <v>169</v>
      </c>
    </row>
    <row r="4539" spans="2:6" x14ac:dyDescent="0.3">
      <c r="B4539" s="12">
        <v>4536</v>
      </c>
      <c r="C4539" s="28">
        <v>155.9711855069375</v>
      </c>
      <c r="E4539" s="14" t="s">
        <v>2994</v>
      </c>
      <c r="F4539" s="11">
        <v>163</v>
      </c>
    </row>
    <row r="4540" spans="2:6" x14ac:dyDescent="0.3">
      <c r="B4540" s="12">
        <v>4537</v>
      </c>
      <c r="C4540" s="28">
        <v>159.4309067389504</v>
      </c>
      <c r="E4540" s="14" t="s">
        <v>1334</v>
      </c>
      <c r="F4540" s="11">
        <v>158</v>
      </c>
    </row>
    <row r="4541" spans="2:6" x14ac:dyDescent="0.3">
      <c r="B4541" s="12">
        <v>4538</v>
      </c>
      <c r="C4541" s="28">
        <v>152.87851585040809</v>
      </c>
      <c r="E4541" s="14" t="s">
        <v>4494</v>
      </c>
      <c r="F4541" s="11">
        <v>162</v>
      </c>
    </row>
    <row r="4542" spans="2:6" x14ac:dyDescent="0.3">
      <c r="B4542" s="12">
        <v>4539</v>
      </c>
      <c r="C4542" s="28">
        <v>165.12233486130273</v>
      </c>
      <c r="E4542" s="14" t="s">
        <v>3198</v>
      </c>
      <c r="F4542" s="11">
        <v>175</v>
      </c>
    </row>
    <row r="4543" spans="2:6" x14ac:dyDescent="0.3">
      <c r="B4543" s="12">
        <v>4540</v>
      </c>
      <c r="C4543" s="28">
        <v>178.36090501482883</v>
      </c>
      <c r="E4543" s="14" t="s">
        <v>2193</v>
      </c>
      <c r="F4543" s="11">
        <v>166</v>
      </c>
    </row>
    <row r="4544" spans="2:6" x14ac:dyDescent="0.3">
      <c r="B4544" s="12">
        <v>4541</v>
      </c>
      <c r="C4544" s="28">
        <v>159.20388721716913</v>
      </c>
      <c r="E4544" s="14" t="s">
        <v>3552</v>
      </c>
      <c r="F4544" s="11">
        <v>173</v>
      </c>
    </row>
    <row r="4545" spans="2:6" x14ac:dyDescent="0.3">
      <c r="B4545" s="12">
        <v>4542</v>
      </c>
      <c r="C4545" s="28">
        <v>154.70123729180477</v>
      </c>
      <c r="E4545" s="14" t="s">
        <v>878</v>
      </c>
      <c r="F4545" s="11">
        <v>180</v>
      </c>
    </row>
    <row r="4546" spans="2:6" x14ac:dyDescent="0.3">
      <c r="B4546" s="12">
        <v>4543</v>
      </c>
      <c r="C4546" s="28">
        <v>154.32970893147078</v>
      </c>
      <c r="E4546" s="14" t="s">
        <v>1870</v>
      </c>
      <c r="F4546" s="11">
        <v>186</v>
      </c>
    </row>
    <row r="4547" spans="2:6" x14ac:dyDescent="0.3">
      <c r="B4547" s="12">
        <v>4544</v>
      </c>
      <c r="C4547" s="28">
        <v>161.89278495750057</v>
      </c>
      <c r="E4547" s="14" t="s">
        <v>1503</v>
      </c>
      <c r="F4547" s="11">
        <v>173</v>
      </c>
    </row>
    <row r="4548" spans="2:6" x14ac:dyDescent="0.3">
      <c r="B4548" s="12">
        <v>4545</v>
      </c>
      <c r="C4548" s="28">
        <v>161.42365873714758</v>
      </c>
      <c r="E4548" s="14" t="s">
        <v>1316</v>
      </c>
      <c r="F4548" s="11">
        <v>167</v>
      </c>
    </row>
    <row r="4549" spans="2:6" x14ac:dyDescent="0.3">
      <c r="B4549" s="12">
        <v>4546</v>
      </c>
      <c r="C4549" s="28">
        <v>158.83840669294571</v>
      </c>
      <c r="E4549" s="14" t="s">
        <v>4627</v>
      </c>
      <c r="F4549" s="11">
        <v>163</v>
      </c>
    </row>
    <row r="4550" spans="2:6" x14ac:dyDescent="0.3">
      <c r="B4550" s="12">
        <v>4547</v>
      </c>
      <c r="C4550" s="28">
        <v>166.53302666787846</v>
      </c>
      <c r="E4550" s="14" t="s">
        <v>882</v>
      </c>
      <c r="F4550" s="11">
        <v>160</v>
      </c>
    </row>
    <row r="4551" spans="2:6" x14ac:dyDescent="0.3">
      <c r="B4551" s="12">
        <v>4548</v>
      </c>
      <c r="C4551" s="28">
        <v>148.9873686737231</v>
      </c>
      <c r="E4551" s="14" t="s">
        <v>3635</v>
      </c>
      <c r="F4551" s="11">
        <v>173</v>
      </c>
    </row>
    <row r="4552" spans="2:6" x14ac:dyDescent="0.3">
      <c r="B4552" s="12">
        <v>4549</v>
      </c>
      <c r="C4552" s="28">
        <v>171.50012217906456</v>
      </c>
      <c r="E4552" s="14" t="s">
        <v>4962</v>
      </c>
      <c r="F4552" s="11">
        <v>167</v>
      </c>
    </row>
    <row r="4553" spans="2:6" x14ac:dyDescent="0.3">
      <c r="B4553" s="12">
        <v>4550</v>
      </c>
      <c r="C4553" s="28">
        <v>167.82061149936482</v>
      </c>
      <c r="E4553" s="14" t="s">
        <v>1542</v>
      </c>
      <c r="F4553" s="11">
        <v>172</v>
      </c>
    </row>
    <row r="4554" spans="2:6" x14ac:dyDescent="0.3">
      <c r="B4554" s="12">
        <v>4551</v>
      </c>
      <c r="C4554" s="28">
        <v>161.47605949152367</v>
      </c>
      <c r="E4554" s="14" t="s">
        <v>2041</v>
      </c>
      <c r="F4554" s="11">
        <v>174</v>
      </c>
    </row>
    <row r="4555" spans="2:6" x14ac:dyDescent="0.3">
      <c r="B4555" s="12">
        <v>4552</v>
      </c>
      <c r="C4555" s="28">
        <v>168.02658093033241</v>
      </c>
      <c r="E4555" s="14" t="s">
        <v>2133</v>
      </c>
      <c r="F4555" s="11">
        <v>173</v>
      </c>
    </row>
    <row r="4556" spans="2:6" x14ac:dyDescent="0.3">
      <c r="B4556" s="12">
        <v>4553</v>
      </c>
      <c r="C4556" s="28">
        <v>163.1064175633984</v>
      </c>
      <c r="E4556" s="14" t="s">
        <v>2406</v>
      </c>
      <c r="F4556" s="11">
        <v>176</v>
      </c>
    </row>
    <row r="4557" spans="2:6" x14ac:dyDescent="0.3">
      <c r="B4557" s="12">
        <v>4554</v>
      </c>
      <c r="C4557" s="28">
        <v>167.67941710681967</v>
      </c>
      <c r="E4557" s="14" t="s">
        <v>2901</v>
      </c>
      <c r="F4557" s="11">
        <v>152</v>
      </c>
    </row>
    <row r="4558" spans="2:6" x14ac:dyDescent="0.3">
      <c r="B4558" s="12">
        <v>4555</v>
      </c>
      <c r="C4558" s="28">
        <v>159.92856002281403</v>
      </c>
      <c r="E4558" s="14" t="s">
        <v>1145</v>
      </c>
      <c r="F4558" s="11">
        <v>172</v>
      </c>
    </row>
    <row r="4559" spans="2:6" x14ac:dyDescent="0.3">
      <c r="B4559" s="12">
        <v>4556</v>
      </c>
      <c r="C4559" s="28">
        <v>157.50243950925298</v>
      </c>
      <c r="E4559" s="14" t="s">
        <v>3663</v>
      </c>
      <c r="F4559" s="11">
        <v>167</v>
      </c>
    </row>
    <row r="4560" spans="2:6" x14ac:dyDescent="0.3">
      <c r="B4560" s="12">
        <v>4557</v>
      </c>
      <c r="C4560" s="28">
        <v>151.24839401148532</v>
      </c>
      <c r="E4560" s="14" t="s">
        <v>4412</v>
      </c>
      <c r="F4560" s="11">
        <v>160</v>
      </c>
    </row>
    <row r="4561" spans="2:6" x14ac:dyDescent="0.3">
      <c r="B4561" s="12">
        <v>4558</v>
      </c>
      <c r="C4561" s="28">
        <v>166.3283596972442</v>
      </c>
      <c r="E4561" s="14" t="s">
        <v>2959</v>
      </c>
      <c r="F4561" s="11">
        <v>167</v>
      </c>
    </row>
    <row r="4562" spans="2:6" x14ac:dyDescent="0.3">
      <c r="B4562" s="12">
        <v>4559</v>
      </c>
      <c r="C4562" s="28">
        <v>170.06943028045913</v>
      </c>
      <c r="E4562" s="14" t="s">
        <v>428</v>
      </c>
      <c r="F4562" s="11">
        <v>170</v>
      </c>
    </row>
    <row r="4563" spans="2:6" x14ac:dyDescent="0.3">
      <c r="B4563" s="12">
        <v>4560</v>
      </c>
      <c r="C4563" s="28">
        <v>163.44772055162821</v>
      </c>
      <c r="E4563" s="14" t="s">
        <v>4143</v>
      </c>
      <c r="F4563" s="11">
        <v>165</v>
      </c>
    </row>
    <row r="4564" spans="2:6" x14ac:dyDescent="0.3">
      <c r="B4564" s="12">
        <v>4561</v>
      </c>
      <c r="C4564" s="28">
        <v>165.08173220880693</v>
      </c>
      <c r="E4564" s="14" t="s">
        <v>1510</v>
      </c>
      <c r="F4564" s="11">
        <v>172</v>
      </c>
    </row>
    <row r="4565" spans="2:6" x14ac:dyDescent="0.3">
      <c r="B4565" s="12">
        <v>4562</v>
      </c>
      <c r="C4565" s="28">
        <v>161.61959073431504</v>
      </c>
      <c r="E4565" s="14" t="s">
        <v>34</v>
      </c>
      <c r="F4565" s="11">
        <v>193</v>
      </c>
    </row>
    <row r="4566" spans="2:6" x14ac:dyDescent="0.3">
      <c r="B4566" s="12">
        <v>4563</v>
      </c>
      <c r="C4566" s="28">
        <v>158.24066294743281</v>
      </c>
      <c r="E4566" s="14" t="s">
        <v>940</v>
      </c>
      <c r="F4566" s="11">
        <v>168</v>
      </c>
    </row>
    <row r="4567" spans="2:6" x14ac:dyDescent="0.3">
      <c r="B4567" s="12">
        <v>4564</v>
      </c>
      <c r="C4567" s="28">
        <v>162.60875945866655</v>
      </c>
      <c r="E4567" s="14" t="s">
        <v>3410</v>
      </c>
      <c r="F4567" s="11">
        <v>170</v>
      </c>
    </row>
    <row r="4568" spans="2:6" x14ac:dyDescent="0.3">
      <c r="B4568" s="12">
        <v>4565</v>
      </c>
      <c r="C4568" s="28">
        <v>149.1245582526812</v>
      </c>
      <c r="E4568" s="14" t="s">
        <v>4938</v>
      </c>
      <c r="F4568" s="11">
        <v>164</v>
      </c>
    </row>
    <row r="4569" spans="2:6" x14ac:dyDescent="0.3">
      <c r="B4569" s="12">
        <v>4566</v>
      </c>
      <c r="C4569" s="28">
        <v>170.57832096507326</v>
      </c>
      <c r="E4569" s="14" t="s">
        <v>1768</v>
      </c>
      <c r="F4569" s="11">
        <v>172</v>
      </c>
    </row>
    <row r="4570" spans="2:6" x14ac:dyDescent="0.3">
      <c r="B4570" s="12">
        <v>4567</v>
      </c>
      <c r="C4570" s="28">
        <v>145.67685561158112</v>
      </c>
      <c r="E4570" s="14" t="s">
        <v>254</v>
      </c>
      <c r="F4570" s="11">
        <v>184</v>
      </c>
    </row>
    <row r="4571" spans="2:6" x14ac:dyDescent="0.3">
      <c r="B4571" s="12">
        <v>4568</v>
      </c>
      <c r="C4571" s="28">
        <v>162.01419773001592</v>
      </c>
      <c r="E4571" s="14" t="s">
        <v>1987</v>
      </c>
      <c r="F4571" s="11">
        <v>159</v>
      </c>
    </row>
    <row r="4572" spans="2:6" x14ac:dyDescent="0.3">
      <c r="B4572" s="12">
        <v>4569</v>
      </c>
      <c r="C4572" s="28">
        <v>161.20189495076548</v>
      </c>
      <c r="E4572" s="14" t="s">
        <v>499</v>
      </c>
      <c r="F4572" s="11">
        <v>170</v>
      </c>
    </row>
    <row r="4573" spans="2:6" x14ac:dyDescent="0.3">
      <c r="B4573" s="12">
        <v>4570</v>
      </c>
      <c r="C4573" s="28">
        <v>151.82382405618171</v>
      </c>
      <c r="E4573" s="14" t="s">
        <v>4076</v>
      </c>
      <c r="F4573" s="11">
        <v>178</v>
      </c>
    </row>
    <row r="4574" spans="2:6" x14ac:dyDescent="0.3">
      <c r="B4574" s="12">
        <v>4571</v>
      </c>
      <c r="C4574" s="28">
        <v>173.44378978629865</v>
      </c>
      <c r="E4574" s="14" t="s">
        <v>861</v>
      </c>
      <c r="F4574" s="11">
        <v>170</v>
      </c>
    </row>
    <row r="4575" spans="2:6" x14ac:dyDescent="0.3">
      <c r="B4575" s="12">
        <v>4572</v>
      </c>
      <c r="C4575" s="28">
        <v>164.78993409549884</v>
      </c>
      <c r="E4575" s="14" t="s">
        <v>1240</v>
      </c>
      <c r="F4575" s="11">
        <v>146</v>
      </c>
    </row>
    <row r="4576" spans="2:6" x14ac:dyDescent="0.3">
      <c r="B4576" s="12">
        <v>4573</v>
      </c>
      <c r="C4576" s="28">
        <v>160.91156597327293</v>
      </c>
      <c r="E4576" s="14" t="s">
        <v>1498</v>
      </c>
      <c r="F4576" s="11">
        <v>176</v>
      </c>
    </row>
    <row r="4577" spans="2:6" x14ac:dyDescent="0.3">
      <c r="B4577" s="12">
        <v>4574</v>
      </c>
      <c r="C4577" s="28">
        <v>168.68594503508925</v>
      </c>
      <c r="E4577" s="14" t="s">
        <v>4881</v>
      </c>
      <c r="F4577" s="11">
        <v>175</v>
      </c>
    </row>
    <row r="4578" spans="2:6" x14ac:dyDescent="0.3">
      <c r="B4578" s="12">
        <v>4575</v>
      </c>
      <c r="C4578" s="28">
        <v>168.27402508525793</v>
      </c>
      <c r="E4578" s="14" t="s">
        <v>1370</v>
      </c>
      <c r="F4578" s="11">
        <v>173</v>
      </c>
    </row>
    <row r="4579" spans="2:6" x14ac:dyDescent="0.3">
      <c r="B4579" s="12">
        <v>4576</v>
      </c>
      <c r="C4579" s="28">
        <v>149.9756487434648</v>
      </c>
      <c r="E4579" s="14" t="s">
        <v>1253</v>
      </c>
      <c r="F4579" s="11">
        <v>165</v>
      </c>
    </row>
    <row r="4580" spans="2:6" x14ac:dyDescent="0.3">
      <c r="B4580" s="12">
        <v>4577</v>
      </c>
      <c r="C4580" s="28">
        <v>168.44191630275878</v>
      </c>
      <c r="E4580" s="14" t="s">
        <v>892</v>
      </c>
      <c r="F4580" s="11">
        <v>185</v>
      </c>
    </row>
    <row r="4581" spans="2:6" x14ac:dyDescent="0.3">
      <c r="B4581" s="12">
        <v>4578</v>
      </c>
      <c r="C4581" s="28">
        <v>158.7760701845169</v>
      </c>
      <c r="E4581" s="14" t="s">
        <v>2817</v>
      </c>
      <c r="F4581" s="11">
        <v>155</v>
      </c>
    </row>
    <row r="4582" spans="2:6" x14ac:dyDescent="0.3">
      <c r="B4582" s="12">
        <v>4579</v>
      </c>
      <c r="C4582" s="28">
        <v>176.31846375064762</v>
      </c>
      <c r="E4582" s="14" t="s">
        <v>4620</v>
      </c>
      <c r="F4582" s="11">
        <v>181</v>
      </c>
    </row>
    <row r="4583" spans="2:6" x14ac:dyDescent="0.3">
      <c r="B4583" s="12">
        <v>4580</v>
      </c>
      <c r="C4583" s="28">
        <v>162.16182393147869</v>
      </c>
      <c r="E4583" s="14" t="s">
        <v>2664</v>
      </c>
      <c r="F4583" s="11">
        <v>180</v>
      </c>
    </row>
    <row r="4584" spans="2:6" x14ac:dyDescent="0.3">
      <c r="B4584" s="12">
        <v>4581</v>
      </c>
      <c r="C4584" s="28">
        <v>174.84533359198167</v>
      </c>
      <c r="E4584" s="14" t="s">
        <v>971</v>
      </c>
      <c r="F4584" s="11">
        <v>159</v>
      </c>
    </row>
    <row r="4585" spans="2:6" x14ac:dyDescent="0.3">
      <c r="B4585" s="12">
        <v>4582</v>
      </c>
      <c r="C4585" s="28">
        <v>166.71670233763663</v>
      </c>
      <c r="E4585" s="14" t="s">
        <v>1323</v>
      </c>
      <c r="F4585" s="11">
        <v>168</v>
      </c>
    </row>
    <row r="4586" spans="2:6" x14ac:dyDescent="0.3">
      <c r="B4586" s="12">
        <v>4583</v>
      </c>
      <c r="C4586" s="28">
        <v>158.62875509812096</v>
      </c>
      <c r="E4586" s="14" t="s">
        <v>4735</v>
      </c>
      <c r="F4586" s="11">
        <v>185</v>
      </c>
    </row>
    <row r="4587" spans="2:6" x14ac:dyDescent="0.3">
      <c r="B4587" s="12">
        <v>4584</v>
      </c>
      <c r="C4587" s="28">
        <v>165.15801491617162</v>
      </c>
      <c r="E4587" s="14" t="s">
        <v>42</v>
      </c>
      <c r="F4587" s="11">
        <v>168</v>
      </c>
    </row>
    <row r="4588" spans="2:6" x14ac:dyDescent="0.3">
      <c r="B4588" s="12">
        <v>4585</v>
      </c>
      <c r="C4588" s="28">
        <v>156.40732564784881</v>
      </c>
      <c r="E4588" s="14" t="s">
        <v>4577</v>
      </c>
      <c r="F4588" s="11">
        <v>180</v>
      </c>
    </row>
    <row r="4589" spans="2:6" x14ac:dyDescent="0.3">
      <c r="B4589" s="12">
        <v>4586</v>
      </c>
      <c r="C4589" s="28">
        <v>167.07178741393975</v>
      </c>
      <c r="E4589" s="14" t="s">
        <v>4522</v>
      </c>
      <c r="F4589" s="11">
        <v>157</v>
      </c>
    </row>
    <row r="4590" spans="2:6" x14ac:dyDescent="0.3">
      <c r="B4590" s="12">
        <v>4587</v>
      </c>
      <c r="C4590" s="28">
        <v>166.7017324130467</v>
      </c>
      <c r="E4590" s="14" t="s">
        <v>312</v>
      </c>
      <c r="F4590" s="11">
        <v>168</v>
      </c>
    </row>
    <row r="4591" spans="2:6" x14ac:dyDescent="0.3">
      <c r="B4591" s="12">
        <v>4588</v>
      </c>
      <c r="C4591" s="28">
        <v>152.76642194657984</v>
      </c>
      <c r="E4591" s="14" t="s">
        <v>440</v>
      </c>
      <c r="F4591" s="11">
        <v>168</v>
      </c>
    </row>
    <row r="4592" spans="2:6" x14ac:dyDescent="0.3">
      <c r="B4592" s="12">
        <v>4589</v>
      </c>
      <c r="C4592" s="28">
        <v>153.04212955876093</v>
      </c>
      <c r="E4592" s="14" t="s">
        <v>699</v>
      </c>
      <c r="F4592" s="11">
        <v>163</v>
      </c>
    </row>
    <row r="4593" spans="2:6" x14ac:dyDescent="0.3">
      <c r="B4593" s="12">
        <v>4590</v>
      </c>
      <c r="C4593" s="28">
        <v>169.41107029171567</v>
      </c>
      <c r="E4593" s="14" t="s">
        <v>630</v>
      </c>
      <c r="F4593" s="11">
        <v>168</v>
      </c>
    </row>
    <row r="4594" spans="2:6" x14ac:dyDescent="0.3">
      <c r="B4594" s="12">
        <v>4591</v>
      </c>
      <c r="C4594" s="28">
        <v>151.79026849557516</v>
      </c>
      <c r="E4594" s="14" t="s">
        <v>414</v>
      </c>
      <c r="F4594" s="11">
        <v>167</v>
      </c>
    </row>
    <row r="4595" spans="2:6" x14ac:dyDescent="0.3">
      <c r="B4595" s="12">
        <v>4592</v>
      </c>
      <c r="C4595" s="28">
        <v>171.85758755197747</v>
      </c>
      <c r="E4595" s="14" t="s">
        <v>2211</v>
      </c>
      <c r="F4595" s="11">
        <v>175</v>
      </c>
    </row>
    <row r="4596" spans="2:6" x14ac:dyDescent="0.3">
      <c r="B4596" s="12">
        <v>4593</v>
      </c>
      <c r="C4596" s="28">
        <v>158.78023097283867</v>
      </c>
      <c r="E4596" s="14" t="s">
        <v>1806</v>
      </c>
      <c r="F4596" s="11">
        <v>160</v>
      </c>
    </row>
    <row r="4597" spans="2:6" x14ac:dyDescent="0.3">
      <c r="B4597" s="12">
        <v>4594</v>
      </c>
      <c r="C4597" s="28">
        <v>150.64538195970388</v>
      </c>
      <c r="E4597" s="14" t="s">
        <v>4825</v>
      </c>
      <c r="F4597" s="11">
        <v>166</v>
      </c>
    </row>
    <row r="4598" spans="2:6" x14ac:dyDescent="0.3">
      <c r="B4598" s="12">
        <v>4595</v>
      </c>
      <c r="C4598" s="28">
        <v>167.59447953643405</v>
      </c>
      <c r="E4598" s="14" t="s">
        <v>3455</v>
      </c>
      <c r="F4598" s="11">
        <v>182</v>
      </c>
    </row>
    <row r="4599" spans="2:6" x14ac:dyDescent="0.3">
      <c r="B4599" s="12">
        <v>4596</v>
      </c>
      <c r="C4599" s="28">
        <v>170.73917394064759</v>
      </c>
      <c r="E4599" s="14" t="s">
        <v>2188</v>
      </c>
      <c r="F4599" s="11">
        <v>171</v>
      </c>
    </row>
    <row r="4600" spans="2:6" x14ac:dyDescent="0.3">
      <c r="B4600" s="12">
        <v>4597</v>
      </c>
      <c r="C4600" s="28">
        <v>160.64646891788513</v>
      </c>
      <c r="E4600" s="14" t="s">
        <v>2539</v>
      </c>
      <c r="F4600" s="11">
        <v>178</v>
      </c>
    </row>
    <row r="4601" spans="2:6" x14ac:dyDescent="0.3">
      <c r="B4601" s="12">
        <v>4598</v>
      </c>
      <c r="C4601" s="28">
        <v>158.89626421622432</v>
      </c>
      <c r="E4601" s="14" t="s">
        <v>1833</v>
      </c>
      <c r="F4601" s="11">
        <v>170</v>
      </c>
    </row>
    <row r="4602" spans="2:6" x14ac:dyDescent="0.3">
      <c r="B4602" s="12">
        <v>4599</v>
      </c>
      <c r="C4602" s="28">
        <v>163.59841581479998</v>
      </c>
      <c r="E4602" s="14" t="s">
        <v>2627</v>
      </c>
      <c r="F4602" s="11">
        <v>157</v>
      </c>
    </row>
    <row r="4603" spans="2:6" x14ac:dyDescent="0.3">
      <c r="B4603" s="12">
        <v>4600</v>
      </c>
      <c r="C4603" s="28">
        <v>158.70233248426791</v>
      </c>
      <c r="E4603" s="14" t="s">
        <v>3041</v>
      </c>
      <c r="F4603" s="11">
        <v>177</v>
      </c>
    </row>
    <row r="4604" spans="2:6" x14ac:dyDescent="0.3">
      <c r="B4604" s="12">
        <v>4601</v>
      </c>
      <c r="C4604" s="28">
        <v>165.51707228840851</v>
      </c>
      <c r="E4604" s="14" t="s">
        <v>2493</v>
      </c>
      <c r="F4604" s="11">
        <v>163</v>
      </c>
    </row>
    <row r="4605" spans="2:6" x14ac:dyDescent="0.3">
      <c r="B4605" s="12">
        <v>4602</v>
      </c>
      <c r="C4605" s="28">
        <v>157.4730914293211</v>
      </c>
      <c r="E4605" s="14" t="s">
        <v>871</v>
      </c>
      <c r="F4605" s="11">
        <v>176</v>
      </c>
    </row>
    <row r="4606" spans="2:6" x14ac:dyDescent="0.3">
      <c r="B4606" s="12">
        <v>4603</v>
      </c>
      <c r="C4606" s="28">
        <v>162.77313539718833</v>
      </c>
      <c r="E4606" s="14" t="s">
        <v>2695</v>
      </c>
      <c r="F4606" s="11">
        <v>168</v>
      </c>
    </row>
    <row r="4607" spans="2:6" x14ac:dyDescent="0.3">
      <c r="B4607" s="12">
        <v>4604</v>
      </c>
      <c r="C4607" s="28">
        <v>165.63014973629734</v>
      </c>
      <c r="E4607" s="14" t="s">
        <v>1281</v>
      </c>
      <c r="F4607" s="11">
        <v>165</v>
      </c>
    </row>
    <row r="4608" spans="2:6" x14ac:dyDescent="0.3">
      <c r="B4608" s="12">
        <v>4605</v>
      </c>
      <c r="C4608" s="28">
        <v>165.34112758276319</v>
      </c>
      <c r="E4608" s="14" t="s">
        <v>1704</v>
      </c>
      <c r="F4608" s="11">
        <v>168</v>
      </c>
    </row>
    <row r="4609" spans="2:6" x14ac:dyDescent="0.3">
      <c r="B4609" s="12">
        <v>4606</v>
      </c>
      <c r="C4609" s="28">
        <v>160.85672980508264</v>
      </c>
      <c r="E4609" s="14" t="s">
        <v>1932</v>
      </c>
      <c r="F4609" s="11">
        <v>161</v>
      </c>
    </row>
    <row r="4610" spans="2:6" x14ac:dyDescent="0.3">
      <c r="B4610" s="12">
        <v>4607</v>
      </c>
      <c r="C4610" s="28">
        <v>150.91852777958968</v>
      </c>
      <c r="E4610" s="14" t="s">
        <v>1955</v>
      </c>
      <c r="F4610" s="11">
        <v>164</v>
      </c>
    </row>
    <row r="4611" spans="2:6" x14ac:dyDescent="0.3">
      <c r="B4611" s="12">
        <v>4608</v>
      </c>
      <c r="C4611" s="28">
        <v>155.97592837368597</v>
      </c>
      <c r="E4611" s="14" t="s">
        <v>2835</v>
      </c>
      <c r="F4611" s="11">
        <v>164</v>
      </c>
    </row>
    <row r="4612" spans="2:6" x14ac:dyDescent="0.3">
      <c r="B4612" s="12">
        <v>4609</v>
      </c>
      <c r="C4612" s="28">
        <v>160.29937131235303</v>
      </c>
      <c r="E4612" s="14" t="s">
        <v>3317</v>
      </c>
      <c r="F4612" s="11">
        <v>167</v>
      </c>
    </row>
    <row r="4613" spans="2:6" x14ac:dyDescent="0.3">
      <c r="B4613" s="12">
        <v>4610</v>
      </c>
      <c r="C4613" s="28">
        <v>168.99873847301166</v>
      </c>
      <c r="E4613" s="14" t="s">
        <v>4336</v>
      </c>
      <c r="F4613" s="11">
        <v>193</v>
      </c>
    </row>
    <row r="4614" spans="2:6" x14ac:dyDescent="0.3">
      <c r="B4614" s="12">
        <v>4611</v>
      </c>
      <c r="C4614" s="28">
        <v>156.03737782027349</v>
      </c>
      <c r="E4614" s="14" t="s">
        <v>4397</v>
      </c>
      <c r="F4614" s="11">
        <v>161</v>
      </c>
    </row>
    <row r="4615" spans="2:6" x14ac:dyDescent="0.3">
      <c r="B4615" s="12">
        <v>4612</v>
      </c>
      <c r="C4615" s="28">
        <v>165.68571290874431</v>
      </c>
      <c r="E4615" s="14" t="s">
        <v>709</v>
      </c>
      <c r="F4615" s="11">
        <v>176</v>
      </c>
    </row>
    <row r="4616" spans="2:6" x14ac:dyDescent="0.3">
      <c r="B4616" s="12">
        <v>4613</v>
      </c>
      <c r="C4616" s="28">
        <v>159.86389657406755</v>
      </c>
      <c r="E4616" s="14" t="s">
        <v>2221</v>
      </c>
      <c r="F4616" s="11">
        <v>167</v>
      </c>
    </row>
    <row r="4617" spans="2:6" x14ac:dyDescent="0.3">
      <c r="B4617" s="12">
        <v>4614</v>
      </c>
      <c r="C4617" s="28">
        <v>148.98922919173103</v>
      </c>
      <c r="E4617" s="14" t="s">
        <v>3869</v>
      </c>
      <c r="F4617" s="11">
        <v>173</v>
      </c>
    </row>
    <row r="4618" spans="2:6" x14ac:dyDescent="0.3">
      <c r="B4618" s="12">
        <v>4615</v>
      </c>
      <c r="C4618" s="28">
        <v>162.68080687094431</v>
      </c>
      <c r="E4618" s="14" t="s">
        <v>1537</v>
      </c>
      <c r="F4618" s="11">
        <v>185</v>
      </c>
    </row>
    <row r="4619" spans="2:6" x14ac:dyDescent="0.3">
      <c r="B4619" s="12">
        <v>4616</v>
      </c>
      <c r="C4619" s="28">
        <v>157.28482107333932</v>
      </c>
      <c r="E4619" s="14" t="s">
        <v>3435</v>
      </c>
      <c r="F4619" s="11">
        <v>165</v>
      </c>
    </row>
    <row r="4620" spans="2:6" x14ac:dyDescent="0.3">
      <c r="B4620" s="12">
        <v>4617</v>
      </c>
      <c r="C4620" s="28">
        <v>155.5320583773142</v>
      </c>
      <c r="E4620" s="14" t="s">
        <v>171</v>
      </c>
      <c r="F4620" s="11">
        <v>190</v>
      </c>
    </row>
    <row r="4621" spans="2:6" x14ac:dyDescent="0.3">
      <c r="B4621" s="12">
        <v>4618</v>
      </c>
      <c r="C4621" s="28">
        <v>164.3229459563629</v>
      </c>
      <c r="E4621" s="14" t="s">
        <v>4356</v>
      </c>
      <c r="F4621" s="11">
        <v>178</v>
      </c>
    </row>
    <row r="4622" spans="2:6" x14ac:dyDescent="0.3">
      <c r="B4622" s="12">
        <v>4619</v>
      </c>
      <c r="C4622" s="28">
        <v>158.66366491636649</v>
      </c>
      <c r="E4622" s="14" t="s">
        <v>4431</v>
      </c>
      <c r="F4622" s="11">
        <v>178</v>
      </c>
    </row>
    <row r="4623" spans="2:6" x14ac:dyDescent="0.3">
      <c r="B4623" s="12">
        <v>4620</v>
      </c>
      <c r="C4623" s="28">
        <v>163.84813450943651</v>
      </c>
      <c r="E4623" s="14" t="s">
        <v>1945</v>
      </c>
      <c r="F4623" s="11">
        <v>183</v>
      </c>
    </row>
    <row r="4624" spans="2:6" x14ac:dyDescent="0.3">
      <c r="B4624" s="12">
        <v>4621</v>
      </c>
      <c r="C4624" s="28">
        <v>169.96429620433403</v>
      </c>
      <c r="E4624" s="14" t="s">
        <v>4964</v>
      </c>
      <c r="F4624" s="11">
        <v>174</v>
      </c>
    </row>
    <row r="4625" spans="2:6" x14ac:dyDescent="0.3">
      <c r="B4625" s="12">
        <v>4622</v>
      </c>
      <c r="C4625" s="28">
        <v>157.73786110558689</v>
      </c>
      <c r="E4625" s="14" t="s">
        <v>728</v>
      </c>
      <c r="F4625" s="11">
        <v>164</v>
      </c>
    </row>
    <row r="4626" spans="2:6" x14ac:dyDescent="0.3">
      <c r="B4626" s="12">
        <v>4623</v>
      </c>
      <c r="C4626" s="28">
        <v>170.86881212657363</v>
      </c>
      <c r="E4626" s="14" t="s">
        <v>3297</v>
      </c>
      <c r="F4626" s="11">
        <v>175</v>
      </c>
    </row>
    <row r="4627" spans="2:6" x14ac:dyDescent="0.3">
      <c r="B4627" s="12">
        <v>4624</v>
      </c>
      <c r="C4627" s="28">
        <v>166.89635024133932</v>
      </c>
      <c r="E4627" s="14" t="s">
        <v>4466</v>
      </c>
      <c r="F4627" s="11">
        <v>167</v>
      </c>
    </row>
    <row r="4628" spans="2:6" x14ac:dyDescent="0.3">
      <c r="B4628" s="12">
        <v>4625</v>
      </c>
      <c r="C4628" s="28">
        <v>164.66974422507968</v>
      </c>
      <c r="E4628" s="14" t="s">
        <v>4937</v>
      </c>
      <c r="F4628" s="11">
        <v>188</v>
      </c>
    </row>
    <row r="4629" spans="2:6" x14ac:dyDescent="0.3">
      <c r="B4629" s="12">
        <v>4626</v>
      </c>
      <c r="C4629" s="28">
        <v>147.40171985551575</v>
      </c>
      <c r="E4629" s="14" t="s">
        <v>1128</v>
      </c>
      <c r="F4629" s="11">
        <v>168</v>
      </c>
    </row>
    <row r="4630" spans="2:6" x14ac:dyDescent="0.3">
      <c r="B4630" s="12">
        <v>4627</v>
      </c>
      <c r="C4630" s="28">
        <v>164.38166279473876</v>
      </c>
      <c r="E4630" s="14" t="s">
        <v>2550</v>
      </c>
      <c r="F4630" s="11">
        <v>158</v>
      </c>
    </row>
    <row r="4631" spans="2:6" x14ac:dyDescent="0.3">
      <c r="B4631" s="12">
        <v>4628</v>
      </c>
      <c r="C4631" s="28">
        <v>155.46401113387532</v>
      </c>
      <c r="E4631" s="14" t="s">
        <v>2162</v>
      </c>
      <c r="F4631" s="11">
        <v>170</v>
      </c>
    </row>
    <row r="4632" spans="2:6" x14ac:dyDescent="0.3">
      <c r="B4632" s="12">
        <v>4629</v>
      </c>
      <c r="C4632" s="28">
        <v>165.2753472527414</v>
      </c>
      <c r="E4632" s="14" t="s">
        <v>3024</v>
      </c>
      <c r="F4632" s="11">
        <v>170</v>
      </c>
    </row>
    <row r="4633" spans="2:6" x14ac:dyDescent="0.3">
      <c r="B4633" s="12">
        <v>4630</v>
      </c>
      <c r="C4633" s="28">
        <v>148.63129745267696</v>
      </c>
      <c r="E4633" s="14" t="s">
        <v>2863</v>
      </c>
      <c r="F4633" s="11">
        <v>180</v>
      </c>
    </row>
    <row r="4634" spans="2:6" x14ac:dyDescent="0.3">
      <c r="B4634" s="12">
        <v>4631</v>
      </c>
      <c r="C4634" s="28">
        <v>169.47945022073381</v>
      </c>
      <c r="E4634" s="14" t="s">
        <v>3381</v>
      </c>
      <c r="F4634" s="11">
        <v>165</v>
      </c>
    </row>
    <row r="4635" spans="2:6" x14ac:dyDescent="0.3">
      <c r="B4635" s="12">
        <v>4632</v>
      </c>
      <c r="C4635" s="28">
        <v>171.01019909059519</v>
      </c>
      <c r="E4635" s="14" t="s">
        <v>3644</v>
      </c>
      <c r="F4635" s="11">
        <v>165</v>
      </c>
    </row>
    <row r="4636" spans="2:6" x14ac:dyDescent="0.3">
      <c r="B4636" s="12">
        <v>4633</v>
      </c>
      <c r="C4636" s="28">
        <v>149.96464292193906</v>
      </c>
      <c r="E4636" s="14" t="s">
        <v>2269</v>
      </c>
      <c r="F4636" s="11">
        <v>165</v>
      </c>
    </row>
    <row r="4637" spans="2:6" x14ac:dyDescent="0.3">
      <c r="B4637" s="12">
        <v>4634</v>
      </c>
      <c r="C4637" s="28">
        <v>178.68903895727615</v>
      </c>
      <c r="E4637" s="14" t="s">
        <v>2143</v>
      </c>
      <c r="F4637" s="11">
        <v>176</v>
      </c>
    </row>
    <row r="4638" spans="2:6" x14ac:dyDescent="0.3">
      <c r="B4638" s="12">
        <v>4635</v>
      </c>
      <c r="C4638" s="28">
        <v>167.28825523203804</v>
      </c>
      <c r="E4638" s="14" t="s">
        <v>4340</v>
      </c>
      <c r="F4638" s="11">
        <v>155</v>
      </c>
    </row>
    <row r="4639" spans="2:6" x14ac:dyDescent="0.3">
      <c r="B4639" s="12">
        <v>4636</v>
      </c>
      <c r="C4639" s="28">
        <v>160.99805611689376</v>
      </c>
      <c r="E4639" s="14" t="s">
        <v>313</v>
      </c>
      <c r="F4639" s="11">
        <v>174</v>
      </c>
    </row>
    <row r="4640" spans="2:6" x14ac:dyDescent="0.3">
      <c r="B4640" s="12">
        <v>4637</v>
      </c>
      <c r="C4640" s="28">
        <v>166.71896411748185</v>
      </c>
      <c r="E4640" s="14" t="s">
        <v>885</v>
      </c>
      <c r="F4640" s="11">
        <v>170</v>
      </c>
    </row>
    <row r="4641" spans="2:6" x14ac:dyDescent="0.3">
      <c r="B4641" s="12">
        <v>4638</v>
      </c>
      <c r="C4641" s="28">
        <v>159.08591603859026</v>
      </c>
      <c r="E4641" s="14" t="s">
        <v>1885</v>
      </c>
      <c r="F4641" s="11">
        <v>160</v>
      </c>
    </row>
    <row r="4642" spans="2:6" x14ac:dyDescent="0.3">
      <c r="B4642" s="12">
        <v>4639</v>
      </c>
      <c r="C4642" s="28">
        <v>161.788183988215</v>
      </c>
      <c r="E4642" s="14" t="s">
        <v>1641</v>
      </c>
      <c r="F4642" s="11">
        <v>176</v>
      </c>
    </row>
    <row r="4643" spans="2:6" x14ac:dyDescent="0.3">
      <c r="B4643" s="12">
        <v>4640</v>
      </c>
      <c r="C4643" s="28">
        <v>159.44049179081529</v>
      </c>
      <c r="E4643" s="14" t="s">
        <v>335</v>
      </c>
      <c r="F4643" s="11">
        <v>162</v>
      </c>
    </row>
    <row r="4644" spans="2:6" x14ac:dyDescent="0.3">
      <c r="B4644" s="12">
        <v>4641</v>
      </c>
      <c r="C4644" s="28">
        <v>168.86792976455365</v>
      </c>
      <c r="E4644" s="14" t="s">
        <v>3701</v>
      </c>
      <c r="F4644" s="11">
        <v>170</v>
      </c>
    </row>
    <row r="4645" spans="2:6" x14ac:dyDescent="0.3">
      <c r="B4645" s="12">
        <v>4642</v>
      </c>
      <c r="C4645" s="28">
        <v>167.27949016773968</v>
      </c>
      <c r="E4645" s="14" t="s">
        <v>759</v>
      </c>
      <c r="F4645" s="11">
        <v>153</v>
      </c>
    </row>
    <row r="4646" spans="2:6" x14ac:dyDescent="0.3">
      <c r="B4646" s="12">
        <v>4643</v>
      </c>
      <c r="C4646" s="28">
        <v>171.65665363441886</v>
      </c>
      <c r="E4646" s="14" t="s">
        <v>727</v>
      </c>
      <c r="F4646" s="11">
        <v>164</v>
      </c>
    </row>
    <row r="4647" spans="2:6" x14ac:dyDescent="0.3">
      <c r="B4647" s="12">
        <v>4644</v>
      </c>
      <c r="C4647" s="28">
        <v>147.67032374029648</v>
      </c>
      <c r="E4647" s="14" t="s">
        <v>276</v>
      </c>
      <c r="F4647" s="11">
        <v>176</v>
      </c>
    </row>
    <row r="4648" spans="2:6" x14ac:dyDescent="0.3">
      <c r="B4648" s="12">
        <v>4645</v>
      </c>
      <c r="C4648" s="28">
        <v>154.24106055408004</v>
      </c>
      <c r="E4648" s="14" t="s">
        <v>765</v>
      </c>
      <c r="F4648" s="11">
        <v>162</v>
      </c>
    </row>
    <row r="4649" spans="2:6" x14ac:dyDescent="0.3">
      <c r="B4649" s="12">
        <v>4646</v>
      </c>
      <c r="C4649" s="28">
        <v>165.44513450805221</v>
      </c>
      <c r="E4649" s="14" t="s">
        <v>467</v>
      </c>
      <c r="F4649" s="11">
        <v>180</v>
      </c>
    </row>
    <row r="4650" spans="2:6" x14ac:dyDescent="0.3">
      <c r="B4650" s="12">
        <v>4647</v>
      </c>
      <c r="C4650" s="28">
        <v>170.56799967317332</v>
      </c>
      <c r="E4650" s="14" t="s">
        <v>4496</v>
      </c>
      <c r="F4650" s="11">
        <v>158</v>
      </c>
    </row>
    <row r="4651" spans="2:6" x14ac:dyDescent="0.3">
      <c r="B4651" s="12">
        <v>4648</v>
      </c>
      <c r="C4651" s="28">
        <v>157.23098080088346</v>
      </c>
      <c r="E4651" s="14" t="s">
        <v>4631</v>
      </c>
      <c r="F4651" s="11">
        <v>155</v>
      </c>
    </row>
    <row r="4652" spans="2:6" x14ac:dyDescent="0.3">
      <c r="B4652" s="12">
        <v>4649</v>
      </c>
      <c r="C4652" s="28">
        <v>165.28202998384532</v>
      </c>
      <c r="E4652" s="14" t="s">
        <v>3033</v>
      </c>
      <c r="F4652" s="11">
        <v>171</v>
      </c>
    </row>
    <row r="4653" spans="2:6" x14ac:dyDescent="0.3">
      <c r="B4653" s="12">
        <v>4650</v>
      </c>
      <c r="C4653" s="28">
        <v>162.3307881152771</v>
      </c>
      <c r="E4653" s="14" t="s">
        <v>83</v>
      </c>
      <c r="F4653" s="11">
        <v>160</v>
      </c>
    </row>
    <row r="4654" spans="2:6" x14ac:dyDescent="0.3">
      <c r="B4654" s="12">
        <v>4651</v>
      </c>
      <c r="C4654" s="28">
        <v>158.14224262326445</v>
      </c>
      <c r="E4654" s="14" t="s">
        <v>4644</v>
      </c>
      <c r="F4654" s="11">
        <v>175</v>
      </c>
    </row>
    <row r="4655" spans="2:6" x14ac:dyDescent="0.3">
      <c r="B4655" s="12">
        <v>4652</v>
      </c>
      <c r="C4655" s="28">
        <v>163.60432674158085</v>
      </c>
      <c r="E4655" s="14" t="s">
        <v>4645</v>
      </c>
      <c r="F4655" s="11">
        <v>188</v>
      </c>
    </row>
    <row r="4656" spans="2:6" x14ac:dyDescent="0.3">
      <c r="B4656" s="12">
        <v>4653</v>
      </c>
      <c r="C4656" s="28">
        <v>165.77258007437385</v>
      </c>
      <c r="E4656" s="14" t="s">
        <v>4647</v>
      </c>
      <c r="F4656" s="11">
        <v>167</v>
      </c>
    </row>
    <row r="4657" spans="2:6" x14ac:dyDescent="0.3">
      <c r="B4657" s="12">
        <v>4654</v>
      </c>
      <c r="C4657" s="28">
        <v>170.70738254934378</v>
      </c>
      <c r="E4657" s="14" t="s">
        <v>4648</v>
      </c>
      <c r="F4657" s="11">
        <v>170</v>
      </c>
    </row>
    <row r="4658" spans="2:6" x14ac:dyDescent="0.3">
      <c r="B4658" s="12">
        <v>4655</v>
      </c>
      <c r="C4658" s="28">
        <v>156.94943956797084</v>
      </c>
      <c r="E4658" s="14" t="s">
        <v>4649</v>
      </c>
      <c r="F4658" s="11">
        <v>166</v>
      </c>
    </row>
    <row r="4659" spans="2:6" x14ac:dyDescent="0.3">
      <c r="B4659" s="12">
        <v>4656</v>
      </c>
      <c r="C4659" s="28">
        <v>170.28981496717225</v>
      </c>
      <c r="E4659" s="14" t="s">
        <v>4650</v>
      </c>
      <c r="F4659" s="11">
        <v>172</v>
      </c>
    </row>
    <row r="4660" spans="2:6" x14ac:dyDescent="0.3">
      <c r="B4660" s="12">
        <v>4657</v>
      </c>
      <c r="C4660" s="28">
        <v>160.29006796136136</v>
      </c>
      <c r="E4660" s="14" t="s">
        <v>4651</v>
      </c>
      <c r="F4660" s="11">
        <v>169</v>
      </c>
    </row>
    <row r="4661" spans="2:6" x14ac:dyDescent="0.3">
      <c r="B4661" s="12">
        <v>4658</v>
      </c>
      <c r="C4661" s="28">
        <v>163.09422836725892</v>
      </c>
      <c r="E4661" s="14" t="s">
        <v>4652</v>
      </c>
      <c r="F4661" s="11">
        <v>174</v>
      </c>
    </row>
    <row r="4662" spans="2:6" x14ac:dyDescent="0.3">
      <c r="B4662" s="12">
        <v>4659</v>
      </c>
      <c r="C4662" s="28">
        <v>162.03226401533516</v>
      </c>
      <c r="E4662" s="14" t="s">
        <v>4653</v>
      </c>
      <c r="F4662" s="11">
        <v>165</v>
      </c>
    </row>
    <row r="4663" spans="2:6" x14ac:dyDescent="0.3">
      <c r="B4663" s="12">
        <v>4660</v>
      </c>
      <c r="C4663" s="28">
        <v>158.54165177268408</v>
      </c>
      <c r="E4663" s="14" t="s">
        <v>4654</v>
      </c>
      <c r="F4663" s="11">
        <v>169</v>
      </c>
    </row>
    <row r="4664" spans="2:6" x14ac:dyDescent="0.3">
      <c r="B4664" s="12">
        <v>4661</v>
      </c>
      <c r="C4664" s="28">
        <v>156.44541775643225</v>
      </c>
      <c r="E4664" s="14" t="s">
        <v>4655</v>
      </c>
      <c r="F4664" s="11">
        <v>181</v>
      </c>
    </row>
    <row r="4665" spans="2:6" x14ac:dyDescent="0.3">
      <c r="B4665" s="12">
        <v>4662</v>
      </c>
      <c r="C4665" s="28">
        <v>164.20362902476739</v>
      </c>
      <c r="E4665" s="14" t="s">
        <v>4656</v>
      </c>
      <c r="F4665" s="11">
        <v>178</v>
      </c>
    </row>
    <row r="4666" spans="2:6" x14ac:dyDescent="0.3">
      <c r="B4666" s="12">
        <v>4663</v>
      </c>
      <c r="C4666" s="28">
        <v>169.16293520134323</v>
      </c>
      <c r="E4666" s="14" t="s">
        <v>4657</v>
      </c>
      <c r="F4666" s="11">
        <v>140</v>
      </c>
    </row>
    <row r="4667" spans="2:6" x14ac:dyDescent="0.3">
      <c r="B4667" s="12">
        <v>4664</v>
      </c>
      <c r="C4667" s="28">
        <v>164.23488542325316</v>
      </c>
      <c r="E4667" s="14" t="s">
        <v>4658</v>
      </c>
      <c r="F4667" s="11">
        <v>178</v>
      </c>
    </row>
    <row r="4668" spans="2:6" x14ac:dyDescent="0.3">
      <c r="B4668" s="12">
        <v>4665</v>
      </c>
      <c r="C4668" s="28">
        <v>162.20256916414505</v>
      </c>
      <c r="E4668" s="14" t="s">
        <v>4659</v>
      </c>
      <c r="F4668" s="11">
        <v>187</v>
      </c>
    </row>
    <row r="4669" spans="2:6" x14ac:dyDescent="0.3">
      <c r="B4669" s="12">
        <v>4666</v>
      </c>
      <c r="C4669" s="28">
        <v>154.6510831351633</v>
      </c>
      <c r="E4669" s="14" t="s">
        <v>4660</v>
      </c>
      <c r="F4669" s="11">
        <v>175</v>
      </c>
    </row>
    <row r="4670" spans="2:6" x14ac:dyDescent="0.3">
      <c r="B4670" s="12">
        <v>4667</v>
      </c>
      <c r="C4670" s="28">
        <v>158.94975107936014</v>
      </c>
      <c r="E4670" s="14" t="s">
        <v>4682</v>
      </c>
      <c r="F4670" s="11">
        <v>168</v>
      </c>
    </row>
    <row r="4671" spans="2:6" x14ac:dyDescent="0.3">
      <c r="B4671" s="12">
        <v>4668</v>
      </c>
      <c r="C4671" s="28">
        <v>153.92256866390383</v>
      </c>
      <c r="E4671" s="14" t="s">
        <v>4683</v>
      </c>
      <c r="F4671" s="11">
        <v>167</v>
      </c>
    </row>
    <row r="4672" spans="2:6" x14ac:dyDescent="0.3">
      <c r="B4672" s="12">
        <v>4669</v>
      </c>
      <c r="C4672" s="28">
        <v>152.7960650478602</v>
      </c>
      <c r="E4672" s="14" t="s">
        <v>4684</v>
      </c>
      <c r="F4672" s="11">
        <v>182</v>
      </c>
    </row>
    <row r="4673" spans="2:6" x14ac:dyDescent="0.3">
      <c r="B4673" s="12">
        <v>4670</v>
      </c>
      <c r="C4673" s="28">
        <v>155.30505530198778</v>
      </c>
      <c r="E4673" s="14" t="s">
        <v>4685</v>
      </c>
      <c r="F4673" s="11">
        <v>168</v>
      </c>
    </row>
    <row r="4674" spans="2:6" x14ac:dyDescent="0.3">
      <c r="B4674" s="12">
        <v>4671</v>
      </c>
      <c r="C4674" s="28">
        <v>156.18825194621172</v>
      </c>
      <c r="E4674" s="14" t="s">
        <v>3017</v>
      </c>
      <c r="F4674" s="11">
        <v>165</v>
      </c>
    </row>
    <row r="4675" spans="2:6" x14ac:dyDescent="0.3">
      <c r="B4675" s="12">
        <v>4672</v>
      </c>
      <c r="C4675" s="28">
        <v>158.75781911471506</v>
      </c>
      <c r="E4675" s="14" t="s">
        <v>3598</v>
      </c>
      <c r="F4675" s="11">
        <v>187</v>
      </c>
    </row>
    <row r="4676" spans="2:6" x14ac:dyDescent="0.3">
      <c r="B4676" s="12">
        <v>4673</v>
      </c>
      <c r="C4676" s="28">
        <v>161.90061326686018</v>
      </c>
      <c r="E4676" s="14" t="s">
        <v>843</v>
      </c>
      <c r="F4676" s="11">
        <v>162</v>
      </c>
    </row>
    <row r="4677" spans="2:6" x14ac:dyDescent="0.3">
      <c r="B4677" s="12">
        <v>4674</v>
      </c>
      <c r="C4677" s="28">
        <v>154.3163933675909</v>
      </c>
      <c r="E4677" s="14" t="s">
        <v>990</v>
      </c>
      <c r="F4677" s="11">
        <v>170</v>
      </c>
    </row>
    <row r="4678" spans="2:6" x14ac:dyDescent="0.3">
      <c r="B4678" s="12">
        <v>4675</v>
      </c>
      <c r="C4678" s="28">
        <v>160.86494199560642</v>
      </c>
      <c r="E4678" s="14" t="s">
        <v>1157</v>
      </c>
      <c r="F4678" s="11">
        <v>170</v>
      </c>
    </row>
    <row r="4679" spans="2:6" x14ac:dyDescent="0.3">
      <c r="B4679" s="12">
        <v>4676</v>
      </c>
      <c r="C4679" s="28">
        <v>166.03415878801829</v>
      </c>
      <c r="E4679" s="14" t="s">
        <v>231</v>
      </c>
      <c r="F4679" s="11">
        <v>178</v>
      </c>
    </row>
    <row r="4680" spans="2:6" x14ac:dyDescent="0.3">
      <c r="B4680" s="12">
        <v>4677</v>
      </c>
      <c r="C4680" s="28">
        <v>161.8649476759949</v>
      </c>
      <c r="E4680" s="14" t="s">
        <v>1036</v>
      </c>
      <c r="F4680" s="11">
        <v>180</v>
      </c>
    </row>
    <row r="4681" spans="2:6" x14ac:dyDescent="0.3">
      <c r="B4681" s="12">
        <v>4678</v>
      </c>
      <c r="C4681" s="28">
        <v>162.26300373197847</v>
      </c>
      <c r="E4681" s="14" t="s">
        <v>4509</v>
      </c>
      <c r="F4681" s="11">
        <v>177</v>
      </c>
    </row>
    <row r="4682" spans="2:6" x14ac:dyDescent="0.3">
      <c r="B4682" s="12">
        <v>4679</v>
      </c>
      <c r="C4682" s="28">
        <v>169.38807425707893</v>
      </c>
      <c r="E4682" s="14" t="s">
        <v>496</v>
      </c>
      <c r="F4682" s="11">
        <v>181</v>
      </c>
    </row>
    <row r="4683" spans="2:6" x14ac:dyDescent="0.3">
      <c r="B4683" s="12">
        <v>4680</v>
      </c>
      <c r="C4683" s="28">
        <v>156.44713990770248</v>
      </c>
      <c r="E4683" s="14" t="s">
        <v>2946</v>
      </c>
      <c r="F4683" s="11">
        <v>181</v>
      </c>
    </row>
    <row r="4684" spans="2:6" x14ac:dyDescent="0.3">
      <c r="B4684" s="12">
        <v>4681</v>
      </c>
      <c r="C4684" s="28">
        <v>151.86279321052851</v>
      </c>
      <c r="E4684" s="14" t="s">
        <v>729</v>
      </c>
      <c r="F4684" s="11">
        <v>152</v>
      </c>
    </row>
    <row r="4685" spans="2:6" x14ac:dyDescent="0.3">
      <c r="B4685" s="12">
        <v>4682</v>
      </c>
      <c r="C4685" s="28">
        <v>164.18829386045684</v>
      </c>
      <c r="E4685" s="14" t="s">
        <v>4754</v>
      </c>
      <c r="F4685" s="11">
        <v>179</v>
      </c>
    </row>
    <row r="4686" spans="2:6" x14ac:dyDescent="0.3">
      <c r="B4686" s="12">
        <v>4683</v>
      </c>
      <c r="C4686" s="28">
        <v>162.96217629613244</v>
      </c>
      <c r="E4686" s="14" t="s">
        <v>4759</v>
      </c>
      <c r="F4686" s="11">
        <v>174</v>
      </c>
    </row>
    <row r="4687" spans="2:6" x14ac:dyDescent="0.3">
      <c r="B4687" s="12">
        <v>4684</v>
      </c>
      <c r="C4687" s="28">
        <v>172.24201072334441</v>
      </c>
      <c r="E4687" s="14" t="s">
        <v>4764</v>
      </c>
      <c r="F4687" s="11">
        <v>155</v>
      </c>
    </row>
    <row r="4688" spans="2:6" x14ac:dyDescent="0.3">
      <c r="B4688" s="12">
        <v>4685</v>
      </c>
      <c r="C4688" s="28">
        <v>163.83175398878157</v>
      </c>
      <c r="E4688" s="14" t="s">
        <v>4765</v>
      </c>
      <c r="F4688" s="11">
        <v>182</v>
      </c>
    </row>
    <row r="4689" spans="2:6" x14ac:dyDescent="0.3">
      <c r="B4689" s="12">
        <v>4686</v>
      </c>
      <c r="C4689" s="28">
        <v>166.09192735957944</v>
      </c>
      <c r="E4689" s="14" t="s">
        <v>4766</v>
      </c>
      <c r="F4689" s="11">
        <v>166</v>
      </c>
    </row>
    <row r="4690" spans="2:6" x14ac:dyDescent="0.3">
      <c r="B4690" s="12">
        <v>4687</v>
      </c>
      <c r="C4690" s="28">
        <v>174.40769988479033</v>
      </c>
      <c r="E4690" s="14" t="s">
        <v>4768</v>
      </c>
      <c r="F4690" s="11">
        <v>164</v>
      </c>
    </row>
    <row r="4691" spans="2:6" x14ac:dyDescent="0.3">
      <c r="B4691" s="12">
        <v>4688</v>
      </c>
      <c r="C4691" s="28">
        <v>170.57760596467369</v>
      </c>
      <c r="E4691" s="14" t="s">
        <v>4769</v>
      </c>
      <c r="F4691" s="11">
        <v>167</v>
      </c>
    </row>
    <row r="4692" spans="2:6" x14ac:dyDescent="0.3">
      <c r="B4692" s="12">
        <v>4689</v>
      </c>
      <c r="C4692" s="28">
        <v>169.4113140273933</v>
      </c>
      <c r="E4692" s="14" t="s">
        <v>4771</v>
      </c>
      <c r="F4692" s="11">
        <v>167</v>
      </c>
    </row>
    <row r="4693" spans="2:6" x14ac:dyDescent="0.3">
      <c r="B4693" s="12">
        <v>4690</v>
      </c>
      <c r="C4693" s="28">
        <v>167.23056426757438</v>
      </c>
      <c r="E4693" s="14" t="s">
        <v>4772</v>
      </c>
      <c r="F4693" s="11">
        <v>167</v>
      </c>
    </row>
    <row r="4694" spans="2:6" x14ac:dyDescent="0.3">
      <c r="B4694" s="12">
        <v>4691</v>
      </c>
      <c r="C4694" s="28">
        <v>147.30875144065868</v>
      </c>
      <c r="E4694" s="14" t="s">
        <v>4773</v>
      </c>
      <c r="F4694" s="11">
        <v>171</v>
      </c>
    </row>
    <row r="4695" spans="2:6" x14ac:dyDescent="0.3">
      <c r="B4695" s="12">
        <v>4692</v>
      </c>
      <c r="C4695" s="28">
        <v>155.18330511988</v>
      </c>
      <c r="E4695" s="14" t="s">
        <v>4774</v>
      </c>
      <c r="F4695" s="11">
        <v>161</v>
      </c>
    </row>
    <row r="4696" spans="2:6" x14ac:dyDescent="0.3">
      <c r="B4696" s="12">
        <v>4693</v>
      </c>
      <c r="C4696" s="28">
        <v>169.4400473952833</v>
      </c>
      <c r="E4696" s="14" t="s">
        <v>1051</v>
      </c>
      <c r="F4696" s="11">
        <v>180</v>
      </c>
    </row>
    <row r="4697" spans="2:6" x14ac:dyDescent="0.3">
      <c r="B4697" s="12">
        <v>4694</v>
      </c>
      <c r="C4697" s="28">
        <v>163.12838996732043</v>
      </c>
      <c r="E4697" s="14" t="s">
        <v>962</v>
      </c>
      <c r="F4697" s="11">
        <v>163</v>
      </c>
    </row>
    <row r="4698" spans="2:6" x14ac:dyDescent="0.3">
      <c r="B4698" s="12">
        <v>4695</v>
      </c>
      <c r="C4698" s="28">
        <v>168.33149019587407</v>
      </c>
      <c r="E4698" s="14" t="s">
        <v>1416</v>
      </c>
      <c r="F4698" s="11">
        <v>168</v>
      </c>
    </row>
    <row r="4699" spans="2:6" x14ac:dyDescent="0.3">
      <c r="B4699" s="12">
        <v>4696</v>
      </c>
      <c r="C4699" s="28">
        <v>151.88148685876243</v>
      </c>
      <c r="E4699" s="14" t="s">
        <v>3047</v>
      </c>
      <c r="F4699" s="11">
        <v>157</v>
      </c>
    </row>
    <row r="4700" spans="2:6" x14ac:dyDescent="0.3">
      <c r="B4700" s="12">
        <v>4697</v>
      </c>
      <c r="C4700" s="28">
        <v>156.38606254877817</v>
      </c>
      <c r="E4700" s="14" t="s">
        <v>3909</v>
      </c>
      <c r="F4700" s="11">
        <v>155</v>
      </c>
    </row>
    <row r="4701" spans="2:6" x14ac:dyDescent="0.3">
      <c r="B4701" s="12">
        <v>4698</v>
      </c>
      <c r="C4701" s="28">
        <v>163.79425464358661</v>
      </c>
      <c r="E4701" s="14" t="s">
        <v>4777</v>
      </c>
      <c r="F4701" s="11">
        <v>163</v>
      </c>
    </row>
    <row r="4702" spans="2:6" x14ac:dyDescent="0.3">
      <c r="B4702" s="12">
        <v>4699</v>
      </c>
      <c r="C4702" s="28">
        <v>156.22173022900404</v>
      </c>
      <c r="E4702" s="14" t="s">
        <v>3925</v>
      </c>
      <c r="F4702" s="11">
        <v>165</v>
      </c>
    </row>
    <row r="4703" spans="2:6" x14ac:dyDescent="0.3">
      <c r="B4703" s="12">
        <v>4700</v>
      </c>
      <c r="C4703" s="28">
        <v>158.52597796984659</v>
      </c>
      <c r="E4703" s="14" t="s">
        <v>2501</v>
      </c>
      <c r="F4703" s="11">
        <v>163</v>
      </c>
    </row>
    <row r="4704" spans="2:6" x14ac:dyDescent="0.3">
      <c r="B4704" s="12">
        <v>4701</v>
      </c>
      <c r="C4704" s="28">
        <v>159.7672293590818</v>
      </c>
      <c r="E4704" s="14" t="s">
        <v>4778</v>
      </c>
      <c r="F4704" s="11">
        <v>169</v>
      </c>
    </row>
    <row r="4705" spans="2:6" x14ac:dyDescent="0.3">
      <c r="B4705" s="12">
        <v>4702</v>
      </c>
      <c r="C4705" s="28">
        <v>160.57938107287038</v>
      </c>
      <c r="E4705" s="14" t="s">
        <v>1582</v>
      </c>
      <c r="F4705" s="11">
        <v>165</v>
      </c>
    </row>
    <row r="4706" spans="2:6" x14ac:dyDescent="0.3">
      <c r="B4706" s="12">
        <v>4703</v>
      </c>
      <c r="C4706" s="28">
        <v>173.43387523500058</v>
      </c>
      <c r="E4706" s="14" t="s">
        <v>4779</v>
      </c>
      <c r="F4706" s="11">
        <v>181</v>
      </c>
    </row>
    <row r="4707" spans="2:6" x14ac:dyDescent="0.3">
      <c r="B4707" s="12">
        <v>4704</v>
      </c>
      <c r="C4707" s="28">
        <v>159.62597233396903</v>
      </c>
      <c r="E4707" s="14" t="s">
        <v>2213</v>
      </c>
      <c r="F4707" s="11">
        <v>172</v>
      </c>
    </row>
    <row r="4708" spans="2:6" x14ac:dyDescent="0.3">
      <c r="B4708" s="12">
        <v>4705</v>
      </c>
      <c r="C4708" s="28">
        <v>171.23092532513576</v>
      </c>
      <c r="E4708" s="14" t="s">
        <v>1783</v>
      </c>
      <c r="F4708" s="11">
        <v>161</v>
      </c>
    </row>
    <row r="4709" spans="2:6" x14ac:dyDescent="0.3">
      <c r="B4709" s="12">
        <v>4706</v>
      </c>
      <c r="C4709" s="28">
        <v>166.46322412535045</v>
      </c>
      <c r="E4709" s="14" t="s">
        <v>4780</v>
      </c>
      <c r="F4709" s="11">
        <v>182</v>
      </c>
    </row>
    <row r="4710" spans="2:6" x14ac:dyDescent="0.3">
      <c r="B4710" s="12">
        <v>4707</v>
      </c>
      <c r="C4710" s="28">
        <v>154.83215606283082</v>
      </c>
      <c r="E4710" s="14" t="s">
        <v>4781</v>
      </c>
      <c r="F4710" s="11">
        <v>176</v>
      </c>
    </row>
    <row r="4711" spans="2:6" x14ac:dyDescent="0.3">
      <c r="B4711" s="12">
        <v>4708</v>
      </c>
      <c r="C4711" s="28">
        <v>165.22295474872678</v>
      </c>
      <c r="E4711" s="14" t="s">
        <v>4782</v>
      </c>
      <c r="F4711" s="11">
        <v>170</v>
      </c>
    </row>
    <row r="4712" spans="2:6" x14ac:dyDescent="0.3">
      <c r="B4712" s="12">
        <v>4709</v>
      </c>
      <c r="C4712" s="28">
        <v>146.55670986520335</v>
      </c>
      <c r="E4712" s="14" t="s">
        <v>4783</v>
      </c>
      <c r="F4712" s="11">
        <v>165</v>
      </c>
    </row>
    <row r="4713" spans="2:6" x14ac:dyDescent="0.3">
      <c r="B4713" s="12">
        <v>4710</v>
      </c>
      <c r="C4713" s="28">
        <v>157.62562315272314</v>
      </c>
      <c r="E4713" s="14" t="s">
        <v>4784</v>
      </c>
      <c r="F4713" s="11">
        <v>195</v>
      </c>
    </row>
    <row r="4714" spans="2:6" x14ac:dyDescent="0.3">
      <c r="B4714" s="12">
        <v>4711</v>
      </c>
      <c r="C4714" s="28">
        <v>172.99200175660042</v>
      </c>
      <c r="E4714" s="14" t="s">
        <v>2396</v>
      </c>
      <c r="F4714" s="11">
        <v>165</v>
      </c>
    </row>
    <row r="4715" spans="2:6" x14ac:dyDescent="0.3">
      <c r="B4715" s="12">
        <v>4712</v>
      </c>
      <c r="C4715" s="28">
        <v>169.00671622353337</v>
      </c>
      <c r="E4715" s="14" t="s">
        <v>134</v>
      </c>
      <c r="F4715" s="11">
        <v>162</v>
      </c>
    </row>
    <row r="4716" spans="2:6" x14ac:dyDescent="0.3">
      <c r="B4716" s="12">
        <v>4713</v>
      </c>
      <c r="C4716" s="28">
        <v>160.11254782973225</v>
      </c>
      <c r="E4716" s="14" t="s">
        <v>3983</v>
      </c>
      <c r="F4716" s="11">
        <v>159</v>
      </c>
    </row>
    <row r="4717" spans="2:6" x14ac:dyDescent="0.3">
      <c r="B4717" s="12">
        <v>4714</v>
      </c>
      <c r="C4717" s="28">
        <v>172.16233319934142</v>
      </c>
      <c r="E4717" s="14" t="s">
        <v>3311</v>
      </c>
      <c r="F4717" s="11">
        <v>168</v>
      </c>
    </row>
    <row r="4718" spans="2:6" x14ac:dyDescent="0.3">
      <c r="B4718" s="12">
        <v>4715</v>
      </c>
      <c r="C4718" s="28">
        <v>154.64757835332276</v>
      </c>
      <c r="E4718" s="14" t="s">
        <v>674</v>
      </c>
      <c r="F4718" s="11">
        <v>184</v>
      </c>
    </row>
    <row r="4719" spans="2:6" x14ac:dyDescent="0.3">
      <c r="B4719" s="12">
        <v>4716</v>
      </c>
      <c r="C4719" s="28">
        <v>169.77961167140285</v>
      </c>
      <c r="E4719" s="14" t="s">
        <v>3342</v>
      </c>
      <c r="F4719" s="11">
        <v>175</v>
      </c>
    </row>
    <row r="4720" spans="2:6" x14ac:dyDescent="0.3">
      <c r="B4720" s="12">
        <v>4717</v>
      </c>
      <c r="C4720" s="28">
        <v>165.29195748592858</v>
      </c>
      <c r="E4720" s="14" t="s">
        <v>677</v>
      </c>
      <c r="F4720" s="11">
        <v>174</v>
      </c>
    </row>
    <row r="4721" spans="2:6" x14ac:dyDescent="0.3">
      <c r="B4721" s="12">
        <v>4718</v>
      </c>
      <c r="C4721" s="28">
        <v>168.54458269746522</v>
      </c>
      <c r="E4721" s="14" t="s">
        <v>4797</v>
      </c>
      <c r="F4721" s="11">
        <v>192</v>
      </c>
    </row>
    <row r="4722" spans="2:6" x14ac:dyDescent="0.3">
      <c r="B4722" s="12">
        <v>4719</v>
      </c>
      <c r="C4722" s="28">
        <v>164.19123388561133</v>
      </c>
      <c r="E4722" s="14" t="s">
        <v>2226</v>
      </c>
      <c r="F4722" s="11">
        <v>170</v>
      </c>
    </row>
    <row r="4723" spans="2:6" x14ac:dyDescent="0.3">
      <c r="B4723" s="12">
        <v>4720</v>
      </c>
      <c r="C4723" s="28">
        <v>155.83792898855907</v>
      </c>
      <c r="E4723" s="14" t="s">
        <v>387</v>
      </c>
      <c r="F4723" s="11">
        <v>164</v>
      </c>
    </row>
    <row r="4724" spans="2:6" x14ac:dyDescent="0.3">
      <c r="B4724" s="12">
        <v>4721</v>
      </c>
      <c r="C4724" s="28">
        <v>158.47411187553629</v>
      </c>
      <c r="E4724" s="14" t="s">
        <v>98</v>
      </c>
      <c r="F4724" s="11">
        <v>169</v>
      </c>
    </row>
    <row r="4725" spans="2:6" x14ac:dyDescent="0.3">
      <c r="B4725" s="12">
        <v>4722</v>
      </c>
      <c r="C4725" s="28">
        <v>166.82513863426041</v>
      </c>
      <c r="E4725" s="14" t="s">
        <v>4818</v>
      </c>
      <c r="F4725" s="11">
        <v>175</v>
      </c>
    </row>
    <row r="4726" spans="2:6" x14ac:dyDescent="0.3">
      <c r="B4726" s="12">
        <v>4723</v>
      </c>
      <c r="C4726" s="28">
        <v>157.47882785051243</v>
      </c>
      <c r="E4726" s="14" t="s">
        <v>3939</v>
      </c>
      <c r="F4726" s="11">
        <v>185</v>
      </c>
    </row>
    <row r="4727" spans="2:6" x14ac:dyDescent="0.3">
      <c r="B4727" s="12">
        <v>4724</v>
      </c>
      <c r="C4727" s="28">
        <v>156.97677412999707</v>
      </c>
      <c r="E4727" s="14" t="s">
        <v>3296</v>
      </c>
      <c r="F4727" s="11">
        <v>156</v>
      </c>
    </row>
    <row r="4728" spans="2:6" x14ac:dyDescent="0.3">
      <c r="B4728" s="12">
        <v>4725</v>
      </c>
      <c r="C4728" s="28">
        <v>160.10553826733562</v>
      </c>
      <c r="E4728" s="14" t="s">
        <v>3945</v>
      </c>
      <c r="F4728" s="11">
        <v>168</v>
      </c>
    </row>
    <row r="4729" spans="2:6" x14ac:dyDescent="0.3">
      <c r="B4729" s="12">
        <v>4726</v>
      </c>
      <c r="C4729" s="28">
        <v>170.51300144512862</v>
      </c>
      <c r="E4729" s="14" t="s">
        <v>2643</v>
      </c>
      <c r="F4729" s="11">
        <v>166</v>
      </c>
    </row>
    <row r="4730" spans="2:6" x14ac:dyDescent="0.3">
      <c r="B4730" s="12">
        <v>4727</v>
      </c>
      <c r="C4730" s="28">
        <v>151.86665584649944</v>
      </c>
      <c r="E4730" s="14" t="s">
        <v>4067</v>
      </c>
      <c r="F4730" s="11">
        <v>163</v>
      </c>
    </row>
    <row r="4731" spans="2:6" x14ac:dyDescent="0.3">
      <c r="B4731" s="12">
        <v>4728</v>
      </c>
      <c r="C4731" s="28">
        <v>165.19607926649516</v>
      </c>
      <c r="E4731" s="14" t="s">
        <v>3948</v>
      </c>
      <c r="F4731" s="11">
        <v>165</v>
      </c>
    </row>
    <row r="4732" spans="2:6" x14ac:dyDescent="0.3">
      <c r="B4732" s="12">
        <v>4729</v>
      </c>
      <c r="C4732" s="28">
        <v>157.07065831732001</v>
      </c>
      <c r="E4732" s="14" t="s">
        <v>4799</v>
      </c>
      <c r="F4732" s="11">
        <v>190</v>
      </c>
    </row>
    <row r="4733" spans="2:6" x14ac:dyDescent="0.3">
      <c r="B4733" s="12">
        <v>4730</v>
      </c>
      <c r="C4733" s="28">
        <v>159.93969138028027</v>
      </c>
      <c r="E4733" s="14" t="s">
        <v>4800</v>
      </c>
      <c r="F4733" s="11">
        <v>171</v>
      </c>
    </row>
    <row r="4734" spans="2:6" x14ac:dyDescent="0.3">
      <c r="B4734" s="12">
        <v>4731</v>
      </c>
      <c r="C4734" s="28">
        <v>158.20099344084741</v>
      </c>
      <c r="E4734" s="14" t="s">
        <v>4801</v>
      </c>
      <c r="F4734" s="11">
        <v>190</v>
      </c>
    </row>
    <row r="4735" spans="2:6" x14ac:dyDescent="0.3">
      <c r="B4735" s="12">
        <v>4732</v>
      </c>
      <c r="C4735" s="28">
        <v>162.05576974717297</v>
      </c>
      <c r="E4735" s="14" t="s">
        <v>4802</v>
      </c>
      <c r="F4735" s="11">
        <v>180</v>
      </c>
    </row>
    <row r="4736" spans="2:6" x14ac:dyDescent="0.3">
      <c r="B4736" s="12">
        <v>4733</v>
      </c>
      <c r="C4736" s="28">
        <v>159.68299751480896</v>
      </c>
      <c r="E4736" s="14" t="s">
        <v>4803</v>
      </c>
      <c r="F4736" s="11">
        <v>169</v>
      </c>
    </row>
    <row r="4737" spans="2:6" x14ac:dyDescent="0.3">
      <c r="B4737" s="12">
        <v>4734</v>
      </c>
      <c r="C4737" s="28">
        <v>167.53043638110407</v>
      </c>
      <c r="E4737" s="14" t="s">
        <v>4804</v>
      </c>
      <c r="F4737" s="11">
        <v>167</v>
      </c>
    </row>
    <row r="4738" spans="2:6" x14ac:dyDescent="0.3">
      <c r="B4738" s="12">
        <v>4735</v>
      </c>
      <c r="C4738" s="28">
        <v>173.45060450653762</v>
      </c>
      <c r="E4738" s="14" t="s">
        <v>4805</v>
      </c>
      <c r="F4738" s="11">
        <v>177</v>
      </c>
    </row>
    <row r="4739" spans="2:6" x14ac:dyDescent="0.3">
      <c r="B4739" s="12">
        <v>4736</v>
      </c>
      <c r="C4739" s="28">
        <v>169.39737525036008</v>
      </c>
      <c r="E4739" s="14" t="s">
        <v>4708</v>
      </c>
      <c r="F4739" s="11">
        <v>182</v>
      </c>
    </row>
    <row r="4740" spans="2:6" x14ac:dyDescent="0.3">
      <c r="B4740" s="12">
        <v>4737</v>
      </c>
      <c r="C4740" s="28">
        <v>155.21640012146639</v>
      </c>
      <c r="E4740" s="14" t="s">
        <v>1187</v>
      </c>
      <c r="F4740" s="11">
        <v>172</v>
      </c>
    </row>
    <row r="4741" spans="2:6" x14ac:dyDescent="0.3">
      <c r="B4741" s="12">
        <v>4738</v>
      </c>
      <c r="C4741" s="28">
        <v>168.3442757576255</v>
      </c>
      <c r="E4741" s="14" t="s">
        <v>2486</v>
      </c>
      <c r="F4741" s="11">
        <v>180</v>
      </c>
    </row>
    <row r="4742" spans="2:6" x14ac:dyDescent="0.3">
      <c r="B4742" s="12">
        <v>4739</v>
      </c>
      <c r="C4742" s="28">
        <v>161.84069397856439</v>
      </c>
      <c r="E4742" s="14" t="s">
        <v>4809</v>
      </c>
      <c r="F4742" s="11">
        <v>160</v>
      </c>
    </row>
    <row r="4743" spans="2:6" x14ac:dyDescent="0.3">
      <c r="B4743" s="12">
        <v>4740</v>
      </c>
      <c r="C4743" s="28">
        <v>150.97056900207269</v>
      </c>
      <c r="E4743" s="14" t="s">
        <v>1400</v>
      </c>
      <c r="F4743" s="11">
        <v>169</v>
      </c>
    </row>
    <row r="4744" spans="2:6" x14ac:dyDescent="0.3">
      <c r="B4744" s="12">
        <v>4741</v>
      </c>
      <c r="C4744" s="28">
        <v>168.02494537409223</v>
      </c>
      <c r="E4744" s="14" t="s">
        <v>2770</v>
      </c>
      <c r="F4744" s="11">
        <v>179</v>
      </c>
    </row>
    <row r="4745" spans="2:6" x14ac:dyDescent="0.3">
      <c r="B4745" s="12">
        <v>4742</v>
      </c>
      <c r="C4745" s="28">
        <v>149.0610973262124</v>
      </c>
      <c r="E4745" s="14" t="s">
        <v>3702</v>
      </c>
      <c r="F4745" s="11">
        <v>178</v>
      </c>
    </row>
    <row r="4746" spans="2:6" x14ac:dyDescent="0.3">
      <c r="B4746" s="12">
        <v>4743</v>
      </c>
      <c r="C4746" s="28">
        <v>169.11931917185993</v>
      </c>
      <c r="E4746" s="14" t="s">
        <v>3984</v>
      </c>
      <c r="F4746" s="11">
        <v>161</v>
      </c>
    </row>
    <row r="4747" spans="2:6" x14ac:dyDescent="0.3">
      <c r="B4747" s="12">
        <v>4744</v>
      </c>
      <c r="C4747" s="28">
        <v>169.24127975554561</v>
      </c>
      <c r="E4747" s="14" t="s">
        <v>481</v>
      </c>
      <c r="F4747" s="11">
        <v>158</v>
      </c>
    </row>
    <row r="4748" spans="2:6" x14ac:dyDescent="0.3">
      <c r="B4748" s="12">
        <v>4745</v>
      </c>
      <c r="C4748" s="28">
        <v>160.47785999102649</v>
      </c>
      <c r="E4748" s="14" t="s">
        <v>4789</v>
      </c>
      <c r="F4748" s="11">
        <v>170</v>
      </c>
    </row>
    <row r="4749" spans="2:6" x14ac:dyDescent="0.3">
      <c r="B4749" s="12">
        <v>4746</v>
      </c>
      <c r="C4749" s="28">
        <v>167.32128254235869</v>
      </c>
      <c r="E4749" s="14" t="s">
        <v>3967</v>
      </c>
      <c r="F4749" s="11">
        <v>180</v>
      </c>
    </row>
    <row r="4750" spans="2:6" x14ac:dyDescent="0.3">
      <c r="B4750" s="12">
        <v>4747</v>
      </c>
      <c r="C4750" s="28">
        <v>158.43750390339045</v>
      </c>
      <c r="E4750" s="14" t="s">
        <v>35</v>
      </c>
      <c r="F4750" s="11">
        <v>180</v>
      </c>
    </row>
    <row r="4751" spans="2:6" x14ac:dyDescent="0.3">
      <c r="B4751" s="12">
        <v>4748</v>
      </c>
      <c r="C4751" s="28">
        <v>171.27476780260886</v>
      </c>
      <c r="E4751" s="14" t="s">
        <v>635</v>
      </c>
      <c r="F4751" s="11">
        <v>166</v>
      </c>
    </row>
    <row r="4752" spans="2:6" x14ac:dyDescent="0.3">
      <c r="B4752" s="12">
        <v>4749</v>
      </c>
      <c r="C4752" s="28">
        <v>159.48344932342354</v>
      </c>
      <c r="E4752" s="14" t="s">
        <v>153</v>
      </c>
      <c r="F4752" s="11">
        <v>165</v>
      </c>
    </row>
    <row r="4753" spans="2:6" x14ac:dyDescent="0.3">
      <c r="B4753" s="12">
        <v>4750</v>
      </c>
      <c r="C4753" s="28">
        <v>172.87199082564516</v>
      </c>
      <c r="E4753" s="14" t="s">
        <v>261</v>
      </c>
      <c r="F4753" s="11">
        <v>172</v>
      </c>
    </row>
    <row r="4754" spans="2:6" x14ac:dyDescent="0.3">
      <c r="B4754" s="12">
        <v>4751</v>
      </c>
      <c r="C4754" s="28">
        <v>169.55811455141833</v>
      </c>
      <c r="E4754" s="14" t="s">
        <v>2685</v>
      </c>
      <c r="F4754" s="11">
        <v>168</v>
      </c>
    </row>
    <row r="4755" spans="2:6" x14ac:dyDescent="0.3">
      <c r="B4755" s="12">
        <v>4752</v>
      </c>
      <c r="C4755" s="28">
        <v>167.40720836003103</v>
      </c>
      <c r="E4755" s="14" t="s">
        <v>4815</v>
      </c>
      <c r="F4755" s="11">
        <v>173</v>
      </c>
    </row>
    <row r="4756" spans="2:6" x14ac:dyDescent="0.3">
      <c r="B4756" s="12">
        <v>4753</v>
      </c>
      <c r="C4756" s="28">
        <v>166.09913397465871</v>
      </c>
      <c r="E4756" s="14" t="s">
        <v>379</v>
      </c>
      <c r="F4756" s="11">
        <v>165</v>
      </c>
    </row>
    <row r="4757" spans="2:6" x14ac:dyDescent="0.3">
      <c r="B4757" s="12">
        <v>4754</v>
      </c>
      <c r="C4757" s="28">
        <v>155.55415159034968</v>
      </c>
      <c r="E4757" s="14" t="s">
        <v>3451</v>
      </c>
      <c r="F4757" s="11">
        <v>169</v>
      </c>
    </row>
    <row r="4758" spans="2:6" x14ac:dyDescent="0.3">
      <c r="B4758" s="12">
        <v>4755</v>
      </c>
      <c r="C4758" s="28">
        <v>163.83074512874748</v>
      </c>
      <c r="E4758" s="14" t="s">
        <v>1134</v>
      </c>
      <c r="F4758" s="11">
        <v>170</v>
      </c>
    </row>
    <row r="4759" spans="2:6" x14ac:dyDescent="0.3">
      <c r="B4759" s="12">
        <v>4756</v>
      </c>
      <c r="C4759" s="28">
        <v>163.37705618310636</v>
      </c>
      <c r="E4759" s="14" t="s">
        <v>1340</v>
      </c>
      <c r="F4759" s="11">
        <v>167</v>
      </c>
    </row>
    <row r="4760" spans="2:6" x14ac:dyDescent="0.3">
      <c r="B4760" s="12">
        <v>4757</v>
      </c>
      <c r="C4760" s="28">
        <v>159.92325102754532</v>
      </c>
      <c r="E4760" s="14" t="s">
        <v>2632</v>
      </c>
      <c r="F4760" s="11">
        <v>176</v>
      </c>
    </row>
    <row r="4761" spans="2:6" x14ac:dyDescent="0.3">
      <c r="B4761" s="12">
        <v>4758</v>
      </c>
      <c r="C4761" s="28">
        <v>161.76248850935079</v>
      </c>
      <c r="E4761" s="14" t="s">
        <v>2298</v>
      </c>
      <c r="F4761" s="11">
        <v>158</v>
      </c>
    </row>
    <row r="4762" spans="2:6" x14ac:dyDescent="0.3">
      <c r="B4762" s="12">
        <v>4759</v>
      </c>
      <c r="C4762" s="28">
        <v>165.88044580013448</v>
      </c>
      <c r="E4762" s="14" t="s">
        <v>2033</v>
      </c>
      <c r="F4762" s="11">
        <v>185</v>
      </c>
    </row>
    <row r="4763" spans="2:6" x14ac:dyDescent="0.3">
      <c r="B4763" s="12">
        <v>4760</v>
      </c>
      <c r="C4763" s="28">
        <v>164.66358895147613</v>
      </c>
      <c r="E4763" s="14" t="s">
        <v>3248</v>
      </c>
      <c r="F4763" s="11">
        <v>175</v>
      </c>
    </row>
    <row r="4764" spans="2:6" x14ac:dyDescent="0.3">
      <c r="B4764" s="12">
        <v>4761</v>
      </c>
      <c r="C4764" s="28">
        <v>143.5967811525463</v>
      </c>
      <c r="E4764" s="14" t="s">
        <v>4038</v>
      </c>
      <c r="F4764" s="11">
        <v>188</v>
      </c>
    </row>
    <row r="4765" spans="2:6" x14ac:dyDescent="0.3">
      <c r="B4765" s="12">
        <v>4762</v>
      </c>
      <c r="C4765" s="28">
        <v>144.71720856673221</v>
      </c>
      <c r="E4765" s="14" t="s">
        <v>584</v>
      </c>
      <c r="F4765" s="11">
        <v>174</v>
      </c>
    </row>
    <row r="4766" spans="2:6" x14ac:dyDescent="0.3">
      <c r="B4766" s="12">
        <v>4763</v>
      </c>
      <c r="C4766" s="28">
        <v>175.44102938673728</v>
      </c>
      <c r="E4766" s="14" t="s">
        <v>3534</v>
      </c>
      <c r="F4766" s="11">
        <v>158</v>
      </c>
    </row>
    <row r="4767" spans="2:6" x14ac:dyDescent="0.3">
      <c r="B4767" s="12">
        <v>4764</v>
      </c>
      <c r="C4767" s="28">
        <v>162.19224388152108</v>
      </c>
      <c r="E4767" s="14" t="s">
        <v>1796</v>
      </c>
      <c r="F4767" s="11">
        <v>174</v>
      </c>
    </row>
    <row r="4768" spans="2:6" x14ac:dyDescent="0.3">
      <c r="B4768" s="12">
        <v>4765</v>
      </c>
      <c r="C4768" s="28">
        <v>161.75807190152005</v>
      </c>
      <c r="E4768" s="14" t="s">
        <v>4491</v>
      </c>
      <c r="F4768" s="11">
        <v>167</v>
      </c>
    </row>
    <row r="4769" spans="2:6" x14ac:dyDescent="0.3">
      <c r="B4769" s="12">
        <v>4766</v>
      </c>
      <c r="C4769" s="28">
        <v>155.05067307381319</v>
      </c>
      <c r="E4769" s="14" t="s">
        <v>3370</v>
      </c>
      <c r="F4769" s="11">
        <v>163</v>
      </c>
    </row>
    <row r="4770" spans="2:6" x14ac:dyDescent="0.3">
      <c r="B4770" s="12">
        <v>4767</v>
      </c>
      <c r="C4770" s="28">
        <v>168.44746453166411</v>
      </c>
      <c r="E4770" s="14" t="s">
        <v>3023</v>
      </c>
      <c r="F4770" s="11">
        <v>169</v>
      </c>
    </row>
    <row r="4771" spans="2:6" x14ac:dyDescent="0.3">
      <c r="B4771" s="12">
        <v>4768</v>
      </c>
      <c r="C4771" s="28">
        <v>151.99340642978362</v>
      </c>
      <c r="E4771" s="14" t="s">
        <v>3720</v>
      </c>
      <c r="F4771" s="11">
        <v>180</v>
      </c>
    </row>
    <row r="4772" spans="2:6" x14ac:dyDescent="0.3">
      <c r="B4772" s="12">
        <v>4769</v>
      </c>
      <c r="C4772" s="28">
        <v>166.78371148025332</v>
      </c>
      <c r="E4772" s="14" t="s">
        <v>2176</v>
      </c>
      <c r="F4772" s="11">
        <v>178</v>
      </c>
    </row>
    <row r="4773" spans="2:6" x14ac:dyDescent="0.3">
      <c r="B4773" s="12">
        <v>4770</v>
      </c>
      <c r="C4773" s="28">
        <v>156.1978794128168</v>
      </c>
      <c r="E4773" s="14" t="s">
        <v>2574</v>
      </c>
      <c r="F4773" s="11">
        <v>176</v>
      </c>
    </row>
    <row r="4774" spans="2:6" x14ac:dyDescent="0.3">
      <c r="B4774" s="12">
        <v>4771</v>
      </c>
      <c r="C4774" s="28">
        <v>151.47181430396719</v>
      </c>
      <c r="E4774" s="14" t="s">
        <v>3495</v>
      </c>
      <c r="F4774" s="11">
        <v>176</v>
      </c>
    </row>
    <row r="4775" spans="2:6" x14ac:dyDescent="0.3">
      <c r="B4775" s="12">
        <v>4772</v>
      </c>
      <c r="C4775" s="28">
        <v>155.8181404275081</v>
      </c>
      <c r="E4775" s="14" t="s">
        <v>2028</v>
      </c>
      <c r="F4775" s="11">
        <v>163</v>
      </c>
    </row>
    <row r="4776" spans="2:6" x14ac:dyDescent="0.3">
      <c r="B4776" s="12">
        <v>4773</v>
      </c>
      <c r="C4776" s="28">
        <v>162.16683880012383</v>
      </c>
      <c r="E4776" s="14" t="s">
        <v>2168</v>
      </c>
      <c r="F4776" s="11">
        <v>161</v>
      </c>
    </row>
    <row r="4777" spans="2:6" x14ac:dyDescent="0.3">
      <c r="B4777" s="12">
        <v>4774</v>
      </c>
      <c r="C4777" s="28">
        <v>165.54738438974988</v>
      </c>
      <c r="E4777" s="14" t="s">
        <v>374</v>
      </c>
      <c r="F4777" s="11">
        <v>173</v>
      </c>
    </row>
    <row r="4778" spans="2:6" x14ac:dyDescent="0.3">
      <c r="B4778" s="12">
        <v>4775</v>
      </c>
      <c r="C4778" s="28">
        <v>167.17429760613612</v>
      </c>
      <c r="E4778" s="14" t="s">
        <v>1106</v>
      </c>
      <c r="F4778" s="11">
        <v>167</v>
      </c>
    </row>
    <row r="4779" spans="2:6" x14ac:dyDescent="0.3">
      <c r="B4779" s="12">
        <v>4776</v>
      </c>
      <c r="C4779" s="28">
        <v>152.46591316911346</v>
      </c>
      <c r="E4779" s="14" t="s">
        <v>2036</v>
      </c>
      <c r="F4779" s="11">
        <v>180</v>
      </c>
    </row>
    <row r="4780" spans="2:6" x14ac:dyDescent="0.3">
      <c r="B4780" s="12">
        <v>4777</v>
      </c>
      <c r="C4780" s="28">
        <v>174.82338514287585</v>
      </c>
      <c r="E4780" s="14" t="s">
        <v>2516</v>
      </c>
      <c r="F4780" s="11">
        <v>165</v>
      </c>
    </row>
    <row r="4781" spans="2:6" x14ac:dyDescent="0.3">
      <c r="B4781" s="12">
        <v>4778</v>
      </c>
      <c r="C4781" s="28">
        <v>158.8907803690478</v>
      </c>
      <c r="E4781" s="14" t="s">
        <v>4615</v>
      </c>
      <c r="F4781" s="11">
        <v>173</v>
      </c>
    </row>
    <row r="4782" spans="2:6" x14ac:dyDescent="0.3">
      <c r="B4782" s="12">
        <v>4779</v>
      </c>
      <c r="C4782" s="28">
        <v>156.78558988689693</v>
      </c>
      <c r="E4782" s="14" t="s">
        <v>3496</v>
      </c>
      <c r="F4782" s="11">
        <v>171</v>
      </c>
    </row>
    <row r="4783" spans="2:6" x14ac:dyDescent="0.3">
      <c r="B4783" s="12">
        <v>4780</v>
      </c>
      <c r="C4783" s="28">
        <v>164.3649848970781</v>
      </c>
      <c r="E4783" s="14" t="s">
        <v>4827</v>
      </c>
      <c r="F4783" s="11">
        <v>178</v>
      </c>
    </row>
    <row r="4784" spans="2:6" x14ac:dyDescent="0.3">
      <c r="B4784" s="12">
        <v>4781</v>
      </c>
      <c r="C4784" s="28">
        <v>166.78814408277341</v>
      </c>
      <c r="E4784" s="14" t="s">
        <v>1331</v>
      </c>
      <c r="F4784" s="11">
        <v>179</v>
      </c>
    </row>
    <row r="4785" spans="2:6" x14ac:dyDescent="0.3">
      <c r="B4785" s="12">
        <v>4782</v>
      </c>
      <c r="C4785" s="28">
        <v>168.85736012799012</v>
      </c>
      <c r="E4785" s="14" t="s">
        <v>3298</v>
      </c>
      <c r="F4785" s="11">
        <v>178</v>
      </c>
    </row>
    <row r="4786" spans="2:6" x14ac:dyDescent="0.3">
      <c r="B4786" s="12">
        <v>4783</v>
      </c>
      <c r="C4786" s="28">
        <v>157.99113652534365</v>
      </c>
      <c r="E4786" s="14" t="s">
        <v>3466</v>
      </c>
      <c r="F4786" s="11">
        <v>165</v>
      </c>
    </row>
    <row r="4787" spans="2:6" x14ac:dyDescent="0.3">
      <c r="B4787" s="12">
        <v>4784</v>
      </c>
      <c r="C4787" s="28">
        <v>156.22176990389042</v>
      </c>
      <c r="E4787" s="14" t="s">
        <v>4576</v>
      </c>
      <c r="F4787" s="11">
        <v>180</v>
      </c>
    </row>
    <row r="4788" spans="2:6" x14ac:dyDescent="0.3">
      <c r="B4788" s="12">
        <v>4785</v>
      </c>
      <c r="C4788" s="28">
        <v>156.5413579488995</v>
      </c>
      <c r="E4788" s="14" t="s">
        <v>4040</v>
      </c>
      <c r="F4788" s="11">
        <v>178</v>
      </c>
    </row>
    <row r="4789" spans="2:6" x14ac:dyDescent="0.3">
      <c r="B4789" s="12">
        <v>4786</v>
      </c>
      <c r="C4789" s="28">
        <v>159.30954593358331</v>
      </c>
      <c r="E4789" s="14" t="s">
        <v>2367</v>
      </c>
      <c r="F4789" s="11">
        <v>195</v>
      </c>
    </row>
    <row r="4790" spans="2:6" x14ac:dyDescent="0.3">
      <c r="B4790" s="12">
        <v>4787</v>
      </c>
      <c r="C4790" s="28">
        <v>161.50254805532214</v>
      </c>
      <c r="E4790" s="14" t="s">
        <v>16</v>
      </c>
      <c r="F4790" s="11">
        <v>182</v>
      </c>
    </row>
    <row r="4791" spans="2:6" x14ac:dyDescent="0.3">
      <c r="B4791" s="12">
        <v>4788</v>
      </c>
      <c r="C4791" s="28">
        <v>154.32396738547206</v>
      </c>
      <c r="E4791" s="14" t="s">
        <v>3169</v>
      </c>
      <c r="F4791" s="11">
        <v>169</v>
      </c>
    </row>
    <row r="4792" spans="2:6" x14ac:dyDescent="0.3">
      <c r="B4792" s="12">
        <v>4789</v>
      </c>
      <c r="C4792" s="28">
        <v>167.9397523973426</v>
      </c>
      <c r="E4792" s="14" t="s">
        <v>2165</v>
      </c>
      <c r="F4792" s="11">
        <v>167</v>
      </c>
    </row>
    <row r="4793" spans="2:6" x14ac:dyDescent="0.3">
      <c r="B4793" s="12">
        <v>4790</v>
      </c>
      <c r="C4793" s="28">
        <v>165.70893131722866</v>
      </c>
      <c r="E4793" s="14" t="s">
        <v>563</v>
      </c>
      <c r="F4793" s="11">
        <v>173</v>
      </c>
    </row>
    <row r="4794" spans="2:6" x14ac:dyDescent="0.3">
      <c r="B4794" s="12">
        <v>4791</v>
      </c>
      <c r="C4794" s="28">
        <v>164.14350499691969</v>
      </c>
      <c r="E4794" s="14" t="s">
        <v>704</v>
      </c>
      <c r="F4794" s="11">
        <v>159</v>
      </c>
    </row>
    <row r="4795" spans="2:6" x14ac:dyDescent="0.3">
      <c r="B4795" s="12">
        <v>4792</v>
      </c>
      <c r="C4795" s="28">
        <v>164.16558350407675</v>
      </c>
      <c r="E4795" s="14" t="s">
        <v>662</v>
      </c>
      <c r="F4795" s="11">
        <v>168</v>
      </c>
    </row>
    <row r="4796" spans="2:6" x14ac:dyDescent="0.3">
      <c r="B4796" s="12">
        <v>4793</v>
      </c>
      <c r="C4796" s="28">
        <v>163.84861986239014</v>
      </c>
      <c r="E4796" s="14" t="s">
        <v>2825</v>
      </c>
      <c r="F4796" s="11">
        <v>159</v>
      </c>
    </row>
    <row r="4797" spans="2:6" x14ac:dyDescent="0.3">
      <c r="B4797" s="12">
        <v>4794</v>
      </c>
      <c r="C4797" s="28">
        <v>170.73785587254537</v>
      </c>
      <c r="E4797" s="14" t="s">
        <v>4843</v>
      </c>
      <c r="F4797" s="11">
        <v>167</v>
      </c>
    </row>
    <row r="4798" spans="2:6" x14ac:dyDescent="0.3">
      <c r="B4798" s="12">
        <v>4795</v>
      </c>
      <c r="C4798" s="28">
        <v>162.00892858607722</v>
      </c>
      <c r="E4798" s="14" t="s">
        <v>4826</v>
      </c>
      <c r="F4798" s="11">
        <v>176</v>
      </c>
    </row>
    <row r="4799" spans="2:6" x14ac:dyDescent="0.3">
      <c r="B4799" s="12">
        <v>4796</v>
      </c>
      <c r="C4799" s="28">
        <v>156.33982035543625</v>
      </c>
      <c r="E4799" s="14" t="s">
        <v>3215</v>
      </c>
      <c r="F4799" s="11">
        <v>170</v>
      </c>
    </row>
    <row r="4800" spans="2:6" x14ac:dyDescent="0.3">
      <c r="B4800" s="12">
        <v>4797</v>
      </c>
      <c r="C4800" s="28">
        <v>161.88138975329181</v>
      </c>
      <c r="E4800" s="14" t="s">
        <v>1831</v>
      </c>
      <c r="F4800" s="11">
        <v>176</v>
      </c>
    </row>
    <row r="4801" spans="2:6" x14ac:dyDescent="0.3">
      <c r="B4801" s="12">
        <v>4798</v>
      </c>
      <c r="C4801" s="28">
        <v>155.45052652443235</v>
      </c>
      <c r="E4801" s="14" t="s">
        <v>4450</v>
      </c>
      <c r="F4801" s="11">
        <v>181</v>
      </c>
    </row>
    <row r="4802" spans="2:6" x14ac:dyDescent="0.3">
      <c r="B4802" s="12">
        <v>4799</v>
      </c>
      <c r="C4802" s="28">
        <v>159.36843366090389</v>
      </c>
      <c r="E4802" s="14" t="s">
        <v>3066</v>
      </c>
      <c r="F4802" s="11">
        <v>180</v>
      </c>
    </row>
    <row r="4803" spans="2:6" x14ac:dyDescent="0.3">
      <c r="B4803" s="12">
        <v>4800</v>
      </c>
      <c r="C4803" s="28">
        <v>169.03092573707312</v>
      </c>
      <c r="E4803" s="14" t="s">
        <v>4041</v>
      </c>
      <c r="F4803" s="11">
        <v>180</v>
      </c>
    </row>
    <row r="4804" spans="2:6" x14ac:dyDescent="0.3">
      <c r="B4804" s="12">
        <v>4801</v>
      </c>
      <c r="C4804" s="28">
        <v>159.7280600730042</v>
      </c>
      <c r="E4804" s="14" t="s">
        <v>1710</v>
      </c>
      <c r="F4804" s="11">
        <v>174</v>
      </c>
    </row>
    <row r="4805" spans="2:6" x14ac:dyDescent="0.3">
      <c r="B4805" s="12">
        <v>4802</v>
      </c>
      <c r="C4805" s="28">
        <v>156.41821556056499</v>
      </c>
      <c r="E4805" s="14" t="s">
        <v>4828</v>
      </c>
      <c r="F4805" s="11">
        <v>165</v>
      </c>
    </row>
    <row r="4806" spans="2:6" x14ac:dyDescent="0.3">
      <c r="B4806" s="12">
        <v>4803</v>
      </c>
      <c r="C4806" s="28">
        <v>161.34215319531646</v>
      </c>
      <c r="E4806" s="14" t="s">
        <v>4831</v>
      </c>
      <c r="F4806" s="11">
        <v>170</v>
      </c>
    </row>
    <row r="4807" spans="2:6" x14ac:dyDescent="0.3">
      <c r="B4807" s="12">
        <v>4804</v>
      </c>
      <c r="C4807" s="28">
        <v>156.45804805779923</v>
      </c>
      <c r="E4807" s="14" t="s">
        <v>4833</v>
      </c>
      <c r="F4807" s="11">
        <v>167</v>
      </c>
    </row>
    <row r="4808" spans="2:6" x14ac:dyDescent="0.3">
      <c r="B4808" s="12">
        <v>4805</v>
      </c>
      <c r="C4808" s="28">
        <v>159.75228092790505</v>
      </c>
      <c r="E4808" s="14" t="s">
        <v>2306</v>
      </c>
      <c r="F4808" s="11">
        <v>160</v>
      </c>
    </row>
    <row r="4809" spans="2:6" x14ac:dyDescent="0.3">
      <c r="B4809" s="12">
        <v>4806</v>
      </c>
      <c r="C4809" s="28">
        <v>163.00266882198673</v>
      </c>
      <c r="E4809" s="14" t="s">
        <v>4832</v>
      </c>
      <c r="F4809" s="11">
        <v>167</v>
      </c>
    </row>
    <row r="4810" spans="2:6" x14ac:dyDescent="0.3">
      <c r="B4810" s="12">
        <v>4807</v>
      </c>
      <c r="C4810" s="28">
        <v>158.58165657518893</v>
      </c>
      <c r="E4810" s="14" t="s">
        <v>1583</v>
      </c>
      <c r="F4810" s="11">
        <v>170</v>
      </c>
    </row>
    <row r="4811" spans="2:6" x14ac:dyDescent="0.3">
      <c r="B4811" s="12">
        <v>4808</v>
      </c>
      <c r="C4811" s="28">
        <v>167.52972192223018</v>
      </c>
      <c r="E4811" s="14" t="s">
        <v>4834</v>
      </c>
      <c r="F4811" s="11">
        <v>164</v>
      </c>
    </row>
    <row r="4812" spans="2:6" x14ac:dyDescent="0.3">
      <c r="B4812" s="12">
        <v>4809</v>
      </c>
      <c r="C4812" s="28">
        <v>165.68985790914058</v>
      </c>
      <c r="E4812" s="14" t="s">
        <v>2235</v>
      </c>
      <c r="F4812" s="11">
        <v>168</v>
      </c>
    </row>
    <row r="4813" spans="2:6" x14ac:dyDescent="0.3">
      <c r="B4813" s="12">
        <v>4810</v>
      </c>
      <c r="C4813" s="28">
        <v>147.98285122605643</v>
      </c>
      <c r="E4813" s="14" t="s">
        <v>1291</v>
      </c>
      <c r="F4813" s="11">
        <v>168</v>
      </c>
    </row>
    <row r="4814" spans="2:6" x14ac:dyDescent="0.3">
      <c r="B4814" s="12">
        <v>4811</v>
      </c>
      <c r="C4814" s="28">
        <v>152.46582992953623</v>
      </c>
      <c r="E4814" s="14" t="s">
        <v>1672</v>
      </c>
      <c r="F4814" s="11">
        <v>167</v>
      </c>
    </row>
    <row r="4815" spans="2:6" x14ac:dyDescent="0.3">
      <c r="B4815" s="12">
        <v>4812</v>
      </c>
      <c r="C4815" s="28">
        <v>162.06604216999457</v>
      </c>
      <c r="E4815" s="14" t="s">
        <v>4835</v>
      </c>
      <c r="F4815" s="11">
        <v>155</v>
      </c>
    </row>
    <row r="4816" spans="2:6" x14ac:dyDescent="0.3">
      <c r="B4816" s="12">
        <v>4813</v>
      </c>
      <c r="C4816" s="28">
        <v>153.85126482817066</v>
      </c>
      <c r="E4816" s="14" t="s">
        <v>2829</v>
      </c>
      <c r="F4816" s="11">
        <v>160</v>
      </c>
    </row>
    <row r="4817" spans="2:6" x14ac:dyDescent="0.3">
      <c r="B4817" s="12">
        <v>4814</v>
      </c>
      <c r="C4817" s="28">
        <v>163.69670324739974</v>
      </c>
      <c r="E4817" s="14" t="s">
        <v>3400</v>
      </c>
      <c r="F4817" s="11">
        <v>165</v>
      </c>
    </row>
    <row r="4818" spans="2:6" x14ac:dyDescent="0.3">
      <c r="B4818" s="12">
        <v>4815</v>
      </c>
      <c r="C4818" s="28">
        <v>153.52331433036127</v>
      </c>
      <c r="E4818" s="14" t="s">
        <v>4840</v>
      </c>
      <c r="F4818" s="11">
        <v>175</v>
      </c>
    </row>
    <row r="4819" spans="2:6" x14ac:dyDescent="0.3">
      <c r="B4819" s="12">
        <v>4816</v>
      </c>
      <c r="C4819" s="28">
        <v>156.23313013676224</v>
      </c>
      <c r="E4819" s="14" t="s">
        <v>4842</v>
      </c>
      <c r="F4819" s="11">
        <v>158</v>
      </c>
    </row>
    <row r="4820" spans="2:6" x14ac:dyDescent="0.3">
      <c r="B4820" s="12">
        <v>4817</v>
      </c>
      <c r="C4820" s="28">
        <v>165.17952644229936</v>
      </c>
      <c r="E4820" s="14" t="s">
        <v>4841</v>
      </c>
      <c r="F4820" s="11">
        <v>170</v>
      </c>
    </row>
    <row r="4821" spans="2:6" x14ac:dyDescent="0.3">
      <c r="B4821" s="12">
        <v>4818</v>
      </c>
      <c r="C4821" s="28">
        <v>163.34827984791494</v>
      </c>
      <c r="E4821" s="14" t="s">
        <v>3675</v>
      </c>
      <c r="F4821" s="11">
        <v>173</v>
      </c>
    </row>
    <row r="4822" spans="2:6" x14ac:dyDescent="0.3">
      <c r="B4822" s="12">
        <v>4819</v>
      </c>
      <c r="C4822" s="28">
        <v>167.67564136594422</v>
      </c>
      <c r="E4822" s="14" t="s">
        <v>4465</v>
      </c>
      <c r="F4822" s="11">
        <v>176</v>
      </c>
    </row>
    <row r="4823" spans="2:6" x14ac:dyDescent="0.3">
      <c r="B4823" s="12">
        <v>4820</v>
      </c>
      <c r="C4823" s="28">
        <v>166.87803228838604</v>
      </c>
      <c r="E4823" s="14" t="s">
        <v>1000</v>
      </c>
      <c r="F4823" s="11">
        <v>178</v>
      </c>
    </row>
    <row r="4824" spans="2:6" x14ac:dyDescent="0.3">
      <c r="B4824" s="12">
        <v>4821</v>
      </c>
      <c r="C4824" s="28">
        <v>167.2422803526926</v>
      </c>
      <c r="E4824" s="14" t="s">
        <v>1643</v>
      </c>
      <c r="F4824" s="11">
        <v>165</v>
      </c>
    </row>
    <row r="4825" spans="2:6" x14ac:dyDescent="0.3">
      <c r="B4825" s="12">
        <v>4822</v>
      </c>
      <c r="C4825" s="28">
        <v>160.99231580255855</v>
      </c>
      <c r="E4825" s="14" t="s">
        <v>4879</v>
      </c>
      <c r="F4825" s="11">
        <v>162</v>
      </c>
    </row>
    <row r="4826" spans="2:6" x14ac:dyDescent="0.3">
      <c r="B4826" s="12">
        <v>4823</v>
      </c>
      <c r="C4826" s="28">
        <v>174.82671339582311</v>
      </c>
      <c r="E4826" s="14" t="s">
        <v>4313</v>
      </c>
      <c r="F4826" s="11">
        <v>174</v>
      </c>
    </row>
    <row r="4827" spans="2:6" x14ac:dyDescent="0.3">
      <c r="B4827" s="12">
        <v>4824</v>
      </c>
      <c r="C4827" s="28">
        <v>161.8981577518187</v>
      </c>
      <c r="E4827" s="14" t="s">
        <v>625</v>
      </c>
      <c r="F4827" s="11">
        <v>168</v>
      </c>
    </row>
    <row r="4828" spans="2:6" x14ac:dyDescent="0.3">
      <c r="B4828" s="12">
        <v>4825</v>
      </c>
      <c r="C4828" s="28">
        <v>162.53885925295697</v>
      </c>
      <c r="E4828" s="14" t="s">
        <v>4851</v>
      </c>
      <c r="F4828" s="11">
        <v>157</v>
      </c>
    </row>
    <row r="4829" spans="2:6" x14ac:dyDescent="0.3">
      <c r="B4829" s="12">
        <v>4826</v>
      </c>
      <c r="C4829" s="28">
        <v>142.18716260540347</v>
      </c>
      <c r="E4829" s="14" t="s">
        <v>4852</v>
      </c>
      <c r="F4829" s="11">
        <v>180</v>
      </c>
    </row>
    <row r="4830" spans="2:6" x14ac:dyDescent="0.3">
      <c r="B4830" s="12">
        <v>4827</v>
      </c>
      <c r="C4830" s="28">
        <v>175.20225282067318</v>
      </c>
      <c r="E4830" s="14" t="s">
        <v>4854</v>
      </c>
      <c r="F4830" s="11">
        <v>178</v>
      </c>
    </row>
    <row r="4831" spans="2:6" x14ac:dyDescent="0.3">
      <c r="B4831" s="12">
        <v>4828</v>
      </c>
      <c r="C4831" s="28">
        <v>155.15292017120936</v>
      </c>
      <c r="E4831" s="14" t="s">
        <v>4855</v>
      </c>
      <c r="F4831" s="11">
        <v>166</v>
      </c>
    </row>
    <row r="4832" spans="2:6" x14ac:dyDescent="0.3">
      <c r="B4832" s="12">
        <v>4829</v>
      </c>
      <c r="C4832" s="28">
        <v>167.5878968544219</v>
      </c>
      <c r="E4832" s="14" t="s">
        <v>4856</v>
      </c>
      <c r="F4832" s="11">
        <v>166</v>
      </c>
    </row>
    <row r="4833" spans="2:6" x14ac:dyDescent="0.3">
      <c r="B4833" s="12">
        <v>4830</v>
      </c>
      <c r="C4833" s="28">
        <v>165.07726773044229</v>
      </c>
      <c r="E4833" s="14" t="s">
        <v>4857</v>
      </c>
      <c r="F4833" s="11">
        <v>168</v>
      </c>
    </row>
    <row r="4834" spans="2:6" x14ac:dyDescent="0.3">
      <c r="B4834" s="12">
        <v>4831</v>
      </c>
      <c r="C4834" s="28">
        <v>156.98181425015099</v>
      </c>
      <c r="E4834" s="14" t="s">
        <v>4858</v>
      </c>
      <c r="F4834" s="11">
        <v>182</v>
      </c>
    </row>
    <row r="4835" spans="2:6" x14ac:dyDescent="0.3">
      <c r="B4835" s="12">
        <v>4832</v>
      </c>
      <c r="C4835" s="28">
        <v>159.97116942219526</v>
      </c>
      <c r="E4835" s="14" t="s">
        <v>4859</v>
      </c>
      <c r="F4835" s="11">
        <v>166</v>
      </c>
    </row>
    <row r="4836" spans="2:6" x14ac:dyDescent="0.3">
      <c r="B4836" s="12">
        <v>4833</v>
      </c>
      <c r="C4836" s="28">
        <v>159.45207886128168</v>
      </c>
      <c r="E4836" s="14" t="s">
        <v>4860</v>
      </c>
      <c r="F4836" s="11">
        <v>155</v>
      </c>
    </row>
    <row r="4837" spans="2:6" x14ac:dyDescent="0.3">
      <c r="B4837" s="12">
        <v>4834</v>
      </c>
      <c r="C4837" s="28">
        <v>157.70716126242178</v>
      </c>
      <c r="E4837" s="14" t="s">
        <v>4861</v>
      </c>
      <c r="F4837" s="11">
        <v>201</v>
      </c>
    </row>
    <row r="4838" spans="2:6" x14ac:dyDescent="0.3">
      <c r="B4838" s="12">
        <v>4835</v>
      </c>
      <c r="C4838" s="28">
        <v>165.01412821244699</v>
      </c>
      <c r="E4838" s="14" t="s">
        <v>835</v>
      </c>
      <c r="F4838" s="11">
        <v>158</v>
      </c>
    </row>
    <row r="4839" spans="2:6" x14ac:dyDescent="0.3">
      <c r="B4839" s="12">
        <v>4836</v>
      </c>
      <c r="C4839" s="28">
        <v>169.13591063658447</v>
      </c>
      <c r="E4839" s="14" t="s">
        <v>4767</v>
      </c>
      <c r="F4839" s="11">
        <v>160</v>
      </c>
    </row>
    <row r="4840" spans="2:6" x14ac:dyDescent="0.3">
      <c r="B4840" s="12">
        <v>4837</v>
      </c>
      <c r="C4840" s="28">
        <v>164.83538028218132</v>
      </c>
      <c r="E4840" s="14" t="s">
        <v>4863</v>
      </c>
      <c r="F4840" s="11">
        <v>165</v>
      </c>
    </row>
    <row r="4841" spans="2:6" x14ac:dyDescent="0.3">
      <c r="B4841" s="12">
        <v>4838</v>
      </c>
      <c r="C4841" s="28">
        <v>150.47700760424141</v>
      </c>
      <c r="E4841" s="14" t="s">
        <v>4864</v>
      </c>
      <c r="F4841" s="11">
        <v>184</v>
      </c>
    </row>
    <row r="4842" spans="2:6" x14ac:dyDescent="0.3">
      <c r="B4842" s="12">
        <v>4839</v>
      </c>
      <c r="C4842" s="28">
        <v>160.98037098035758</v>
      </c>
      <c r="E4842" s="14" t="s">
        <v>1956</v>
      </c>
      <c r="F4842" s="11">
        <v>159</v>
      </c>
    </row>
    <row r="4843" spans="2:6" x14ac:dyDescent="0.3">
      <c r="B4843" s="12">
        <v>4840</v>
      </c>
      <c r="C4843" s="28">
        <v>164.56106644115272</v>
      </c>
      <c r="E4843" s="14" t="s">
        <v>2599</v>
      </c>
      <c r="F4843" s="11">
        <v>185</v>
      </c>
    </row>
    <row r="4844" spans="2:6" x14ac:dyDescent="0.3">
      <c r="B4844" s="12">
        <v>4841</v>
      </c>
      <c r="C4844" s="28">
        <v>167.8029418074901</v>
      </c>
      <c r="E4844" s="14" t="s">
        <v>3821</v>
      </c>
      <c r="F4844" s="11">
        <v>171</v>
      </c>
    </row>
    <row r="4845" spans="2:6" x14ac:dyDescent="0.3">
      <c r="B4845" s="12">
        <v>4842</v>
      </c>
      <c r="C4845" s="28">
        <v>165.23365215288055</v>
      </c>
      <c r="E4845" s="14" t="s">
        <v>4231</v>
      </c>
      <c r="F4845" s="11">
        <v>153</v>
      </c>
    </row>
    <row r="4846" spans="2:6" x14ac:dyDescent="0.3">
      <c r="B4846" s="12">
        <v>4843</v>
      </c>
      <c r="C4846" s="28">
        <v>168.70492909069893</v>
      </c>
      <c r="E4846" s="14" t="s">
        <v>2614</v>
      </c>
      <c r="F4846" s="11">
        <v>152</v>
      </c>
    </row>
    <row r="4847" spans="2:6" x14ac:dyDescent="0.3">
      <c r="B4847" s="12">
        <v>4844</v>
      </c>
      <c r="C4847" s="28">
        <v>155.13551074117458</v>
      </c>
      <c r="E4847" s="14" t="s">
        <v>1113</v>
      </c>
      <c r="F4847" s="11">
        <v>164</v>
      </c>
    </row>
    <row r="4848" spans="2:6" x14ac:dyDescent="0.3">
      <c r="B4848" s="12">
        <v>4845</v>
      </c>
      <c r="C4848" s="28">
        <v>164.8293960601325</v>
      </c>
      <c r="E4848" s="14" t="s">
        <v>1628</v>
      </c>
      <c r="F4848" s="11">
        <v>163</v>
      </c>
    </row>
    <row r="4849" spans="2:6" x14ac:dyDescent="0.3">
      <c r="B4849" s="12">
        <v>4846</v>
      </c>
      <c r="C4849" s="28">
        <v>157.80379947292985</v>
      </c>
      <c r="E4849" s="14" t="s">
        <v>1820</v>
      </c>
      <c r="F4849" s="11">
        <v>180</v>
      </c>
    </row>
    <row r="4850" spans="2:6" x14ac:dyDescent="0.3">
      <c r="B4850" s="12">
        <v>4847</v>
      </c>
      <c r="C4850" s="28">
        <v>179.70858202791845</v>
      </c>
      <c r="E4850" s="14" t="s">
        <v>2845</v>
      </c>
      <c r="F4850" s="11">
        <v>182</v>
      </c>
    </row>
    <row r="4851" spans="2:6" x14ac:dyDescent="0.3">
      <c r="B4851" s="12">
        <v>4848</v>
      </c>
      <c r="C4851" s="28">
        <v>164.39025899360931</v>
      </c>
      <c r="E4851" s="14" t="s">
        <v>4444</v>
      </c>
      <c r="F4851" s="11">
        <v>159</v>
      </c>
    </row>
    <row r="4852" spans="2:6" x14ac:dyDescent="0.3">
      <c r="B4852" s="12">
        <v>4849</v>
      </c>
      <c r="C4852" s="28">
        <v>160.75716817969169</v>
      </c>
      <c r="E4852" s="14" t="s">
        <v>2981</v>
      </c>
      <c r="F4852" s="11">
        <v>161</v>
      </c>
    </row>
    <row r="4853" spans="2:6" x14ac:dyDescent="0.3">
      <c r="B4853" s="12">
        <v>4850</v>
      </c>
      <c r="C4853" s="28">
        <v>176.17150387822252</v>
      </c>
      <c r="E4853" s="14" t="s">
        <v>1810</v>
      </c>
      <c r="F4853" s="11">
        <v>169</v>
      </c>
    </row>
    <row r="4854" spans="2:6" x14ac:dyDescent="0.3">
      <c r="B4854" s="12">
        <v>4851</v>
      </c>
      <c r="C4854" s="28">
        <v>157.17661717080901</v>
      </c>
      <c r="E4854" s="14" t="s">
        <v>2097</v>
      </c>
      <c r="F4854" s="11">
        <v>162</v>
      </c>
    </row>
    <row r="4855" spans="2:6" x14ac:dyDescent="0.3">
      <c r="B4855" s="12">
        <v>4852</v>
      </c>
      <c r="C4855" s="28">
        <v>154.82211629162234</v>
      </c>
      <c r="E4855" s="14" t="s">
        <v>54</v>
      </c>
      <c r="F4855" s="11">
        <v>165</v>
      </c>
    </row>
    <row r="4856" spans="2:6" x14ac:dyDescent="0.3">
      <c r="B4856" s="12">
        <v>4853</v>
      </c>
      <c r="C4856" s="28">
        <v>166.32612820115475</v>
      </c>
      <c r="E4856" s="14" t="s">
        <v>3679</v>
      </c>
      <c r="F4856" s="11">
        <v>192</v>
      </c>
    </row>
    <row r="4857" spans="2:6" x14ac:dyDescent="0.3">
      <c r="B4857" s="12">
        <v>4854</v>
      </c>
      <c r="C4857" s="28">
        <v>167.93743413361165</v>
      </c>
      <c r="E4857" s="14" t="s">
        <v>4258</v>
      </c>
      <c r="F4857" s="11">
        <v>174</v>
      </c>
    </row>
    <row r="4858" spans="2:6" x14ac:dyDescent="0.3">
      <c r="B4858" s="12">
        <v>4855</v>
      </c>
      <c r="C4858" s="28">
        <v>164.33333397096732</v>
      </c>
      <c r="E4858" s="14" t="s">
        <v>3153</v>
      </c>
      <c r="F4858" s="11">
        <v>167</v>
      </c>
    </row>
    <row r="4859" spans="2:6" x14ac:dyDescent="0.3">
      <c r="B4859" s="12">
        <v>4856</v>
      </c>
      <c r="C4859" s="28">
        <v>173.07461239008546</v>
      </c>
      <c r="E4859" s="14" t="s">
        <v>3203</v>
      </c>
      <c r="F4859" s="11">
        <v>170</v>
      </c>
    </row>
    <row r="4860" spans="2:6" x14ac:dyDescent="0.3">
      <c r="B4860" s="12">
        <v>4857</v>
      </c>
      <c r="C4860" s="28">
        <v>156.28033561567469</v>
      </c>
      <c r="E4860" s="14" t="s">
        <v>3497</v>
      </c>
      <c r="F4860" s="11">
        <v>160</v>
      </c>
    </row>
    <row r="4861" spans="2:6" x14ac:dyDescent="0.3">
      <c r="B4861" s="12">
        <v>4858</v>
      </c>
      <c r="C4861" s="28">
        <v>162.95555260502022</v>
      </c>
      <c r="E4861" s="14" t="s">
        <v>4817</v>
      </c>
      <c r="F4861" s="11">
        <v>178</v>
      </c>
    </row>
    <row r="4862" spans="2:6" x14ac:dyDescent="0.3">
      <c r="B4862" s="12">
        <v>4859</v>
      </c>
      <c r="C4862" s="28">
        <v>168.16178658453777</v>
      </c>
      <c r="E4862" s="14" t="s">
        <v>2368</v>
      </c>
      <c r="F4862" s="11">
        <v>179</v>
      </c>
    </row>
    <row r="4863" spans="2:6" x14ac:dyDescent="0.3">
      <c r="B4863" s="12">
        <v>4860</v>
      </c>
      <c r="C4863" s="28">
        <v>172.64173454612632</v>
      </c>
      <c r="E4863" s="14" t="s">
        <v>2460</v>
      </c>
      <c r="F4863" s="11">
        <v>177</v>
      </c>
    </row>
    <row r="4864" spans="2:6" x14ac:dyDescent="0.3">
      <c r="B4864" s="12">
        <v>4861</v>
      </c>
      <c r="C4864" s="28">
        <v>166.79313169715323</v>
      </c>
      <c r="E4864" s="14" t="s">
        <v>2025</v>
      </c>
      <c r="F4864" s="11">
        <v>162</v>
      </c>
    </row>
    <row r="4865" spans="2:6" x14ac:dyDescent="0.3">
      <c r="B4865" s="12">
        <v>4862</v>
      </c>
      <c r="C4865" s="28">
        <v>161.43583082521252</v>
      </c>
      <c r="E4865" s="14" t="s">
        <v>4820</v>
      </c>
      <c r="F4865" s="11">
        <v>163</v>
      </c>
    </row>
    <row r="4866" spans="2:6" x14ac:dyDescent="0.3">
      <c r="B4866" s="12">
        <v>4863</v>
      </c>
      <c r="C4866" s="28">
        <v>157.11030088926026</v>
      </c>
      <c r="E4866" s="14" t="s">
        <v>1384</v>
      </c>
      <c r="F4866" s="11">
        <v>169</v>
      </c>
    </row>
    <row r="4867" spans="2:6" x14ac:dyDescent="0.3">
      <c r="B4867" s="12">
        <v>4864</v>
      </c>
      <c r="C4867" s="28">
        <v>158.78828413477677</v>
      </c>
      <c r="E4867" s="14" t="s">
        <v>2029</v>
      </c>
      <c r="F4867" s="11">
        <v>180</v>
      </c>
    </row>
    <row r="4868" spans="2:6" x14ac:dyDescent="0.3">
      <c r="B4868" s="12">
        <v>4865</v>
      </c>
      <c r="C4868" s="28">
        <v>152.08123178927431</v>
      </c>
      <c r="E4868" s="14" t="s">
        <v>3550</v>
      </c>
      <c r="F4868" s="11">
        <v>177</v>
      </c>
    </row>
    <row r="4869" spans="2:6" x14ac:dyDescent="0.3">
      <c r="B4869" s="12">
        <v>4866</v>
      </c>
      <c r="C4869" s="28">
        <v>164.47869843392212</v>
      </c>
      <c r="E4869" s="14" t="s">
        <v>3573</v>
      </c>
      <c r="F4869" s="11">
        <v>162</v>
      </c>
    </row>
    <row r="4870" spans="2:6" x14ac:dyDescent="0.3">
      <c r="B4870" s="12">
        <v>4867</v>
      </c>
      <c r="C4870" s="28">
        <v>161.36991650151009</v>
      </c>
      <c r="E4870" s="14" t="s">
        <v>2358</v>
      </c>
      <c r="F4870" s="11">
        <v>180</v>
      </c>
    </row>
    <row r="4871" spans="2:6" x14ac:dyDescent="0.3">
      <c r="B4871" s="12">
        <v>4868</v>
      </c>
      <c r="C4871" s="28">
        <v>166.68116873478218</v>
      </c>
      <c r="E4871" s="14" t="s">
        <v>3737</v>
      </c>
      <c r="F4871" s="11">
        <v>180</v>
      </c>
    </row>
    <row r="4872" spans="2:6" x14ac:dyDescent="0.3">
      <c r="B4872" s="12">
        <v>4869</v>
      </c>
      <c r="C4872" s="28">
        <v>163.44257039960192</v>
      </c>
      <c r="E4872" s="14" t="s">
        <v>433</v>
      </c>
      <c r="F4872" s="11">
        <v>184</v>
      </c>
    </row>
    <row r="4873" spans="2:6" x14ac:dyDescent="0.3">
      <c r="B4873" s="12">
        <v>4870</v>
      </c>
      <c r="C4873" s="28">
        <v>165.73631782543569</v>
      </c>
      <c r="E4873" s="14" t="s">
        <v>206</v>
      </c>
      <c r="F4873" s="11">
        <v>168</v>
      </c>
    </row>
    <row r="4874" spans="2:6" x14ac:dyDescent="0.3">
      <c r="B4874" s="12">
        <v>4871</v>
      </c>
      <c r="C4874" s="28">
        <v>150.73593138545428</v>
      </c>
      <c r="E4874" s="14" t="s">
        <v>2166</v>
      </c>
      <c r="F4874" s="11">
        <v>162</v>
      </c>
    </row>
    <row r="4875" spans="2:6" x14ac:dyDescent="0.3">
      <c r="B4875" s="12">
        <v>4872</v>
      </c>
      <c r="C4875" s="28">
        <v>170.3953728263574</v>
      </c>
      <c r="E4875" s="14" t="s">
        <v>4347</v>
      </c>
      <c r="F4875" s="11">
        <v>157</v>
      </c>
    </row>
    <row r="4876" spans="2:6" x14ac:dyDescent="0.3">
      <c r="B4876" s="12">
        <v>4873</v>
      </c>
      <c r="C4876" s="28">
        <v>164.54641494936865</v>
      </c>
      <c r="E4876" s="14" t="s">
        <v>3256</v>
      </c>
      <c r="F4876" s="11">
        <v>155</v>
      </c>
    </row>
    <row r="4877" spans="2:6" x14ac:dyDescent="0.3">
      <c r="B4877" s="12">
        <v>4874</v>
      </c>
      <c r="C4877" s="28">
        <v>161.81622152703312</v>
      </c>
      <c r="E4877" s="14" t="s">
        <v>3144</v>
      </c>
      <c r="F4877" s="11">
        <v>157</v>
      </c>
    </row>
    <row r="4878" spans="2:6" x14ac:dyDescent="0.3">
      <c r="B4878" s="12">
        <v>4875</v>
      </c>
      <c r="C4878" s="28">
        <v>163.76123590167705</v>
      </c>
      <c r="E4878" s="14" t="s">
        <v>2045</v>
      </c>
      <c r="F4878" s="11">
        <v>160</v>
      </c>
    </row>
    <row r="4879" spans="2:6" x14ac:dyDescent="0.3">
      <c r="B4879" s="12">
        <v>4876</v>
      </c>
      <c r="C4879" s="28">
        <v>154.01147563497778</v>
      </c>
      <c r="E4879" s="14" t="s">
        <v>130</v>
      </c>
      <c r="F4879" s="11">
        <v>176</v>
      </c>
    </row>
    <row r="4880" spans="2:6" x14ac:dyDescent="0.3">
      <c r="B4880" s="12">
        <v>4877</v>
      </c>
      <c r="C4880" s="28">
        <v>175.19456374760375</v>
      </c>
      <c r="E4880" s="14" t="s">
        <v>2965</v>
      </c>
      <c r="F4880" s="11">
        <v>155</v>
      </c>
    </row>
    <row r="4881" spans="2:6" x14ac:dyDescent="0.3">
      <c r="B4881" s="12">
        <v>4878</v>
      </c>
      <c r="C4881" s="28">
        <v>155.4205893510655</v>
      </c>
      <c r="E4881" s="14" t="s">
        <v>1989</v>
      </c>
      <c r="F4881" s="11">
        <v>161</v>
      </c>
    </row>
    <row r="4882" spans="2:6" x14ac:dyDescent="0.3">
      <c r="B4882" s="12">
        <v>4879</v>
      </c>
      <c r="C4882" s="28">
        <v>153.93142941075456</v>
      </c>
      <c r="E4882" s="14" t="s">
        <v>2963</v>
      </c>
      <c r="F4882" s="11">
        <v>176</v>
      </c>
    </row>
    <row r="4883" spans="2:6" x14ac:dyDescent="0.3">
      <c r="B4883" s="12">
        <v>4880</v>
      </c>
      <c r="C4883" s="28">
        <v>157.15295263905537</v>
      </c>
      <c r="E4883" s="14" t="s">
        <v>1250</v>
      </c>
      <c r="F4883" s="11">
        <v>153</v>
      </c>
    </row>
    <row r="4884" spans="2:6" x14ac:dyDescent="0.3">
      <c r="B4884" s="12">
        <v>4881</v>
      </c>
      <c r="C4884" s="28">
        <v>166.79176035850782</v>
      </c>
      <c r="E4884" s="14" t="s">
        <v>2764</v>
      </c>
      <c r="F4884" s="11">
        <v>170</v>
      </c>
    </row>
    <row r="4885" spans="2:6" x14ac:dyDescent="0.3">
      <c r="B4885" s="12">
        <v>4882</v>
      </c>
      <c r="C4885" s="28">
        <v>151.80312414552017</v>
      </c>
      <c r="E4885" s="14" t="s">
        <v>3803</v>
      </c>
      <c r="F4885" s="11">
        <v>163</v>
      </c>
    </row>
    <row r="4886" spans="2:6" x14ac:dyDescent="0.3">
      <c r="B4886" s="12">
        <v>4883</v>
      </c>
      <c r="C4886" s="28">
        <v>169.86047961516525</v>
      </c>
      <c r="E4886" s="14" t="s">
        <v>2631</v>
      </c>
      <c r="F4886" s="11">
        <v>157</v>
      </c>
    </row>
    <row r="4887" spans="2:6" x14ac:dyDescent="0.3">
      <c r="B4887" s="12">
        <v>4884</v>
      </c>
      <c r="C4887" s="28">
        <v>154.08028743862897</v>
      </c>
      <c r="E4887" s="14" t="s">
        <v>1255</v>
      </c>
      <c r="F4887" s="11">
        <v>168</v>
      </c>
    </row>
    <row r="4888" spans="2:6" x14ac:dyDescent="0.3">
      <c r="B4888" s="12">
        <v>4885</v>
      </c>
      <c r="C4888" s="28">
        <v>156.99342183147758</v>
      </c>
      <c r="E4888" s="14" t="s">
        <v>544</v>
      </c>
      <c r="F4888" s="11">
        <v>184</v>
      </c>
    </row>
    <row r="4889" spans="2:6" x14ac:dyDescent="0.3">
      <c r="B4889" s="12">
        <v>4886</v>
      </c>
      <c r="C4889" s="28">
        <v>158.8615499249434</v>
      </c>
      <c r="E4889" s="14" t="s">
        <v>2374</v>
      </c>
      <c r="F4889" s="11">
        <v>175</v>
      </c>
    </row>
    <row r="4890" spans="2:6" x14ac:dyDescent="0.3">
      <c r="B4890" s="12">
        <v>4887</v>
      </c>
      <c r="C4890" s="28">
        <v>154.90263490363458</v>
      </c>
      <c r="E4890" s="14" t="s">
        <v>380</v>
      </c>
      <c r="F4890" s="11">
        <v>188</v>
      </c>
    </row>
    <row r="4891" spans="2:6" x14ac:dyDescent="0.3">
      <c r="B4891" s="12">
        <v>4888</v>
      </c>
      <c r="C4891" s="28">
        <v>170.27450742074475</v>
      </c>
      <c r="E4891" s="14" t="s">
        <v>2490</v>
      </c>
      <c r="F4891" s="11">
        <v>183</v>
      </c>
    </row>
    <row r="4892" spans="2:6" x14ac:dyDescent="0.3">
      <c r="B4892" s="12">
        <v>4889</v>
      </c>
      <c r="C4892" s="28">
        <v>165.36906682011093</v>
      </c>
      <c r="E4892" s="14" t="s">
        <v>3866</v>
      </c>
      <c r="F4892" s="11">
        <v>173</v>
      </c>
    </row>
    <row r="4893" spans="2:6" x14ac:dyDescent="0.3">
      <c r="B4893" s="12">
        <v>4890</v>
      </c>
      <c r="C4893" s="28">
        <v>154.9140692709004</v>
      </c>
      <c r="E4893" s="14" t="s">
        <v>4403</v>
      </c>
      <c r="F4893" s="11">
        <v>170</v>
      </c>
    </row>
    <row r="4894" spans="2:6" x14ac:dyDescent="0.3">
      <c r="B4894" s="12">
        <v>4891</v>
      </c>
      <c r="C4894" s="28">
        <v>164.51283652598588</v>
      </c>
      <c r="E4894" s="14" t="s">
        <v>3020</v>
      </c>
      <c r="F4894" s="11">
        <v>176</v>
      </c>
    </row>
    <row r="4895" spans="2:6" x14ac:dyDescent="0.3">
      <c r="B4895" s="12">
        <v>4892</v>
      </c>
      <c r="C4895" s="28">
        <v>169.9903538861802</v>
      </c>
      <c r="E4895" s="14" t="s">
        <v>4957</v>
      </c>
      <c r="F4895" s="11">
        <v>156</v>
      </c>
    </row>
    <row r="4896" spans="2:6" x14ac:dyDescent="0.3">
      <c r="B4896" s="12">
        <v>4893</v>
      </c>
      <c r="C4896" s="28">
        <v>155.30474269388449</v>
      </c>
      <c r="E4896" s="14" t="s">
        <v>2634</v>
      </c>
      <c r="F4896" s="11">
        <v>174</v>
      </c>
    </row>
    <row r="4897" spans="2:6" x14ac:dyDescent="0.3">
      <c r="B4897" s="12">
        <v>4894</v>
      </c>
      <c r="C4897" s="28">
        <v>167.55215481851295</v>
      </c>
      <c r="E4897" s="14" t="s">
        <v>2240</v>
      </c>
      <c r="F4897" s="11">
        <v>170</v>
      </c>
    </row>
    <row r="4898" spans="2:6" x14ac:dyDescent="0.3">
      <c r="B4898" s="12">
        <v>4895</v>
      </c>
      <c r="C4898" s="28">
        <v>156.1218772300254</v>
      </c>
      <c r="E4898" s="14" t="s">
        <v>4894</v>
      </c>
      <c r="F4898" s="11">
        <v>170</v>
      </c>
    </row>
    <row r="4899" spans="2:6" x14ac:dyDescent="0.3">
      <c r="B4899" s="12">
        <v>4896</v>
      </c>
      <c r="C4899" s="28">
        <v>146.66008744607464</v>
      </c>
      <c r="E4899" s="14" t="s">
        <v>346</v>
      </c>
      <c r="F4899" s="11">
        <v>166</v>
      </c>
    </row>
    <row r="4900" spans="2:6" x14ac:dyDescent="0.3">
      <c r="B4900" s="12">
        <v>4897</v>
      </c>
      <c r="C4900" s="28">
        <v>159.26538941025086</v>
      </c>
      <c r="E4900" s="14" t="s">
        <v>4900</v>
      </c>
      <c r="F4900" s="11">
        <v>164</v>
      </c>
    </row>
    <row r="4901" spans="2:6" x14ac:dyDescent="0.3">
      <c r="B4901" s="12">
        <v>4898</v>
      </c>
      <c r="C4901" s="28">
        <v>154.22607181304338</v>
      </c>
      <c r="E4901" s="14" t="s">
        <v>4901</v>
      </c>
      <c r="F4901" s="11">
        <v>193</v>
      </c>
    </row>
    <row r="4902" spans="2:6" x14ac:dyDescent="0.3">
      <c r="B4902" s="12">
        <v>4899</v>
      </c>
      <c r="C4902" s="28">
        <v>159.48575004067933</v>
      </c>
      <c r="E4902" s="14" t="s">
        <v>4902</v>
      </c>
      <c r="F4902" s="11">
        <v>176</v>
      </c>
    </row>
    <row r="4903" spans="2:6" x14ac:dyDescent="0.3">
      <c r="B4903" s="12">
        <v>4900</v>
      </c>
      <c r="C4903" s="28">
        <v>167.64217020610027</v>
      </c>
      <c r="E4903" s="14" t="s">
        <v>4903</v>
      </c>
      <c r="F4903" s="11">
        <v>172</v>
      </c>
    </row>
    <row r="4904" spans="2:6" x14ac:dyDescent="0.3">
      <c r="B4904" s="12">
        <v>4901</v>
      </c>
      <c r="C4904" s="28">
        <v>167.24710361454819</v>
      </c>
      <c r="E4904" s="14" t="s">
        <v>4904</v>
      </c>
      <c r="F4904" s="11">
        <v>166</v>
      </c>
    </row>
    <row r="4905" spans="2:6" x14ac:dyDescent="0.3">
      <c r="B4905" s="12">
        <v>4902</v>
      </c>
      <c r="C4905" s="28">
        <v>167.49603123102651</v>
      </c>
      <c r="E4905" s="14" t="s">
        <v>4905</v>
      </c>
      <c r="F4905" s="11">
        <v>164</v>
      </c>
    </row>
    <row r="4906" spans="2:6" x14ac:dyDescent="0.3">
      <c r="B4906" s="12">
        <v>4903</v>
      </c>
      <c r="C4906" s="28">
        <v>166.15408099422473</v>
      </c>
      <c r="E4906" s="14" t="s">
        <v>4906</v>
      </c>
      <c r="F4906" s="11">
        <v>163</v>
      </c>
    </row>
    <row r="4907" spans="2:6" x14ac:dyDescent="0.3">
      <c r="B4907" s="12">
        <v>4904</v>
      </c>
      <c r="C4907" s="28">
        <v>169.58868134601661</v>
      </c>
      <c r="E4907" s="14" t="s">
        <v>4908</v>
      </c>
      <c r="F4907" s="11">
        <v>177</v>
      </c>
    </row>
    <row r="4908" spans="2:6" x14ac:dyDescent="0.3">
      <c r="B4908" s="12">
        <v>4905</v>
      </c>
      <c r="C4908" s="28">
        <v>144.85329789047276</v>
      </c>
      <c r="E4908" s="14" t="s">
        <v>4909</v>
      </c>
      <c r="F4908" s="11">
        <v>162</v>
      </c>
    </row>
    <row r="4909" spans="2:6" x14ac:dyDescent="0.3">
      <c r="B4909" s="12">
        <v>4906</v>
      </c>
      <c r="C4909" s="28">
        <v>154.28637537845756</v>
      </c>
      <c r="E4909" s="14" t="s">
        <v>4910</v>
      </c>
      <c r="F4909" s="11">
        <v>180</v>
      </c>
    </row>
    <row r="4910" spans="2:6" x14ac:dyDescent="0.3">
      <c r="B4910" s="12">
        <v>4907</v>
      </c>
      <c r="C4910" s="28">
        <v>160.79487899844233</v>
      </c>
      <c r="E4910" s="14" t="s">
        <v>4912</v>
      </c>
      <c r="F4910" s="11">
        <v>172</v>
      </c>
    </row>
    <row r="4911" spans="2:6" x14ac:dyDescent="0.3">
      <c r="B4911" s="12">
        <v>4908</v>
      </c>
      <c r="C4911" s="28">
        <v>157.95011134140307</v>
      </c>
      <c r="E4911" s="14" t="s">
        <v>4914</v>
      </c>
      <c r="F4911" s="11">
        <v>177</v>
      </c>
    </row>
    <row r="4912" spans="2:6" x14ac:dyDescent="0.3">
      <c r="B4912" s="12">
        <v>4909</v>
      </c>
      <c r="C4912" s="28">
        <v>165.95576027992536</v>
      </c>
      <c r="E4912" s="14" t="s">
        <v>4915</v>
      </c>
      <c r="F4912" s="11">
        <v>182</v>
      </c>
    </row>
    <row r="4913" spans="2:6" x14ac:dyDescent="0.3">
      <c r="B4913" s="12">
        <v>4910</v>
      </c>
      <c r="C4913" s="28">
        <v>159.88792063773252</v>
      </c>
      <c r="E4913" s="14" t="s">
        <v>4916</v>
      </c>
      <c r="F4913" s="11">
        <v>183</v>
      </c>
    </row>
    <row r="4914" spans="2:6" x14ac:dyDescent="0.3">
      <c r="B4914" s="12">
        <v>4911</v>
      </c>
      <c r="C4914" s="28">
        <v>150.89036141994006</v>
      </c>
      <c r="E4914" s="14" t="s">
        <v>4917</v>
      </c>
      <c r="F4914" s="11">
        <v>168</v>
      </c>
    </row>
    <row r="4915" spans="2:6" x14ac:dyDescent="0.3">
      <c r="B4915" s="12">
        <v>4912</v>
      </c>
      <c r="C4915" s="28">
        <v>160.87031889951578</v>
      </c>
      <c r="E4915" s="14" t="s">
        <v>4918</v>
      </c>
      <c r="F4915" s="11">
        <v>162</v>
      </c>
    </row>
    <row r="4916" spans="2:6" x14ac:dyDescent="0.3">
      <c r="B4916" s="12">
        <v>4913</v>
      </c>
      <c r="C4916" s="28">
        <v>169.67827649638883</v>
      </c>
      <c r="E4916" s="14" t="s">
        <v>4919</v>
      </c>
      <c r="F4916" s="11">
        <v>170</v>
      </c>
    </row>
    <row r="4917" spans="2:6" x14ac:dyDescent="0.3">
      <c r="B4917" s="12">
        <v>4914</v>
      </c>
      <c r="C4917" s="28">
        <v>148.21154772223755</v>
      </c>
      <c r="E4917" s="14" t="s">
        <v>4920</v>
      </c>
      <c r="F4917" s="11">
        <v>166</v>
      </c>
    </row>
    <row r="4918" spans="2:6" x14ac:dyDescent="0.3">
      <c r="B4918" s="12">
        <v>4915</v>
      </c>
      <c r="C4918" s="28">
        <v>164.97582659282025</v>
      </c>
      <c r="E4918" s="14" t="s">
        <v>4921</v>
      </c>
      <c r="F4918" s="11">
        <v>177</v>
      </c>
    </row>
    <row r="4919" spans="2:6" x14ac:dyDescent="0.3">
      <c r="B4919" s="12">
        <v>4916</v>
      </c>
      <c r="C4919" s="28">
        <v>152.56038604371673</v>
      </c>
      <c r="E4919" s="14" t="s">
        <v>4922</v>
      </c>
      <c r="F4919" s="11">
        <v>174</v>
      </c>
    </row>
    <row r="4920" spans="2:6" x14ac:dyDescent="0.3">
      <c r="B4920" s="12">
        <v>4917</v>
      </c>
      <c r="C4920" s="28">
        <v>168.51390016242021</v>
      </c>
      <c r="E4920" s="14" t="s">
        <v>4923</v>
      </c>
      <c r="F4920" s="11">
        <v>173</v>
      </c>
    </row>
    <row r="4921" spans="2:6" x14ac:dyDescent="0.3">
      <c r="B4921" s="12">
        <v>4918</v>
      </c>
      <c r="C4921" s="28">
        <v>170.867361727667</v>
      </c>
      <c r="E4921" s="14" t="s">
        <v>4924</v>
      </c>
      <c r="F4921" s="11">
        <v>177</v>
      </c>
    </row>
    <row r="4922" spans="2:6" x14ac:dyDescent="0.3">
      <c r="B4922" s="12">
        <v>4919</v>
      </c>
      <c r="C4922" s="28">
        <v>167.63034352739655</v>
      </c>
      <c r="E4922" s="14" t="s">
        <v>986</v>
      </c>
      <c r="F4922" s="11">
        <v>175</v>
      </c>
    </row>
    <row r="4923" spans="2:6" x14ac:dyDescent="0.3">
      <c r="B4923" s="12">
        <v>4920</v>
      </c>
      <c r="C4923" s="28">
        <v>169.64810344880487</v>
      </c>
      <c r="E4923" s="14" t="s">
        <v>3140</v>
      </c>
      <c r="F4923" s="11">
        <v>165</v>
      </c>
    </row>
    <row r="4924" spans="2:6" x14ac:dyDescent="0.3">
      <c r="B4924" s="12">
        <v>4921</v>
      </c>
      <c r="C4924" s="28">
        <v>166.48387533828037</v>
      </c>
      <c r="E4924" s="14" t="s">
        <v>4925</v>
      </c>
      <c r="F4924" s="11">
        <v>170</v>
      </c>
    </row>
    <row r="4925" spans="2:6" x14ac:dyDescent="0.3">
      <c r="B4925" s="12">
        <v>4922</v>
      </c>
      <c r="C4925" s="28">
        <v>170.63280649409919</v>
      </c>
      <c r="E4925" s="14" t="s">
        <v>4926</v>
      </c>
      <c r="F4925" s="11">
        <v>168</v>
      </c>
    </row>
    <row r="4926" spans="2:6" x14ac:dyDescent="0.3">
      <c r="B4926" s="12">
        <v>4923</v>
      </c>
      <c r="C4926" s="28">
        <v>149.23132234881908</v>
      </c>
      <c r="E4926" s="14" t="s">
        <v>4927</v>
      </c>
      <c r="F4926" s="11">
        <v>188</v>
      </c>
    </row>
    <row r="4927" spans="2:6" x14ac:dyDescent="0.3">
      <c r="B4927" s="12">
        <v>4924</v>
      </c>
      <c r="C4927" s="28">
        <v>157.87973544622142</v>
      </c>
      <c r="E4927" s="14" t="s">
        <v>4928</v>
      </c>
      <c r="F4927" s="11">
        <v>171</v>
      </c>
    </row>
    <row r="4928" spans="2:6" x14ac:dyDescent="0.3">
      <c r="B4928" s="12">
        <v>4925</v>
      </c>
      <c r="C4928" s="28">
        <v>160.23631236378307</v>
      </c>
      <c r="E4928" s="14" t="s">
        <v>4929</v>
      </c>
      <c r="F4928" s="11">
        <v>174</v>
      </c>
    </row>
    <row r="4929" spans="2:6" x14ac:dyDescent="0.3">
      <c r="B4929" s="12">
        <v>4926</v>
      </c>
      <c r="C4929" s="28">
        <v>166.23066739273335</v>
      </c>
      <c r="E4929" s="14" t="s">
        <v>4930</v>
      </c>
      <c r="F4929" s="11">
        <v>173</v>
      </c>
    </row>
    <row r="4930" spans="2:6" x14ac:dyDescent="0.3">
      <c r="B4930" s="12">
        <v>4927</v>
      </c>
      <c r="C4930" s="28">
        <v>160.45569822865207</v>
      </c>
      <c r="E4930" s="14" t="s">
        <v>4931</v>
      </c>
      <c r="F4930" s="11">
        <v>168</v>
      </c>
    </row>
    <row r="4931" spans="2:6" x14ac:dyDescent="0.3">
      <c r="B4931" s="12">
        <v>4928</v>
      </c>
      <c r="C4931" s="28">
        <v>160.94946918994106</v>
      </c>
      <c r="E4931" s="14" t="s">
        <v>4932</v>
      </c>
      <c r="F4931" s="11">
        <v>172</v>
      </c>
    </row>
    <row r="4932" spans="2:6" x14ac:dyDescent="0.3">
      <c r="B4932" s="12">
        <v>4929</v>
      </c>
      <c r="C4932" s="28">
        <v>158.18961367463189</v>
      </c>
      <c r="E4932" s="14" t="s">
        <v>3944</v>
      </c>
      <c r="F4932" s="11">
        <v>155</v>
      </c>
    </row>
    <row r="4933" spans="2:6" x14ac:dyDescent="0.3">
      <c r="B4933" s="12">
        <v>4930</v>
      </c>
      <c r="C4933" s="28">
        <v>151.16728266226181</v>
      </c>
      <c r="E4933" s="14" t="s">
        <v>4933</v>
      </c>
      <c r="F4933" s="11">
        <v>155</v>
      </c>
    </row>
    <row r="4934" spans="2:6" x14ac:dyDescent="0.3">
      <c r="B4934" s="12">
        <v>4931</v>
      </c>
      <c r="C4934" s="28">
        <v>174.10290026058257</v>
      </c>
      <c r="E4934" s="14" t="s">
        <v>4935</v>
      </c>
      <c r="F4934" s="11">
        <v>170</v>
      </c>
    </row>
    <row r="4935" spans="2:6" x14ac:dyDescent="0.3">
      <c r="B4935" s="12">
        <v>4932</v>
      </c>
      <c r="C4935" s="28">
        <v>159.90811176261741</v>
      </c>
      <c r="E4935" s="14" t="s">
        <v>4936</v>
      </c>
      <c r="F4935" s="11">
        <v>188</v>
      </c>
    </row>
    <row r="4936" spans="2:6" x14ac:dyDescent="0.3">
      <c r="B4936" s="12">
        <v>4933</v>
      </c>
      <c r="C4936" s="28">
        <v>158.38325223889626</v>
      </c>
      <c r="E4936" s="14" t="s">
        <v>711</v>
      </c>
      <c r="F4936" s="11">
        <v>160</v>
      </c>
    </row>
    <row r="4937" spans="2:6" x14ac:dyDescent="0.3">
      <c r="B4937" s="12">
        <v>4934</v>
      </c>
      <c r="C4937" s="28">
        <v>161.65937360505143</v>
      </c>
      <c r="E4937" s="14" t="s">
        <v>4939</v>
      </c>
      <c r="F4937" s="11">
        <v>168</v>
      </c>
    </row>
    <row r="4938" spans="2:6" x14ac:dyDescent="0.3">
      <c r="B4938" s="12">
        <v>4935</v>
      </c>
      <c r="C4938" s="28">
        <v>173.37937756752643</v>
      </c>
      <c r="E4938" s="14" t="s">
        <v>4940</v>
      </c>
      <c r="F4938" s="11">
        <v>166</v>
      </c>
    </row>
    <row r="4939" spans="2:6" x14ac:dyDescent="0.3">
      <c r="B4939" s="12">
        <v>4936</v>
      </c>
      <c r="C4939" s="28">
        <v>163.00134504727714</v>
      </c>
      <c r="E4939" s="14" t="s">
        <v>4941</v>
      </c>
      <c r="F4939" s="11">
        <v>170</v>
      </c>
    </row>
    <row r="4940" spans="2:6" x14ac:dyDescent="0.3">
      <c r="B4940" s="12">
        <v>4937</v>
      </c>
      <c r="C4940" s="28">
        <v>164.5422669038964</v>
      </c>
      <c r="E4940" s="14" t="s">
        <v>4942</v>
      </c>
      <c r="F4940" s="11">
        <v>175</v>
      </c>
    </row>
    <row r="4941" spans="2:6" x14ac:dyDescent="0.3">
      <c r="B4941" s="12">
        <v>4938</v>
      </c>
      <c r="C4941" s="28">
        <v>160.36303223523896</v>
      </c>
      <c r="E4941" s="14" t="s">
        <v>4943</v>
      </c>
      <c r="F4941" s="11">
        <v>172</v>
      </c>
    </row>
    <row r="4942" spans="2:6" x14ac:dyDescent="0.3">
      <c r="B4942" s="12">
        <v>4939</v>
      </c>
      <c r="C4942" s="28">
        <v>155.13103410574382</v>
      </c>
      <c r="E4942" s="14" t="s">
        <v>4944</v>
      </c>
      <c r="F4942" s="11">
        <v>168</v>
      </c>
    </row>
    <row r="4943" spans="2:6" x14ac:dyDescent="0.3">
      <c r="B4943" s="12">
        <v>4940</v>
      </c>
      <c r="C4943" s="28">
        <v>152.14994654593468</v>
      </c>
      <c r="E4943" s="14" t="s">
        <v>4945</v>
      </c>
      <c r="F4943" s="11">
        <v>175</v>
      </c>
    </row>
    <row r="4944" spans="2:6" x14ac:dyDescent="0.3">
      <c r="B4944" s="12">
        <v>4941</v>
      </c>
      <c r="C4944" s="28">
        <v>161.5592893822614</v>
      </c>
      <c r="E4944" s="14" t="s">
        <v>4946</v>
      </c>
      <c r="F4944" s="11">
        <v>174</v>
      </c>
    </row>
    <row r="4945" spans="2:6" x14ac:dyDescent="0.3">
      <c r="B4945" s="12">
        <v>4942</v>
      </c>
      <c r="C4945" s="28">
        <v>157.35082304122386</v>
      </c>
      <c r="E4945" s="14" t="s">
        <v>4947</v>
      </c>
      <c r="F4945" s="11">
        <v>177</v>
      </c>
    </row>
    <row r="4946" spans="2:6" x14ac:dyDescent="0.3">
      <c r="B4946" s="12">
        <v>4943</v>
      </c>
      <c r="C4946" s="28">
        <v>168.38042378195695</v>
      </c>
      <c r="E4946" s="14" t="s">
        <v>4948</v>
      </c>
      <c r="F4946" s="11">
        <v>198</v>
      </c>
    </row>
    <row r="4947" spans="2:6" x14ac:dyDescent="0.3">
      <c r="B4947" s="12">
        <v>4944</v>
      </c>
      <c r="C4947" s="28">
        <v>157.93516893304158</v>
      </c>
      <c r="E4947" s="14" t="s">
        <v>4949</v>
      </c>
      <c r="F4947" s="11">
        <v>180</v>
      </c>
    </row>
    <row r="4948" spans="2:6" x14ac:dyDescent="0.3">
      <c r="B4948" s="12">
        <v>4945</v>
      </c>
      <c r="C4948" s="28">
        <v>153.52914889026641</v>
      </c>
      <c r="E4948" s="14" t="s">
        <v>1182</v>
      </c>
      <c r="F4948" s="11">
        <v>152</v>
      </c>
    </row>
    <row r="4949" spans="2:6" x14ac:dyDescent="0.3">
      <c r="B4949" s="12">
        <v>4946</v>
      </c>
      <c r="C4949" s="28">
        <v>157.26456665430214</v>
      </c>
      <c r="E4949" s="14" t="s">
        <v>3898</v>
      </c>
      <c r="F4949" s="11">
        <v>188</v>
      </c>
    </row>
    <row r="4950" spans="2:6" x14ac:dyDescent="0.3">
      <c r="B4950" s="12">
        <v>4947</v>
      </c>
      <c r="C4950" s="28">
        <v>169.22634225178081</v>
      </c>
      <c r="E4950" s="14" t="s">
        <v>4913</v>
      </c>
      <c r="F4950" s="11">
        <v>162</v>
      </c>
    </row>
    <row r="4951" spans="2:6" x14ac:dyDescent="0.3">
      <c r="B4951" s="12">
        <v>4948</v>
      </c>
      <c r="C4951" s="28">
        <v>150.01672471702162</v>
      </c>
      <c r="E4951" s="14" t="s">
        <v>1996</v>
      </c>
      <c r="F4951" s="11">
        <v>165</v>
      </c>
    </row>
    <row r="4952" spans="2:6" x14ac:dyDescent="0.3">
      <c r="B4952" s="12">
        <v>4949</v>
      </c>
      <c r="C4952" s="28">
        <v>164.75300022850436</v>
      </c>
      <c r="E4952" s="14" t="s">
        <v>189</v>
      </c>
      <c r="F4952" s="11">
        <v>170</v>
      </c>
    </row>
    <row r="4953" spans="2:6" x14ac:dyDescent="0.3">
      <c r="B4953" s="12">
        <v>4950</v>
      </c>
      <c r="C4953" s="28">
        <v>162.80290882950118</v>
      </c>
      <c r="E4953" s="14" t="s">
        <v>573</v>
      </c>
      <c r="F4953" s="11">
        <v>168</v>
      </c>
    </row>
    <row r="4954" spans="2:6" x14ac:dyDescent="0.3">
      <c r="B4954" s="12">
        <v>4951</v>
      </c>
      <c r="C4954" s="28">
        <v>155.22124049183006</v>
      </c>
      <c r="E4954" s="14" t="s">
        <v>960</v>
      </c>
      <c r="F4954" s="11">
        <v>172</v>
      </c>
    </row>
    <row r="4955" spans="2:6" x14ac:dyDescent="0.3">
      <c r="B4955" s="12">
        <v>4952</v>
      </c>
      <c r="C4955" s="28">
        <v>162.83244121555236</v>
      </c>
      <c r="E4955" s="14" t="s">
        <v>2348</v>
      </c>
      <c r="F4955" s="11">
        <v>176</v>
      </c>
    </row>
    <row r="4956" spans="2:6" x14ac:dyDescent="0.3">
      <c r="B4956" s="12">
        <v>4953</v>
      </c>
      <c r="C4956" s="28">
        <v>160.08148076666458</v>
      </c>
      <c r="E4956" s="14" t="s">
        <v>4128</v>
      </c>
      <c r="F4956" s="11">
        <v>183</v>
      </c>
    </row>
    <row r="4957" spans="2:6" x14ac:dyDescent="0.3">
      <c r="B4957" s="12">
        <v>4954</v>
      </c>
      <c r="C4957" s="28">
        <v>155.64700739584012</v>
      </c>
      <c r="E4957" s="14" t="s">
        <v>3953</v>
      </c>
      <c r="F4957" s="11">
        <v>178</v>
      </c>
    </row>
    <row r="4958" spans="2:6" x14ac:dyDescent="0.3">
      <c r="B4958" s="12">
        <v>4955</v>
      </c>
      <c r="C4958" s="28">
        <v>151.63552173752981</v>
      </c>
      <c r="E4958" s="14" t="s">
        <v>1199</v>
      </c>
      <c r="F4958" s="11">
        <v>165</v>
      </c>
    </row>
    <row r="4959" spans="2:6" x14ac:dyDescent="0.3">
      <c r="B4959" s="12">
        <v>4956</v>
      </c>
      <c r="C4959" s="28">
        <v>165.84011523310033</v>
      </c>
      <c r="E4959" s="14" t="s">
        <v>2156</v>
      </c>
      <c r="F4959" s="11">
        <v>165</v>
      </c>
    </row>
    <row r="4960" spans="2:6" x14ac:dyDescent="0.3">
      <c r="B4960" s="12">
        <v>4957</v>
      </c>
      <c r="C4960" s="28">
        <v>159.68869833246444</v>
      </c>
      <c r="E4960" s="14" t="s">
        <v>221</v>
      </c>
      <c r="F4960" s="11">
        <v>168</v>
      </c>
    </row>
    <row r="4961" spans="2:6" x14ac:dyDescent="0.3">
      <c r="B4961" s="12">
        <v>4958</v>
      </c>
      <c r="C4961" s="28">
        <v>159.77544682404306</v>
      </c>
      <c r="E4961" s="14" t="s">
        <v>905</v>
      </c>
      <c r="F4961" s="11">
        <v>175</v>
      </c>
    </row>
    <row r="4962" spans="2:6" x14ac:dyDescent="0.3">
      <c r="B4962" s="12">
        <v>4959</v>
      </c>
      <c r="C4962" s="28">
        <v>159.94108078899674</v>
      </c>
      <c r="E4962" s="14" t="s">
        <v>155</v>
      </c>
      <c r="F4962" s="11">
        <v>165</v>
      </c>
    </row>
    <row r="4963" spans="2:6" x14ac:dyDescent="0.3">
      <c r="B4963" s="12">
        <v>4960</v>
      </c>
      <c r="C4963" s="28">
        <v>172.58121642180649</v>
      </c>
      <c r="E4963" s="14" t="s">
        <v>3021</v>
      </c>
      <c r="F4963" s="11">
        <v>175</v>
      </c>
    </row>
    <row r="4964" spans="2:6" x14ac:dyDescent="0.3">
      <c r="B4964" s="12">
        <v>4961</v>
      </c>
      <c r="C4964" s="28">
        <v>165.64811235174341</v>
      </c>
      <c r="E4964" s="14" t="s">
        <v>1166</v>
      </c>
      <c r="F4964" s="11">
        <v>164</v>
      </c>
    </row>
    <row r="4965" spans="2:6" x14ac:dyDescent="0.3">
      <c r="B4965" s="12">
        <v>4962</v>
      </c>
      <c r="C4965" s="28">
        <v>169.60513386936776</v>
      </c>
      <c r="E4965" s="14" t="s">
        <v>1282</v>
      </c>
      <c r="F4965" s="11">
        <v>170</v>
      </c>
    </row>
    <row r="4966" spans="2:6" x14ac:dyDescent="0.3">
      <c r="B4966" s="12">
        <v>4963</v>
      </c>
      <c r="C4966" s="28">
        <v>167.01655094949697</v>
      </c>
      <c r="E4966" s="14" t="s">
        <v>884</v>
      </c>
      <c r="F4966" s="11">
        <v>164</v>
      </c>
    </row>
    <row r="4967" spans="2:6" x14ac:dyDescent="0.3">
      <c r="B4967" s="12">
        <v>4964</v>
      </c>
      <c r="C4967" s="28">
        <v>156.64568338776559</v>
      </c>
      <c r="E4967" s="14" t="s">
        <v>2183</v>
      </c>
      <c r="F4967" s="11">
        <v>161</v>
      </c>
    </row>
    <row r="4968" spans="2:6" x14ac:dyDescent="0.3">
      <c r="B4968" s="12">
        <v>4965</v>
      </c>
      <c r="C4968" s="28">
        <v>159.33037679649732</v>
      </c>
      <c r="E4968" s="14" t="s">
        <v>1847</v>
      </c>
      <c r="F4968" s="11">
        <v>185</v>
      </c>
    </row>
    <row r="4969" spans="2:6" x14ac:dyDescent="0.3">
      <c r="B4969" s="12">
        <v>4966</v>
      </c>
      <c r="C4969" s="28">
        <v>165.52589174995725</v>
      </c>
      <c r="E4969" s="14" t="s">
        <v>1637</v>
      </c>
      <c r="F4969" s="11">
        <v>164</v>
      </c>
    </row>
    <row r="4970" spans="2:6" x14ac:dyDescent="0.3">
      <c r="B4970" s="12">
        <v>4967</v>
      </c>
      <c r="C4970" s="28">
        <v>157.03805857993819</v>
      </c>
      <c r="E4970" s="14" t="s">
        <v>1642</v>
      </c>
      <c r="F4970" s="11">
        <v>173</v>
      </c>
    </row>
    <row r="4971" spans="2:6" x14ac:dyDescent="0.3">
      <c r="B4971" s="12">
        <v>4968</v>
      </c>
      <c r="C4971" s="28">
        <v>164.60853744763523</v>
      </c>
    </row>
    <row r="4972" spans="2:6" x14ac:dyDescent="0.3">
      <c r="B4972" s="12">
        <v>4969</v>
      </c>
      <c r="C4972" s="28">
        <v>162.55581223478219</v>
      </c>
    </row>
    <row r="4973" spans="2:6" x14ac:dyDescent="0.3">
      <c r="B4973" s="12">
        <v>4970</v>
      </c>
      <c r="C4973" s="28">
        <v>173.23405691822319</v>
      </c>
    </row>
    <row r="4974" spans="2:6" x14ac:dyDescent="0.3">
      <c r="B4974" s="12">
        <v>4971</v>
      </c>
      <c r="C4974" s="28">
        <v>166.67159167547101</v>
      </c>
    </row>
    <row r="4975" spans="2:6" x14ac:dyDescent="0.3">
      <c r="B4975" s="12">
        <v>4972</v>
      </c>
      <c r="C4975" s="28">
        <v>164.18622813147147</v>
      </c>
    </row>
    <row r="4976" spans="2:6" x14ac:dyDescent="0.3">
      <c r="B4976" s="12">
        <v>4973</v>
      </c>
      <c r="C4976" s="28">
        <v>154.06048224765522</v>
      </c>
    </row>
    <row r="4977" spans="2:3" x14ac:dyDescent="0.3">
      <c r="B4977" s="12">
        <v>4974</v>
      </c>
      <c r="C4977" s="28">
        <v>154.27205775549319</v>
      </c>
    </row>
    <row r="4978" spans="2:3" x14ac:dyDescent="0.3">
      <c r="B4978" s="12">
        <v>4975</v>
      </c>
      <c r="C4978" s="28">
        <v>166.10062414011776</v>
      </c>
    </row>
    <row r="4979" spans="2:3" x14ac:dyDescent="0.3">
      <c r="B4979" s="12">
        <v>4976</v>
      </c>
      <c r="C4979" s="28">
        <v>168.27988461256427</v>
      </c>
    </row>
    <row r="4980" spans="2:3" x14ac:dyDescent="0.3">
      <c r="B4980" s="12">
        <v>4977</v>
      </c>
      <c r="C4980" s="28">
        <v>156.14879692945186</v>
      </c>
    </row>
    <row r="4981" spans="2:3" x14ac:dyDescent="0.3">
      <c r="B4981" s="12">
        <v>4978</v>
      </c>
      <c r="C4981" s="28">
        <v>163.81688743935953</v>
      </c>
    </row>
    <row r="4982" spans="2:3" x14ac:dyDescent="0.3">
      <c r="B4982" s="12">
        <v>4979</v>
      </c>
      <c r="C4982" s="28">
        <v>145.73442667151164</v>
      </c>
    </row>
    <row r="4983" spans="2:3" x14ac:dyDescent="0.3">
      <c r="B4983" s="12">
        <v>4980</v>
      </c>
      <c r="C4983" s="28">
        <v>157.6222701996968</v>
      </c>
    </row>
    <row r="4984" spans="2:3" x14ac:dyDescent="0.3">
      <c r="B4984" s="12">
        <v>4981</v>
      </c>
      <c r="C4984" s="28">
        <v>153.59954539644824</v>
      </c>
    </row>
    <row r="4985" spans="2:3" x14ac:dyDescent="0.3">
      <c r="B4985" s="12">
        <v>4982</v>
      </c>
      <c r="C4985" s="28">
        <v>153.52589027715271</v>
      </c>
    </row>
    <row r="4986" spans="2:3" x14ac:dyDescent="0.3">
      <c r="B4986" s="12">
        <v>4983</v>
      </c>
      <c r="C4986" s="28">
        <v>177.46601917423322</v>
      </c>
    </row>
    <row r="4987" spans="2:3" x14ac:dyDescent="0.3">
      <c r="B4987" s="12">
        <v>4984</v>
      </c>
      <c r="C4987" s="28">
        <v>167.2100433180309</v>
      </c>
    </row>
    <row r="4988" spans="2:3" x14ac:dyDescent="0.3">
      <c r="B4988" s="12">
        <v>4985</v>
      </c>
      <c r="C4988" s="28">
        <v>149.97945250147652</v>
      </c>
    </row>
    <row r="4989" spans="2:3" x14ac:dyDescent="0.3">
      <c r="B4989" s="12">
        <v>4986</v>
      </c>
      <c r="C4989" s="28">
        <v>172.82430542338264</v>
      </c>
    </row>
    <row r="4990" spans="2:3" x14ac:dyDescent="0.3">
      <c r="B4990" s="12">
        <v>4987</v>
      </c>
      <c r="C4990" s="28">
        <v>160.91585178257836</v>
      </c>
    </row>
    <row r="4991" spans="2:3" x14ac:dyDescent="0.3">
      <c r="B4991" s="12">
        <v>4988</v>
      </c>
      <c r="C4991" s="28">
        <v>166.6500178976824</v>
      </c>
    </row>
    <row r="4992" spans="2:3" x14ac:dyDescent="0.3">
      <c r="B4992" s="12">
        <v>4989</v>
      </c>
      <c r="C4992" s="28">
        <v>151.22837042282316</v>
      </c>
    </row>
    <row r="4993" spans="2:3" x14ac:dyDescent="0.3">
      <c r="B4993" s="12">
        <v>4990</v>
      </c>
      <c r="C4993" s="28">
        <v>154.82591403102074</v>
      </c>
    </row>
    <row r="4994" spans="2:3" x14ac:dyDescent="0.3">
      <c r="B4994" s="12">
        <v>4991</v>
      </c>
      <c r="C4994" s="28">
        <v>160.47592555451001</v>
      </c>
    </row>
    <row r="4995" spans="2:3" x14ac:dyDescent="0.3">
      <c r="B4995" s="12">
        <v>4992</v>
      </c>
      <c r="C4995" s="28">
        <v>159.09715433185048</v>
      </c>
    </row>
    <row r="4996" spans="2:3" x14ac:dyDescent="0.3">
      <c r="B4996" s="12">
        <v>4993</v>
      </c>
      <c r="C4996" s="28">
        <v>157.67769250187453</v>
      </c>
    </row>
    <row r="4997" spans="2:3" x14ac:dyDescent="0.3">
      <c r="B4997" s="12">
        <v>4994</v>
      </c>
      <c r="C4997" s="28">
        <v>152.47730177976518</v>
      </c>
    </row>
    <row r="4998" spans="2:3" x14ac:dyDescent="0.3">
      <c r="B4998" s="12">
        <v>4995</v>
      </c>
      <c r="C4998" s="28">
        <v>150.10955507962544</v>
      </c>
    </row>
    <row r="4999" spans="2:3" x14ac:dyDescent="0.3">
      <c r="B4999" s="12">
        <v>4996</v>
      </c>
      <c r="C4999" s="28">
        <v>168.07853645533785</v>
      </c>
    </row>
    <row r="5000" spans="2:3" x14ac:dyDescent="0.3">
      <c r="B5000" s="12">
        <v>4997</v>
      </c>
      <c r="C5000" s="28">
        <v>170.35057280859715</v>
      </c>
    </row>
    <row r="5001" spans="2:3" x14ac:dyDescent="0.3">
      <c r="B5001" s="12">
        <v>4998</v>
      </c>
      <c r="C5001" s="28">
        <v>162.22470022294456</v>
      </c>
    </row>
    <row r="5002" spans="2:3" x14ac:dyDescent="0.3">
      <c r="B5002" s="12">
        <v>4999</v>
      </c>
      <c r="C5002" s="28">
        <v>175.34697755206591</v>
      </c>
    </row>
    <row r="5003" spans="2:3" x14ac:dyDescent="0.3">
      <c r="B5003" s="12">
        <v>5000</v>
      </c>
      <c r="C5003" s="28">
        <v>157.33838453397368</v>
      </c>
    </row>
  </sheetData>
  <mergeCells count="4">
    <mergeCell ref="I6:I7"/>
    <mergeCell ref="G6:H7"/>
    <mergeCell ref="B2:C2"/>
    <mergeCell ref="E2:F2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Scroll Bar 3">
              <controlPr defaultSize="0" autoPict="0">
                <anchor moveWithCells="1">
                  <from>
                    <xdr:col>9</xdr:col>
                    <xdr:colOff>266700</xdr:colOff>
                    <xdr:row>5</xdr:row>
                    <xdr:rowOff>53340</xdr:rowOff>
                  </from>
                  <to>
                    <xdr:col>16</xdr:col>
                    <xdr:colOff>525780</xdr:colOff>
                    <xdr:row>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5" name="CheckBox">
              <controlPr defaultSize="0" autoFill="0" autoLine="0" autoPict="0" altText="Show Line?">
                <anchor moveWithCells="1">
                  <from>
                    <xdr:col>17</xdr:col>
                    <xdr:colOff>106680</xdr:colOff>
                    <xdr:row>5</xdr:row>
                    <xdr:rowOff>7620</xdr:rowOff>
                  </from>
                  <to>
                    <xdr:col>19</xdr:col>
                    <xdr:colOff>213360</xdr:colOff>
                    <xdr:row>6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15E1-669C-4B31-9C97-0F8BE20980CF}">
  <dimension ref="B1:F23"/>
  <sheetViews>
    <sheetView showGridLines="0" workbookViewId="0">
      <selection activeCell="H23" sqref="H23"/>
    </sheetView>
  </sheetViews>
  <sheetFormatPr defaultRowHeight="14.4" x14ac:dyDescent="0.3"/>
  <cols>
    <col min="2" max="2" width="7.21875" customWidth="1"/>
    <col min="3" max="3" width="16" customWidth="1"/>
    <col min="4" max="4" width="11.77734375" customWidth="1"/>
    <col min="5" max="5" width="14.21875" customWidth="1"/>
    <col min="6" max="6" width="12.44140625" customWidth="1"/>
  </cols>
  <sheetData>
    <row r="1" spans="2:6" ht="16.8" customHeight="1" x14ac:dyDescent="0.3"/>
    <row r="2" spans="2:6" ht="21.6" customHeight="1" x14ac:dyDescent="0.3">
      <c r="B2" s="71" t="s">
        <v>5073</v>
      </c>
      <c r="C2" s="72"/>
      <c r="D2" s="72"/>
      <c r="E2" s="6"/>
      <c r="F2" s="6"/>
    </row>
    <row r="3" spans="2:6" x14ac:dyDescent="0.3">
      <c r="B3" s="17" t="s">
        <v>4976</v>
      </c>
      <c r="C3" s="17" t="s">
        <v>5054</v>
      </c>
      <c r="D3" s="17" t="s">
        <v>5074</v>
      </c>
      <c r="E3" s="17" t="s">
        <v>5072</v>
      </c>
      <c r="F3" s="17" t="s">
        <v>5075</v>
      </c>
    </row>
    <row r="4" spans="2:6" x14ac:dyDescent="0.3">
      <c r="B4" s="20">
        <v>1</v>
      </c>
      <c r="C4" s="20"/>
      <c r="D4" s="20"/>
      <c r="E4" s="20"/>
      <c r="F4" s="20"/>
    </row>
    <row r="5" spans="2:6" x14ac:dyDescent="0.3">
      <c r="B5" s="20">
        <v>2</v>
      </c>
      <c r="C5" s="20"/>
      <c r="D5" s="20"/>
      <c r="E5" s="20"/>
      <c r="F5" s="20"/>
    </row>
    <row r="6" spans="2:6" x14ac:dyDescent="0.3">
      <c r="B6" s="20">
        <v>3</v>
      </c>
      <c r="C6" s="20"/>
      <c r="D6" s="20"/>
      <c r="E6" s="20"/>
      <c r="F6" s="20"/>
    </row>
    <row r="7" spans="2:6" x14ac:dyDescent="0.3">
      <c r="B7" s="20">
        <v>4</v>
      </c>
      <c r="C7" s="20"/>
      <c r="D7" s="20"/>
      <c r="E7" s="20"/>
      <c r="F7" s="20"/>
    </row>
    <row r="8" spans="2:6" x14ac:dyDescent="0.3">
      <c r="B8" s="20">
        <v>5</v>
      </c>
      <c r="C8" s="20"/>
      <c r="D8" s="20"/>
      <c r="E8" s="20"/>
      <c r="F8" s="20"/>
    </row>
    <row r="9" spans="2:6" x14ac:dyDescent="0.3">
      <c r="B9" s="20">
        <v>6</v>
      </c>
      <c r="C9" s="20"/>
      <c r="D9" s="20"/>
      <c r="E9" s="20"/>
      <c r="F9" s="20"/>
    </row>
    <row r="10" spans="2:6" x14ac:dyDescent="0.3">
      <c r="B10" s="20">
        <v>7</v>
      </c>
      <c r="C10" s="20"/>
      <c r="D10" s="20"/>
      <c r="E10" s="20"/>
      <c r="F10" s="20"/>
    </row>
    <row r="11" spans="2:6" x14ac:dyDescent="0.3">
      <c r="B11" s="20">
        <v>8</v>
      </c>
      <c r="C11" s="20"/>
      <c r="D11" s="20"/>
      <c r="E11" s="20"/>
      <c r="F11" s="20"/>
    </row>
    <row r="12" spans="2:6" x14ac:dyDescent="0.3">
      <c r="B12" s="20">
        <v>9</v>
      </c>
      <c r="C12" s="20"/>
      <c r="D12" s="20"/>
      <c r="E12" s="20"/>
      <c r="F12" s="20"/>
    </row>
    <row r="13" spans="2:6" x14ac:dyDescent="0.3">
      <c r="B13" s="20">
        <v>10</v>
      </c>
      <c r="C13" s="20"/>
      <c r="D13" s="20"/>
      <c r="E13" s="20"/>
      <c r="F13" s="20"/>
    </row>
    <row r="14" spans="2:6" x14ac:dyDescent="0.3">
      <c r="B14" s="20">
        <v>11</v>
      </c>
      <c r="C14" s="20"/>
      <c r="D14" s="20"/>
      <c r="E14" s="20"/>
      <c r="F14" s="20"/>
    </row>
    <row r="15" spans="2:6" x14ac:dyDescent="0.3">
      <c r="B15" s="20">
        <v>12</v>
      </c>
      <c r="C15" s="20"/>
      <c r="D15" s="20"/>
      <c r="E15" s="20"/>
      <c r="F15" s="20"/>
    </row>
    <row r="16" spans="2:6" x14ac:dyDescent="0.3">
      <c r="B16" s="20">
        <v>13</v>
      </c>
      <c r="C16" s="20"/>
      <c r="D16" s="20"/>
      <c r="E16" s="20"/>
      <c r="F16" s="20"/>
    </row>
    <row r="17" spans="2:6" x14ac:dyDescent="0.3">
      <c r="B17" s="20">
        <v>14</v>
      </c>
      <c r="C17" s="20"/>
      <c r="D17" s="20"/>
      <c r="E17" s="20"/>
      <c r="F17" s="20"/>
    </row>
    <row r="18" spans="2:6" x14ac:dyDescent="0.3">
      <c r="B18" s="20">
        <v>15</v>
      </c>
      <c r="C18" s="20"/>
      <c r="D18" s="20"/>
      <c r="E18" s="20"/>
      <c r="F18" s="20"/>
    </row>
    <row r="19" spans="2:6" x14ac:dyDescent="0.3">
      <c r="B19" s="20">
        <v>16</v>
      </c>
      <c r="C19" s="20"/>
      <c r="D19" s="20"/>
      <c r="E19" s="20"/>
      <c r="F19" s="20"/>
    </row>
    <row r="20" spans="2:6" x14ac:dyDescent="0.3">
      <c r="B20" s="20">
        <v>17</v>
      </c>
      <c r="C20" s="20"/>
      <c r="D20" s="20"/>
      <c r="E20" s="20"/>
      <c r="F20" s="20"/>
    </row>
    <row r="21" spans="2:6" x14ac:dyDescent="0.3">
      <c r="B21" s="20">
        <v>18</v>
      </c>
      <c r="C21" s="20"/>
      <c r="D21" s="20"/>
      <c r="E21" s="20"/>
      <c r="F21" s="20"/>
    </row>
    <row r="22" spans="2:6" x14ac:dyDescent="0.3">
      <c r="B22" s="20">
        <v>19</v>
      </c>
      <c r="C22" s="20"/>
      <c r="D22" s="20"/>
      <c r="E22" s="20"/>
      <c r="F22" s="20"/>
    </row>
    <row r="23" spans="2:6" x14ac:dyDescent="0.3">
      <c r="B23" s="20">
        <v>20</v>
      </c>
      <c r="C23" s="20"/>
      <c r="D23" s="20"/>
      <c r="E23" s="20"/>
      <c r="F23" s="20"/>
    </row>
  </sheetData>
  <mergeCells count="1">
    <mergeCell ref="B2:D2"/>
  </mergeCells>
  <conditionalFormatting sqref="B4:F23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DF47-9F2E-4D82-9C7F-864FCA95BCAC}">
  <sheetPr>
    <tabColor theme="3" tint="0.59999389629810485"/>
  </sheetPr>
  <dimension ref="B1:AC34"/>
  <sheetViews>
    <sheetView showGridLines="0" workbookViewId="0">
      <selection activeCell="J39" sqref="J39"/>
    </sheetView>
  </sheetViews>
  <sheetFormatPr defaultRowHeight="14.4" x14ac:dyDescent="0.3"/>
  <cols>
    <col min="1" max="1" width="4.77734375" customWidth="1"/>
    <col min="2" max="2" width="8" customWidth="1"/>
    <col min="3" max="3" width="0.5546875" customWidth="1"/>
    <col min="4" max="27" width="7.21875" customWidth="1"/>
    <col min="28" max="28" width="1.21875" customWidth="1"/>
    <col min="29" max="29" width="7.21875" customWidth="1"/>
  </cols>
  <sheetData>
    <row r="1" spans="2:29" ht="23.1" customHeight="1" x14ac:dyDescent="0.3"/>
    <row r="2" spans="2:29" ht="24" customHeight="1" x14ac:dyDescent="0.3">
      <c r="D2" s="73" t="s">
        <v>5161</v>
      </c>
      <c r="E2" s="74"/>
      <c r="F2" s="74"/>
      <c r="G2" s="74"/>
      <c r="H2" s="74"/>
      <c r="I2" s="74"/>
      <c r="M2" s="61" t="b">
        <v>0</v>
      </c>
    </row>
    <row r="3" spans="2:29" ht="4.5" customHeight="1" thickBot="1" x14ac:dyDescent="0.35"/>
    <row r="4" spans="2:29" s="52" customFormat="1" ht="19.5" customHeight="1" thickBot="1" x14ac:dyDescent="0.35">
      <c r="C4"/>
      <c r="D4" s="54" t="s">
        <v>5126</v>
      </c>
      <c r="E4" s="54" t="s">
        <v>5127</v>
      </c>
      <c r="F4" s="54" t="s">
        <v>5128</v>
      </c>
      <c r="G4" s="54" t="s">
        <v>5129</v>
      </c>
      <c r="H4" s="54" t="s">
        <v>5130</v>
      </c>
      <c r="I4" s="54" t="s">
        <v>5131</v>
      </c>
      <c r="J4" s="54" t="s">
        <v>5132</v>
      </c>
      <c r="K4" s="54" t="s">
        <v>5133</v>
      </c>
      <c r="L4" s="54" t="s">
        <v>5134</v>
      </c>
      <c r="M4" s="54" t="s">
        <v>5135</v>
      </c>
      <c r="N4" s="54" t="s">
        <v>5136</v>
      </c>
      <c r="O4" s="54" t="s">
        <v>5137</v>
      </c>
      <c r="P4" s="54" t="s">
        <v>5138</v>
      </c>
      <c r="Q4" s="54" t="s">
        <v>5139</v>
      </c>
      <c r="R4" s="54" t="s">
        <v>5140</v>
      </c>
      <c r="S4" s="54" t="s">
        <v>5141</v>
      </c>
      <c r="T4" s="54" t="s">
        <v>5142</v>
      </c>
      <c r="U4" s="54" t="s">
        <v>5143</v>
      </c>
      <c r="V4" s="54" t="s">
        <v>5144</v>
      </c>
      <c r="W4" s="54" t="s">
        <v>5145</v>
      </c>
      <c r="X4" s="54" t="s">
        <v>5146</v>
      </c>
      <c r="Y4" s="54" t="s">
        <v>5147</v>
      </c>
      <c r="Z4" s="54" t="s">
        <v>5148</v>
      </c>
      <c r="AA4" s="54" t="s">
        <v>5149</v>
      </c>
      <c r="AC4" s="5" t="s">
        <v>4973</v>
      </c>
    </row>
    <row r="5" spans="2:29" ht="3.6" customHeight="1" thickBot="1" x14ac:dyDescent="0.35"/>
    <row r="6" spans="2:29" s="9" customFormat="1" ht="21.6" customHeight="1" thickBot="1" x14ac:dyDescent="0.35">
      <c r="B6" s="53" t="s">
        <v>5119</v>
      </c>
      <c r="C6"/>
      <c r="D6" s="55">
        <f>IF($M$2=TRUE,D26,D16)</f>
        <v>2153</v>
      </c>
      <c r="E6" s="55">
        <f t="shared" ref="E6:AA12" si="0">IF($M$2=TRUE,E26,E16)</f>
        <v>973</v>
      </c>
      <c r="F6" s="55">
        <f t="shared" si="0"/>
        <v>683</v>
      </c>
      <c r="G6" s="55">
        <f t="shared" si="0"/>
        <v>574</v>
      </c>
      <c r="H6" s="55">
        <f t="shared" si="0"/>
        <v>717</v>
      </c>
      <c r="I6" s="55">
        <f t="shared" si="0"/>
        <v>958</v>
      </c>
      <c r="J6" s="55">
        <f t="shared" si="0"/>
        <v>1962</v>
      </c>
      <c r="K6" s="55">
        <f t="shared" si="0"/>
        <v>2869</v>
      </c>
      <c r="L6" s="55">
        <f t="shared" si="0"/>
        <v>5638</v>
      </c>
      <c r="M6" s="55">
        <f t="shared" si="0"/>
        <v>5267</v>
      </c>
      <c r="N6" s="55">
        <f t="shared" si="0"/>
        <v>4577</v>
      </c>
      <c r="O6" s="55">
        <f t="shared" si="0"/>
        <v>4667</v>
      </c>
      <c r="P6" s="55">
        <f t="shared" si="0"/>
        <v>4651</v>
      </c>
      <c r="Q6" s="55">
        <f t="shared" si="0"/>
        <v>4843</v>
      </c>
      <c r="R6" s="55">
        <f t="shared" si="0"/>
        <v>5631</v>
      </c>
      <c r="S6" s="55">
        <f t="shared" si="0"/>
        <v>5236</v>
      </c>
      <c r="T6" s="55">
        <f t="shared" si="0"/>
        <v>6274</v>
      </c>
      <c r="U6" s="55">
        <f t="shared" si="0"/>
        <v>6160</v>
      </c>
      <c r="V6" s="55">
        <f t="shared" si="0"/>
        <v>5159</v>
      </c>
      <c r="W6" s="55">
        <f t="shared" si="0"/>
        <v>3993</v>
      </c>
      <c r="X6" s="55">
        <f t="shared" si="0"/>
        <v>3071</v>
      </c>
      <c r="Y6" s="55">
        <f t="shared" si="0"/>
        <v>2428</v>
      </c>
      <c r="Z6" s="55">
        <f t="shared" si="0"/>
        <v>2086</v>
      </c>
      <c r="AA6" s="55">
        <f t="shared" si="0"/>
        <v>1639</v>
      </c>
      <c r="AB6" s="50"/>
      <c r="AC6" s="51">
        <f>IF($M$2=TRUE,AC26,AC16)</f>
        <v>82209</v>
      </c>
    </row>
    <row r="7" spans="2:29" s="9" customFormat="1" ht="21.6" customHeight="1" thickBot="1" x14ac:dyDescent="0.35">
      <c r="B7" s="53" t="s">
        <v>5120</v>
      </c>
      <c r="C7"/>
      <c r="D7" s="55">
        <f t="shared" ref="D7:S12" si="1">IF($M$2=TRUE,D27,D17)</f>
        <v>1984</v>
      </c>
      <c r="E7" s="55">
        <f t="shared" si="1"/>
        <v>796</v>
      </c>
      <c r="F7" s="55">
        <f t="shared" si="1"/>
        <v>601</v>
      </c>
      <c r="G7" s="55">
        <f t="shared" si="1"/>
        <v>440</v>
      </c>
      <c r="H7" s="55">
        <f t="shared" si="1"/>
        <v>500</v>
      </c>
      <c r="I7" s="55">
        <f t="shared" si="1"/>
        <v>875</v>
      </c>
      <c r="J7" s="55">
        <f t="shared" si="1"/>
        <v>1939</v>
      </c>
      <c r="K7" s="55">
        <f t="shared" si="1"/>
        <v>2915</v>
      </c>
      <c r="L7" s="55">
        <f t="shared" si="1"/>
        <v>5880</v>
      </c>
      <c r="M7" s="55">
        <f t="shared" si="1"/>
        <v>5568</v>
      </c>
      <c r="N7" s="55">
        <f t="shared" si="1"/>
        <v>4891</v>
      </c>
      <c r="O7" s="55">
        <f t="shared" si="1"/>
        <v>4899</v>
      </c>
      <c r="P7" s="55">
        <f t="shared" si="1"/>
        <v>4959</v>
      </c>
      <c r="Q7" s="55">
        <f t="shared" si="1"/>
        <v>5051</v>
      </c>
      <c r="R7" s="55">
        <f t="shared" si="1"/>
        <v>5933</v>
      </c>
      <c r="S7" s="55">
        <f t="shared" si="1"/>
        <v>5347</v>
      </c>
      <c r="T7" s="55">
        <f t="shared" si="0"/>
        <v>6487</v>
      </c>
      <c r="U7" s="55">
        <f t="shared" si="0"/>
        <v>6442</v>
      </c>
      <c r="V7" s="55">
        <f t="shared" si="0"/>
        <v>5569</v>
      </c>
      <c r="W7" s="55">
        <f t="shared" si="0"/>
        <v>4386</v>
      </c>
      <c r="X7" s="55">
        <f t="shared" si="0"/>
        <v>3369</v>
      </c>
      <c r="Y7" s="55">
        <f t="shared" si="0"/>
        <v>2719</v>
      </c>
      <c r="Z7" s="55">
        <f t="shared" si="0"/>
        <v>2357</v>
      </c>
      <c r="AA7" s="55">
        <f t="shared" si="0"/>
        <v>1886</v>
      </c>
      <c r="AB7" s="50"/>
      <c r="AC7" s="51">
        <f t="shared" ref="AC7:AC12" si="2">IF($M$2=TRUE,AC27,AC17)</f>
        <v>85793</v>
      </c>
    </row>
    <row r="8" spans="2:29" s="9" customFormat="1" ht="21.6" customHeight="1" thickBot="1" x14ac:dyDescent="0.35">
      <c r="B8" s="53" t="s">
        <v>5121</v>
      </c>
      <c r="C8"/>
      <c r="D8" s="55">
        <f t="shared" si="1"/>
        <v>1998</v>
      </c>
      <c r="E8" s="55">
        <f t="shared" si="0"/>
        <v>908</v>
      </c>
      <c r="F8" s="55">
        <f t="shared" si="0"/>
        <v>579</v>
      </c>
      <c r="G8" s="55">
        <f t="shared" si="0"/>
        <v>439</v>
      </c>
      <c r="H8" s="55">
        <f t="shared" si="0"/>
        <v>554</v>
      </c>
      <c r="I8" s="55">
        <f t="shared" si="0"/>
        <v>881</v>
      </c>
      <c r="J8" s="55">
        <f t="shared" si="0"/>
        <v>1868</v>
      </c>
      <c r="K8" s="55">
        <f t="shared" si="0"/>
        <v>2976</v>
      </c>
      <c r="L8" s="55">
        <f t="shared" si="0"/>
        <v>5713</v>
      </c>
      <c r="M8" s="55">
        <f t="shared" si="0"/>
        <v>5233</v>
      </c>
      <c r="N8" s="55">
        <f t="shared" si="0"/>
        <v>4556</v>
      </c>
      <c r="O8" s="55">
        <f t="shared" si="0"/>
        <v>4626</v>
      </c>
      <c r="P8" s="55">
        <f t="shared" si="0"/>
        <v>4857</v>
      </c>
      <c r="Q8" s="55">
        <f t="shared" si="0"/>
        <v>4923</v>
      </c>
      <c r="R8" s="55">
        <f t="shared" si="0"/>
        <v>5915</v>
      </c>
      <c r="S8" s="55">
        <f t="shared" si="0"/>
        <v>5528</v>
      </c>
      <c r="T8" s="55">
        <f t="shared" si="0"/>
        <v>6548</v>
      </c>
      <c r="U8" s="55">
        <f t="shared" si="0"/>
        <v>6665</v>
      </c>
      <c r="V8" s="55">
        <f t="shared" si="0"/>
        <v>5869</v>
      </c>
      <c r="W8" s="55">
        <f t="shared" si="0"/>
        <v>4474</v>
      </c>
      <c r="X8" s="55">
        <f t="shared" si="0"/>
        <v>3499</v>
      </c>
      <c r="Y8" s="55">
        <f t="shared" si="0"/>
        <v>2901</v>
      </c>
      <c r="Z8" s="55">
        <f t="shared" si="0"/>
        <v>2571</v>
      </c>
      <c r="AA8" s="55">
        <f t="shared" si="0"/>
        <v>1903</v>
      </c>
      <c r="AB8" s="50"/>
      <c r="AC8" s="51">
        <f t="shared" si="2"/>
        <v>85984</v>
      </c>
    </row>
    <row r="9" spans="2:29" s="9" customFormat="1" ht="21.6" customHeight="1" thickBot="1" x14ac:dyDescent="0.35">
      <c r="B9" s="53" t="s">
        <v>5122</v>
      </c>
      <c r="C9"/>
      <c r="D9" s="55">
        <f t="shared" si="1"/>
        <v>2259</v>
      </c>
      <c r="E9" s="55">
        <f t="shared" si="0"/>
        <v>961</v>
      </c>
      <c r="F9" s="55">
        <f t="shared" si="0"/>
        <v>689</v>
      </c>
      <c r="G9" s="55">
        <f t="shared" si="0"/>
        <v>551</v>
      </c>
      <c r="H9" s="55">
        <f t="shared" si="0"/>
        <v>639</v>
      </c>
      <c r="I9" s="55">
        <f t="shared" si="0"/>
        <v>866</v>
      </c>
      <c r="J9" s="55">
        <f t="shared" si="0"/>
        <v>1815</v>
      </c>
      <c r="K9" s="55">
        <f t="shared" si="0"/>
        <v>2884</v>
      </c>
      <c r="L9" s="55">
        <f t="shared" si="0"/>
        <v>5789</v>
      </c>
      <c r="M9" s="55">
        <f t="shared" si="0"/>
        <v>5508</v>
      </c>
      <c r="N9" s="55">
        <f t="shared" si="0"/>
        <v>4802</v>
      </c>
      <c r="O9" s="55">
        <f t="shared" si="0"/>
        <v>4747</v>
      </c>
      <c r="P9" s="55">
        <f t="shared" si="0"/>
        <v>4933</v>
      </c>
      <c r="Q9" s="55">
        <f t="shared" si="0"/>
        <v>5105</v>
      </c>
      <c r="R9" s="55">
        <f t="shared" si="0"/>
        <v>5981</v>
      </c>
      <c r="S9" s="55">
        <f t="shared" si="0"/>
        <v>5479</v>
      </c>
      <c r="T9" s="55">
        <f t="shared" si="0"/>
        <v>6554</v>
      </c>
      <c r="U9" s="55">
        <f t="shared" si="0"/>
        <v>6597</v>
      </c>
      <c r="V9" s="55">
        <f t="shared" si="0"/>
        <v>5869</v>
      </c>
      <c r="W9" s="55">
        <f t="shared" si="0"/>
        <v>4492</v>
      </c>
      <c r="X9" s="55">
        <f t="shared" si="0"/>
        <v>3700</v>
      </c>
      <c r="Y9" s="55">
        <f t="shared" si="0"/>
        <v>3006</v>
      </c>
      <c r="Z9" s="55">
        <f t="shared" si="0"/>
        <v>2803</v>
      </c>
      <c r="AA9" s="55">
        <f t="shared" si="0"/>
        <v>2105</v>
      </c>
      <c r="AB9" s="50"/>
      <c r="AC9" s="51">
        <f t="shared" si="2"/>
        <v>88134</v>
      </c>
    </row>
    <row r="10" spans="2:29" s="9" customFormat="1" ht="21.6" customHeight="1" thickBot="1" x14ac:dyDescent="0.35">
      <c r="B10" s="53" t="s">
        <v>5123</v>
      </c>
      <c r="C10"/>
      <c r="D10" s="55">
        <f t="shared" si="1"/>
        <v>2582</v>
      </c>
      <c r="E10" s="55">
        <f t="shared" si="0"/>
        <v>1244</v>
      </c>
      <c r="F10" s="55">
        <f t="shared" si="0"/>
        <v>902</v>
      </c>
      <c r="G10" s="55">
        <f t="shared" si="0"/>
        <v>713</v>
      </c>
      <c r="H10" s="55">
        <f t="shared" si="0"/>
        <v>802</v>
      </c>
      <c r="I10" s="55">
        <f t="shared" si="0"/>
        <v>972</v>
      </c>
      <c r="J10" s="55">
        <f t="shared" si="0"/>
        <v>1974</v>
      </c>
      <c r="K10" s="55">
        <f t="shared" si="0"/>
        <v>2852</v>
      </c>
      <c r="L10" s="55">
        <f t="shared" si="0"/>
        <v>5516</v>
      </c>
      <c r="M10" s="55">
        <f t="shared" si="0"/>
        <v>5300</v>
      </c>
      <c r="N10" s="55">
        <f t="shared" si="0"/>
        <v>4709</v>
      </c>
      <c r="O10" s="55">
        <f t="shared" si="0"/>
        <v>4820</v>
      </c>
      <c r="P10" s="55">
        <f t="shared" si="0"/>
        <v>5011</v>
      </c>
      <c r="Q10" s="55">
        <f t="shared" si="0"/>
        <v>5308</v>
      </c>
      <c r="R10" s="55">
        <f t="shared" si="0"/>
        <v>6361</v>
      </c>
      <c r="S10" s="55">
        <f t="shared" si="0"/>
        <v>5966</v>
      </c>
      <c r="T10" s="55">
        <f t="shared" si="0"/>
        <v>7093</v>
      </c>
      <c r="U10" s="55">
        <f t="shared" si="0"/>
        <v>6934</v>
      </c>
      <c r="V10" s="55">
        <f t="shared" si="0"/>
        <v>5932</v>
      </c>
      <c r="W10" s="55">
        <f t="shared" si="0"/>
        <v>4903</v>
      </c>
      <c r="X10" s="55">
        <f t="shared" si="0"/>
        <v>3954</v>
      </c>
      <c r="Y10" s="55">
        <f t="shared" si="0"/>
        <v>3233</v>
      </c>
      <c r="Z10" s="55">
        <f t="shared" si="0"/>
        <v>3120</v>
      </c>
      <c r="AA10" s="55">
        <f t="shared" si="0"/>
        <v>2608</v>
      </c>
      <c r="AB10" s="50"/>
      <c r="AC10" s="51">
        <f t="shared" si="2"/>
        <v>92809</v>
      </c>
    </row>
    <row r="11" spans="2:29" s="9" customFormat="1" ht="21.6" customHeight="1" thickBot="1" x14ac:dyDescent="0.35">
      <c r="B11" s="53" t="s">
        <v>5124</v>
      </c>
      <c r="C11"/>
      <c r="D11" s="55">
        <f t="shared" si="1"/>
        <v>3148</v>
      </c>
      <c r="E11" s="55">
        <f t="shared" si="0"/>
        <v>1997</v>
      </c>
      <c r="F11" s="55">
        <f t="shared" si="0"/>
        <v>1678</v>
      </c>
      <c r="G11" s="55">
        <f t="shared" si="0"/>
        <v>1476</v>
      </c>
      <c r="H11" s="55">
        <f t="shared" si="0"/>
        <v>1727</v>
      </c>
      <c r="I11" s="55">
        <f t="shared" si="0"/>
        <v>1383</v>
      </c>
      <c r="J11" s="55">
        <f t="shared" si="0"/>
        <v>1303</v>
      </c>
      <c r="K11" s="55">
        <f t="shared" si="0"/>
        <v>1194</v>
      </c>
      <c r="L11" s="55">
        <f t="shared" si="0"/>
        <v>2359</v>
      </c>
      <c r="M11" s="55">
        <f t="shared" si="0"/>
        <v>2807</v>
      </c>
      <c r="N11" s="55">
        <f t="shared" si="0"/>
        <v>3243</v>
      </c>
      <c r="O11" s="55">
        <f t="shared" si="0"/>
        <v>3843</v>
      </c>
      <c r="P11" s="55">
        <f t="shared" si="0"/>
        <v>4240</v>
      </c>
      <c r="Q11" s="55">
        <f t="shared" si="0"/>
        <v>4616</v>
      </c>
      <c r="R11" s="55">
        <f t="shared" si="0"/>
        <v>5096</v>
      </c>
      <c r="S11" s="55">
        <f t="shared" si="0"/>
        <v>4547</v>
      </c>
      <c r="T11" s="55">
        <f t="shared" si="0"/>
        <v>5358</v>
      </c>
      <c r="U11" s="55">
        <f t="shared" si="0"/>
        <v>4913</v>
      </c>
      <c r="V11" s="55">
        <f t="shared" si="0"/>
        <v>4532</v>
      </c>
      <c r="W11" s="55">
        <f t="shared" si="0"/>
        <v>3775</v>
      </c>
      <c r="X11" s="55">
        <f t="shared" si="0"/>
        <v>3547</v>
      </c>
      <c r="Y11" s="55">
        <f t="shared" si="0"/>
        <v>3285</v>
      </c>
      <c r="Z11" s="55">
        <f t="shared" si="0"/>
        <v>3146</v>
      </c>
      <c r="AA11" s="55">
        <f t="shared" si="0"/>
        <v>2826</v>
      </c>
      <c r="AB11" s="50"/>
      <c r="AC11" s="51">
        <f t="shared" si="2"/>
        <v>76039</v>
      </c>
    </row>
    <row r="12" spans="2:29" s="9" customFormat="1" ht="21.6" customHeight="1" thickBot="1" x14ac:dyDescent="0.35">
      <c r="B12" s="53" t="s">
        <v>5125</v>
      </c>
      <c r="C12"/>
      <c r="D12" s="55">
        <f t="shared" si="1"/>
        <v>3071</v>
      </c>
      <c r="E12" s="55">
        <f t="shared" si="0"/>
        <v>2185</v>
      </c>
      <c r="F12" s="55">
        <f t="shared" si="0"/>
        <v>1786</v>
      </c>
      <c r="G12" s="55">
        <f t="shared" si="0"/>
        <v>1677</v>
      </c>
      <c r="H12" s="55">
        <f t="shared" si="0"/>
        <v>1958</v>
      </c>
      <c r="I12" s="55">
        <f t="shared" si="0"/>
        <v>1591</v>
      </c>
      <c r="J12" s="55">
        <f t="shared" si="0"/>
        <v>1185</v>
      </c>
      <c r="K12" s="55">
        <f t="shared" si="0"/>
        <v>1103</v>
      </c>
      <c r="L12" s="55">
        <f t="shared" si="0"/>
        <v>1786</v>
      </c>
      <c r="M12" s="55">
        <f t="shared" si="0"/>
        <v>2073</v>
      </c>
      <c r="N12" s="55">
        <f t="shared" si="0"/>
        <v>2694</v>
      </c>
      <c r="O12" s="55">
        <f t="shared" si="0"/>
        <v>3108</v>
      </c>
      <c r="P12" s="55">
        <f t="shared" si="0"/>
        <v>3586</v>
      </c>
      <c r="Q12" s="55">
        <f t="shared" si="0"/>
        <v>4060</v>
      </c>
      <c r="R12" s="55">
        <f t="shared" si="0"/>
        <v>4856</v>
      </c>
      <c r="S12" s="55">
        <f t="shared" si="0"/>
        <v>4180</v>
      </c>
      <c r="T12" s="55">
        <f t="shared" si="0"/>
        <v>4933</v>
      </c>
      <c r="U12" s="55">
        <f t="shared" si="0"/>
        <v>4379</v>
      </c>
      <c r="V12" s="55">
        <f t="shared" si="0"/>
        <v>4037</v>
      </c>
      <c r="W12" s="55">
        <f t="shared" si="0"/>
        <v>3475</v>
      </c>
      <c r="X12" s="55">
        <f t="shared" si="0"/>
        <v>3100</v>
      </c>
      <c r="Y12" s="55">
        <f t="shared" si="0"/>
        <v>2724</v>
      </c>
      <c r="Z12" s="55">
        <f t="shared" si="0"/>
        <v>2530</v>
      </c>
      <c r="AA12" s="55">
        <f t="shared" si="0"/>
        <v>1980</v>
      </c>
      <c r="AB12" s="50"/>
      <c r="AC12" s="51">
        <f t="shared" si="2"/>
        <v>68057</v>
      </c>
    </row>
    <row r="13" spans="2:29" s="9" customFormat="1" ht="6" customHeight="1" thickBot="1" x14ac:dyDescent="0.35">
      <c r="C13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</row>
    <row r="14" spans="2:29" s="9" customFormat="1" ht="21.6" customHeight="1" thickBot="1" x14ac:dyDescent="0.35">
      <c r="B14" s="56" t="s">
        <v>4973</v>
      </c>
      <c r="C14"/>
      <c r="D14" s="51">
        <f>IF($M$2=TRUE,D34,D24)</f>
        <v>17195</v>
      </c>
      <c r="E14" s="51">
        <f t="shared" ref="E14:AA14" si="3">IF($M$2=TRUE,E34,E24)</f>
        <v>9064</v>
      </c>
      <c r="F14" s="51">
        <f t="shared" si="3"/>
        <v>6918</v>
      </c>
      <c r="G14" s="51">
        <f t="shared" si="3"/>
        <v>5870</v>
      </c>
      <c r="H14" s="51">
        <f t="shared" si="3"/>
        <v>6897</v>
      </c>
      <c r="I14" s="51">
        <f t="shared" si="3"/>
        <v>7526</v>
      </c>
      <c r="J14" s="51">
        <f t="shared" si="3"/>
        <v>12046</v>
      </c>
      <c r="K14" s="51">
        <f t="shared" si="3"/>
        <v>16793</v>
      </c>
      <c r="L14" s="51">
        <f t="shared" si="3"/>
        <v>32681</v>
      </c>
      <c r="M14" s="51">
        <f t="shared" si="3"/>
        <v>31756</v>
      </c>
      <c r="N14" s="51">
        <f t="shared" si="3"/>
        <v>29472</v>
      </c>
      <c r="O14" s="51">
        <f t="shared" si="3"/>
        <v>30710</v>
      </c>
      <c r="P14" s="51">
        <f t="shared" si="3"/>
        <v>32237</v>
      </c>
      <c r="Q14" s="51">
        <f t="shared" si="3"/>
        <v>33906</v>
      </c>
      <c r="R14" s="51">
        <f t="shared" si="3"/>
        <v>39773</v>
      </c>
      <c r="S14" s="51">
        <f t="shared" si="3"/>
        <v>36283</v>
      </c>
      <c r="T14" s="51">
        <f t="shared" si="3"/>
        <v>43247</v>
      </c>
      <c r="U14" s="51">
        <f t="shared" si="3"/>
        <v>42090</v>
      </c>
      <c r="V14" s="51">
        <f t="shared" si="3"/>
        <v>36967</v>
      </c>
      <c r="W14" s="51">
        <f t="shared" si="3"/>
        <v>29498</v>
      </c>
      <c r="X14" s="51">
        <f t="shared" si="3"/>
        <v>24240</v>
      </c>
      <c r="Y14" s="51">
        <f t="shared" si="3"/>
        <v>20296</v>
      </c>
      <c r="Z14" s="51">
        <f t="shared" si="3"/>
        <v>18613</v>
      </c>
      <c r="AA14" s="51">
        <f t="shared" si="3"/>
        <v>14947</v>
      </c>
      <c r="AB14" s="50"/>
      <c r="AC14" s="51">
        <f>IF($M$2=TRUE,AC34,AC24)</f>
        <v>579025</v>
      </c>
    </row>
    <row r="16" spans="2:29" ht="15" hidden="1" thickBot="1" x14ac:dyDescent="0.35">
      <c r="D16" s="55">
        <v>2153</v>
      </c>
      <c r="E16" s="55">
        <v>973</v>
      </c>
      <c r="F16" s="55">
        <v>683</v>
      </c>
      <c r="G16" s="55">
        <v>574</v>
      </c>
      <c r="H16" s="55">
        <v>717</v>
      </c>
      <c r="I16" s="55">
        <v>958</v>
      </c>
      <c r="J16" s="55">
        <v>1962</v>
      </c>
      <c r="K16" s="55">
        <v>2869</v>
      </c>
      <c r="L16" s="55">
        <v>5638</v>
      </c>
      <c r="M16" s="55">
        <v>5267</v>
      </c>
      <c r="N16" s="55">
        <v>4577</v>
      </c>
      <c r="O16" s="55">
        <v>4667</v>
      </c>
      <c r="P16" s="55">
        <v>4651</v>
      </c>
      <c r="Q16" s="55">
        <v>4843</v>
      </c>
      <c r="R16" s="55">
        <v>5631</v>
      </c>
      <c r="S16" s="55">
        <v>5236</v>
      </c>
      <c r="T16" s="55">
        <v>6274</v>
      </c>
      <c r="U16" s="55">
        <v>6160</v>
      </c>
      <c r="V16" s="55">
        <v>5159</v>
      </c>
      <c r="W16" s="55">
        <v>3993</v>
      </c>
      <c r="X16" s="55">
        <v>3071</v>
      </c>
      <c r="Y16" s="55">
        <v>2428</v>
      </c>
      <c r="Z16" s="55">
        <v>2086</v>
      </c>
      <c r="AA16" s="55">
        <v>1639</v>
      </c>
      <c r="AB16" s="50"/>
      <c r="AC16" s="51">
        <f>SUM(D16:AA16)</f>
        <v>82209</v>
      </c>
    </row>
    <row r="17" spans="4:29" ht="15" hidden="1" thickBot="1" x14ac:dyDescent="0.35">
      <c r="D17" s="55">
        <v>1984</v>
      </c>
      <c r="E17" s="55">
        <v>796</v>
      </c>
      <c r="F17" s="55">
        <v>601</v>
      </c>
      <c r="G17" s="55">
        <v>440</v>
      </c>
      <c r="H17" s="55">
        <v>500</v>
      </c>
      <c r="I17" s="55">
        <v>875</v>
      </c>
      <c r="J17" s="55">
        <v>1939</v>
      </c>
      <c r="K17" s="55">
        <v>2915</v>
      </c>
      <c r="L17" s="55">
        <v>5880</v>
      </c>
      <c r="M17" s="55">
        <v>5568</v>
      </c>
      <c r="N17" s="55">
        <v>4891</v>
      </c>
      <c r="O17" s="55">
        <v>4899</v>
      </c>
      <c r="P17" s="55">
        <v>4959</v>
      </c>
      <c r="Q17" s="55">
        <v>5051</v>
      </c>
      <c r="R17" s="55">
        <v>5933</v>
      </c>
      <c r="S17" s="55">
        <v>5347</v>
      </c>
      <c r="T17" s="55">
        <v>6487</v>
      </c>
      <c r="U17" s="55">
        <v>6442</v>
      </c>
      <c r="V17" s="55">
        <v>5569</v>
      </c>
      <c r="W17" s="55">
        <v>4386</v>
      </c>
      <c r="X17" s="55">
        <v>3369</v>
      </c>
      <c r="Y17" s="55">
        <v>2719</v>
      </c>
      <c r="Z17" s="55">
        <v>2357</v>
      </c>
      <c r="AA17" s="55">
        <v>1886</v>
      </c>
      <c r="AB17" s="50"/>
      <c r="AC17" s="51">
        <f t="shared" ref="AC17:AC22" si="4">SUM(D17:AA17)</f>
        <v>85793</v>
      </c>
    </row>
    <row r="18" spans="4:29" ht="15" hidden="1" thickBot="1" x14ac:dyDescent="0.35">
      <c r="D18" s="55">
        <v>1998</v>
      </c>
      <c r="E18" s="55">
        <v>908</v>
      </c>
      <c r="F18" s="55">
        <v>579</v>
      </c>
      <c r="G18" s="55">
        <v>439</v>
      </c>
      <c r="H18" s="55">
        <v>554</v>
      </c>
      <c r="I18" s="55">
        <v>881</v>
      </c>
      <c r="J18" s="55">
        <v>1868</v>
      </c>
      <c r="K18" s="55">
        <v>2976</v>
      </c>
      <c r="L18" s="55">
        <v>5713</v>
      </c>
      <c r="M18" s="55">
        <v>5233</v>
      </c>
      <c r="N18" s="55">
        <v>4556</v>
      </c>
      <c r="O18" s="55">
        <v>4626</v>
      </c>
      <c r="P18" s="55">
        <v>4857</v>
      </c>
      <c r="Q18" s="55">
        <v>4923</v>
      </c>
      <c r="R18" s="55">
        <v>5915</v>
      </c>
      <c r="S18" s="55">
        <v>5528</v>
      </c>
      <c r="T18" s="55">
        <v>6548</v>
      </c>
      <c r="U18" s="55">
        <v>6665</v>
      </c>
      <c r="V18" s="55">
        <v>5869</v>
      </c>
      <c r="W18" s="55">
        <v>4474</v>
      </c>
      <c r="X18" s="55">
        <v>3499</v>
      </c>
      <c r="Y18" s="55">
        <v>2901</v>
      </c>
      <c r="Z18" s="55">
        <v>2571</v>
      </c>
      <c r="AA18" s="55">
        <v>1903</v>
      </c>
      <c r="AB18" s="50"/>
      <c r="AC18" s="51">
        <f t="shared" si="4"/>
        <v>85984</v>
      </c>
    </row>
    <row r="19" spans="4:29" ht="15" hidden="1" thickBot="1" x14ac:dyDescent="0.35">
      <c r="D19" s="55">
        <v>2259</v>
      </c>
      <c r="E19" s="55">
        <v>961</v>
      </c>
      <c r="F19" s="55">
        <v>689</v>
      </c>
      <c r="G19" s="55">
        <v>551</v>
      </c>
      <c r="H19" s="55">
        <v>639</v>
      </c>
      <c r="I19" s="55">
        <v>866</v>
      </c>
      <c r="J19" s="55">
        <v>1815</v>
      </c>
      <c r="K19" s="55">
        <v>2884</v>
      </c>
      <c r="L19" s="55">
        <v>5789</v>
      </c>
      <c r="M19" s="55">
        <v>5508</v>
      </c>
      <c r="N19" s="55">
        <v>4802</v>
      </c>
      <c r="O19" s="55">
        <v>4747</v>
      </c>
      <c r="P19" s="55">
        <v>4933</v>
      </c>
      <c r="Q19" s="55">
        <v>5105</v>
      </c>
      <c r="R19" s="55">
        <v>5981</v>
      </c>
      <c r="S19" s="55">
        <v>5479</v>
      </c>
      <c r="T19" s="55">
        <v>6554</v>
      </c>
      <c r="U19" s="55">
        <v>6597</v>
      </c>
      <c r="V19" s="55">
        <v>5869</v>
      </c>
      <c r="W19" s="55">
        <v>4492</v>
      </c>
      <c r="X19" s="55">
        <v>3700</v>
      </c>
      <c r="Y19" s="55">
        <v>3006</v>
      </c>
      <c r="Z19" s="55">
        <v>2803</v>
      </c>
      <c r="AA19" s="55">
        <v>2105</v>
      </c>
      <c r="AB19" s="50"/>
      <c r="AC19" s="51">
        <f t="shared" si="4"/>
        <v>88134</v>
      </c>
    </row>
    <row r="20" spans="4:29" ht="15" hidden="1" thickBot="1" x14ac:dyDescent="0.35">
      <c r="D20" s="55">
        <v>2582</v>
      </c>
      <c r="E20" s="55">
        <v>1244</v>
      </c>
      <c r="F20" s="55">
        <v>902</v>
      </c>
      <c r="G20" s="55">
        <v>713</v>
      </c>
      <c r="H20" s="55">
        <v>802</v>
      </c>
      <c r="I20" s="55">
        <v>972</v>
      </c>
      <c r="J20" s="55">
        <v>1974</v>
      </c>
      <c r="K20" s="55">
        <v>2852</v>
      </c>
      <c r="L20" s="55">
        <v>5516</v>
      </c>
      <c r="M20" s="55">
        <v>5300</v>
      </c>
      <c r="N20" s="55">
        <v>4709</v>
      </c>
      <c r="O20" s="55">
        <v>4820</v>
      </c>
      <c r="P20" s="55">
        <v>5011</v>
      </c>
      <c r="Q20" s="55">
        <v>5308</v>
      </c>
      <c r="R20" s="55">
        <v>6361</v>
      </c>
      <c r="S20" s="55">
        <v>5966</v>
      </c>
      <c r="T20" s="55">
        <v>7093</v>
      </c>
      <c r="U20" s="55">
        <v>6934</v>
      </c>
      <c r="V20" s="55">
        <v>5932</v>
      </c>
      <c r="W20" s="55">
        <v>4903</v>
      </c>
      <c r="X20" s="55">
        <v>3954</v>
      </c>
      <c r="Y20" s="55">
        <v>3233</v>
      </c>
      <c r="Z20" s="55">
        <v>3120</v>
      </c>
      <c r="AA20" s="55">
        <v>2608</v>
      </c>
      <c r="AB20" s="50"/>
      <c r="AC20" s="51">
        <f t="shared" si="4"/>
        <v>92809</v>
      </c>
    </row>
    <row r="21" spans="4:29" ht="15" hidden="1" thickBot="1" x14ac:dyDescent="0.35">
      <c r="D21" s="55">
        <v>3148</v>
      </c>
      <c r="E21" s="55">
        <v>1997</v>
      </c>
      <c r="F21" s="55">
        <v>1678</v>
      </c>
      <c r="G21" s="55">
        <v>1476</v>
      </c>
      <c r="H21" s="55">
        <v>1727</v>
      </c>
      <c r="I21" s="55">
        <v>1383</v>
      </c>
      <c r="J21" s="55">
        <v>1303</v>
      </c>
      <c r="K21" s="55">
        <v>1194</v>
      </c>
      <c r="L21" s="55">
        <v>2359</v>
      </c>
      <c r="M21" s="55">
        <v>2807</v>
      </c>
      <c r="N21" s="55">
        <v>3243</v>
      </c>
      <c r="O21" s="55">
        <v>3843</v>
      </c>
      <c r="P21" s="55">
        <v>4240</v>
      </c>
      <c r="Q21" s="55">
        <v>4616</v>
      </c>
      <c r="R21" s="55">
        <v>5096</v>
      </c>
      <c r="S21" s="55">
        <v>4547</v>
      </c>
      <c r="T21" s="55">
        <v>5358</v>
      </c>
      <c r="U21" s="55">
        <v>4913</v>
      </c>
      <c r="V21" s="55">
        <v>4532</v>
      </c>
      <c r="W21" s="55">
        <v>3775</v>
      </c>
      <c r="X21" s="55">
        <v>3547</v>
      </c>
      <c r="Y21" s="55">
        <v>3285</v>
      </c>
      <c r="Z21" s="55">
        <v>3146</v>
      </c>
      <c r="AA21" s="55">
        <v>2826</v>
      </c>
      <c r="AB21" s="50"/>
      <c r="AC21" s="51">
        <f t="shared" si="4"/>
        <v>76039</v>
      </c>
    </row>
    <row r="22" spans="4:29" ht="15" hidden="1" thickBot="1" x14ac:dyDescent="0.35">
      <c r="D22" s="55">
        <v>3071</v>
      </c>
      <c r="E22" s="55">
        <v>2185</v>
      </c>
      <c r="F22" s="55">
        <v>1786</v>
      </c>
      <c r="G22" s="55">
        <v>1677</v>
      </c>
      <c r="H22" s="55">
        <v>1958</v>
      </c>
      <c r="I22" s="55">
        <v>1591</v>
      </c>
      <c r="J22" s="55">
        <v>1185</v>
      </c>
      <c r="K22" s="55">
        <v>1103</v>
      </c>
      <c r="L22" s="55">
        <v>1786</v>
      </c>
      <c r="M22" s="55">
        <v>2073</v>
      </c>
      <c r="N22" s="55">
        <v>2694</v>
      </c>
      <c r="O22" s="55">
        <v>3108</v>
      </c>
      <c r="P22" s="55">
        <v>3586</v>
      </c>
      <c r="Q22" s="55">
        <v>4060</v>
      </c>
      <c r="R22" s="55">
        <v>4856</v>
      </c>
      <c r="S22" s="55">
        <v>4180</v>
      </c>
      <c r="T22" s="55">
        <v>4933</v>
      </c>
      <c r="U22" s="55">
        <v>4379</v>
      </c>
      <c r="V22" s="55">
        <v>4037</v>
      </c>
      <c r="W22" s="55">
        <v>3475</v>
      </c>
      <c r="X22" s="55">
        <v>3100</v>
      </c>
      <c r="Y22" s="55">
        <v>2724</v>
      </c>
      <c r="Z22" s="55">
        <v>2530</v>
      </c>
      <c r="AA22" s="55">
        <v>1980</v>
      </c>
      <c r="AB22" s="50"/>
      <c r="AC22" s="51">
        <f t="shared" si="4"/>
        <v>68057</v>
      </c>
    </row>
    <row r="23" spans="4:29" ht="15" hidden="1" thickBot="1" x14ac:dyDescent="0.35"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</row>
    <row r="24" spans="4:29" ht="15" hidden="1" thickBot="1" x14ac:dyDescent="0.35">
      <c r="D24" s="51">
        <f>SUM(D16:D22)</f>
        <v>17195</v>
      </c>
      <c r="E24" s="51">
        <f t="shared" ref="E24:AA24" si="5">SUM(E16:E22)</f>
        <v>9064</v>
      </c>
      <c r="F24" s="51">
        <f t="shared" si="5"/>
        <v>6918</v>
      </c>
      <c r="G24" s="51">
        <f t="shared" si="5"/>
        <v>5870</v>
      </c>
      <c r="H24" s="51">
        <f t="shared" si="5"/>
        <v>6897</v>
      </c>
      <c r="I24" s="51">
        <f t="shared" si="5"/>
        <v>7526</v>
      </c>
      <c r="J24" s="51">
        <f t="shared" si="5"/>
        <v>12046</v>
      </c>
      <c r="K24" s="51">
        <f t="shared" si="5"/>
        <v>16793</v>
      </c>
      <c r="L24" s="51">
        <f t="shared" si="5"/>
        <v>32681</v>
      </c>
      <c r="M24" s="51">
        <f t="shared" si="5"/>
        <v>31756</v>
      </c>
      <c r="N24" s="51">
        <f t="shared" si="5"/>
        <v>29472</v>
      </c>
      <c r="O24" s="51">
        <f t="shared" si="5"/>
        <v>30710</v>
      </c>
      <c r="P24" s="51">
        <f t="shared" si="5"/>
        <v>32237</v>
      </c>
      <c r="Q24" s="51">
        <f t="shared" si="5"/>
        <v>33906</v>
      </c>
      <c r="R24" s="51">
        <f t="shared" si="5"/>
        <v>39773</v>
      </c>
      <c r="S24" s="51">
        <f t="shared" si="5"/>
        <v>36283</v>
      </c>
      <c r="T24" s="51">
        <f t="shared" si="5"/>
        <v>43247</v>
      </c>
      <c r="U24" s="51">
        <f t="shared" si="5"/>
        <v>42090</v>
      </c>
      <c r="V24" s="51">
        <f t="shared" si="5"/>
        <v>36967</v>
      </c>
      <c r="W24" s="51">
        <f t="shared" si="5"/>
        <v>29498</v>
      </c>
      <c r="X24" s="51">
        <f t="shared" si="5"/>
        <v>24240</v>
      </c>
      <c r="Y24" s="51">
        <f t="shared" si="5"/>
        <v>20296</v>
      </c>
      <c r="Z24" s="51">
        <f t="shared" si="5"/>
        <v>18613</v>
      </c>
      <c r="AA24" s="51">
        <f t="shared" si="5"/>
        <v>14947</v>
      </c>
      <c r="AB24" s="50"/>
      <c r="AC24" s="51">
        <f>SUM(AC16:AC22)</f>
        <v>579025</v>
      </c>
    </row>
    <row r="25" spans="4:29" ht="15" hidden="1" thickBot="1" x14ac:dyDescent="0.35"/>
    <row r="26" spans="4:29" ht="15" hidden="1" thickBot="1" x14ac:dyDescent="0.35">
      <c r="D26" s="62">
        <f>D16/$AC$24</f>
        <v>3.7183195889642071E-3</v>
      </c>
      <c r="E26" s="62">
        <f t="shared" ref="E26:AC32" si="6">E16/$AC$24</f>
        <v>1.6804110357929278E-3</v>
      </c>
      <c r="F26" s="62">
        <f t="shared" si="6"/>
        <v>1.1795691032338847E-3</v>
      </c>
      <c r="G26" s="62">
        <f t="shared" si="6"/>
        <v>9.9132161823755455E-4</v>
      </c>
      <c r="H26" s="62">
        <f t="shared" si="6"/>
        <v>1.2382885022235654E-3</v>
      </c>
      <c r="I26" s="62">
        <f t="shared" si="6"/>
        <v>1.6545054185915979E-3</v>
      </c>
      <c r="J26" s="62">
        <f t="shared" si="6"/>
        <v>3.3884547299339405E-3</v>
      </c>
      <c r="K26" s="62">
        <f t="shared" si="6"/>
        <v>4.9548810500410169E-3</v>
      </c>
      <c r="L26" s="62">
        <f t="shared" si="6"/>
        <v>9.7370579854065015E-3</v>
      </c>
      <c r="M26" s="62">
        <f t="shared" si="6"/>
        <v>9.0963257199602778E-3</v>
      </c>
      <c r="N26" s="62">
        <f t="shared" si="6"/>
        <v>7.9046673286991068E-3</v>
      </c>
      <c r="O26" s="62">
        <f t="shared" si="6"/>
        <v>8.0601010319070847E-3</v>
      </c>
      <c r="P26" s="62">
        <f t="shared" si="6"/>
        <v>8.0324683735590006E-3</v>
      </c>
      <c r="Q26" s="62">
        <f t="shared" si="6"/>
        <v>8.3640602737360212E-3</v>
      </c>
      <c r="R26" s="62">
        <f t="shared" si="6"/>
        <v>9.7249686973792156E-3</v>
      </c>
      <c r="S26" s="62">
        <f t="shared" si="6"/>
        <v>9.0427874444108623E-3</v>
      </c>
      <c r="T26" s="62">
        <f t="shared" si="6"/>
        <v>1.0835456154742887E-2</v>
      </c>
      <c r="U26" s="62">
        <f t="shared" si="6"/>
        <v>1.063857346401278E-2</v>
      </c>
      <c r="V26" s="62">
        <f t="shared" si="6"/>
        <v>8.9098052761107036E-3</v>
      </c>
      <c r="W26" s="62">
        <f t="shared" si="6"/>
        <v>6.8960752989939986E-3</v>
      </c>
      <c r="X26" s="62">
        <f t="shared" si="6"/>
        <v>5.3037433616855926E-3</v>
      </c>
      <c r="Y26" s="62">
        <f t="shared" si="6"/>
        <v>4.1932559043219202E-3</v>
      </c>
      <c r="Z26" s="62">
        <f t="shared" si="6"/>
        <v>3.6026078321316005E-3</v>
      </c>
      <c r="AA26" s="62">
        <f t="shared" si="6"/>
        <v>2.8306204395319719E-3</v>
      </c>
      <c r="AB26" s="50"/>
      <c r="AC26" s="62">
        <f t="shared" si="6"/>
        <v>0.14197832563360821</v>
      </c>
    </row>
    <row r="27" spans="4:29" ht="15" hidden="1" thickBot="1" x14ac:dyDescent="0.35">
      <c r="D27" s="62">
        <f t="shared" ref="D27:S34" si="7">D17/$AC$24</f>
        <v>3.4264496351625578E-3</v>
      </c>
      <c r="E27" s="62">
        <f t="shared" si="7"/>
        <v>1.374724752817236E-3</v>
      </c>
      <c r="F27" s="62">
        <f t="shared" si="7"/>
        <v>1.0379517291999481E-3</v>
      </c>
      <c r="G27" s="62">
        <f t="shared" si="7"/>
        <v>7.5989810457234141E-4</v>
      </c>
      <c r="H27" s="62">
        <f t="shared" si="7"/>
        <v>8.6352057337766067E-4</v>
      </c>
      <c r="I27" s="62">
        <f t="shared" si="7"/>
        <v>1.5111610034109063E-3</v>
      </c>
      <c r="J27" s="62">
        <f t="shared" si="7"/>
        <v>3.3487327835585684E-3</v>
      </c>
      <c r="K27" s="62">
        <f t="shared" si="7"/>
        <v>5.0343249427917619E-3</v>
      </c>
      <c r="L27" s="62">
        <f t="shared" si="7"/>
        <v>1.015500194292129E-2</v>
      </c>
      <c r="M27" s="62">
        <f t="shared" si="7"/>
        <v>9.6161651051336304E-3</v>
      </c>
      <c r="N27" s="62">
        <f t="shared" si="7"/>
        <v>8.4469582487802768E-3</v>
      </c>
      <c r="O27" s="62">
        <f t="shared" si="7"/>
        <v>8.4607745779543206E-3</v>
      </c>
      <c r="P27" s="62">
        <f t="shared" si="7"/>
        <v>8.5643970467596392E-3</v>
      </c>
      <c r="Q27" s="62">
        <f t="shared" si="7"/>
        <v>8.7232848322611294E-3</v>
      </c>
      <c r="R27" s="62">
        <f t="shared" si="7"/>
        <v>1.0246535123699323E-2</v>
      </c>
      <c r="S27" s="62">
        <f t="shared" si="7"/>
        <v>9.2344890117007031E-3</v>
      </c>
      <c r="T27" s="62">
        <f t="shared" si="6"/>
        <v>1.1203315919001771E-2</v>
      </c>
      <c r="U27" s="62">
        <f t="shared" si="6"/>
        <v>1.112559906739778E-2</v>
      </c>
      <c r="V27" s="62">
        <f t="shared" si="6"/>
        <v>9.6178921462803848E-3</v>
      </c>
      <c r="W27" s="62">
        <f t="shared" si="6"/>
        <v>7.5748024696688397E-3</v>
      </c>
      <c r="X27" s="62">
        <f t="shared" si="6"/>
        <v>5.8184016234186777E-3</v>
      </c>
      <c r="Y27" s="62">
        <f t="shared" si="6"/>
        <v>4.6958248780277186E-3</v>
      </c>
      <c r="Z27" s="62">
        <f t="shared" si="6"/>
        <v>4.0706359829022929E-3</v>
      </c>
      <c r="AA27" s="62">
        <f t="shared" si="6"/>
        <v>3.2571996027805361E-3</v>
      </c>
      <c r="AB27" s="50"/>
      <c r="AC27" s="62">
        <f t="shared" ref="AC27" si="8">AC17/$AC$24</f>
        <v>0.14816804110357928</v>
      </c>
    </row>
    <row r="28" spans="4:29" ht="15" hidden="1" thickBot="1" x14ac:dyDescent="0.35">
      <c r="D28" s="62">
        <f t="shared" si="7"/>
        <v>3.4506282112171322E-3</v>
      </c>
      <c r="E28" s="62">
        <f t="shared" si="6"/>
        <v>1.5681533612538318E-3</v>
      </c>
      <c r="F28" s="62">
        <f t="shared" si="6"/>
        <v>9.9995682397133103E-4</v>
      </c>
      <c r="G28" s="62">
        <f t="shared" si="6"/>
        <v>7.5817106342558616E-4</v>
      </c>
      <c r="H28" s="62">
        <f t="shared" si="6"/>
        <v>9.567807953024481E-4</v>
      </c>
      <c r="I28" s="62">
        <f t="shared" si="6"/>
        <v>1.5215232502914383E-3</v>
      </c>
      <c r="J28" s="62">
        <f t="shared" si="6"/>
        <v>3.2261128621389403E-3</v>
      </c>
      <c r="K28" s="62">
        <f t="shared" si="6"/>
        <v>5.1396744527438367E-3</v>
      </c>
      <c r="L28" s="62">
        <f t="shared" si="6"/>
        <v>9.8665860714131515E-3</v>
      </c>
      <c r="M28" s="62">
        <f t="shared" si="6"/>
        <v>9.0376063209705974E-3</v>
      </c>
      <c r="N28" s="62">
        <f t="shared" si="6"/>
        <v>7.8683994646172439E-3</v>
      </c>
      <c r="O28" s="62">
        <f t="shared" si="6"/>
        <v>7.9892923448901167E-3</v>
      </c>
      <c r="P28" s="62">
        <f t="shared" si="6"/>
        <v>8.3882388497905965E-3</v>
      </c>
      <c r="Q28" s="62">
        <f t="shared" si="6"/>
        <v>8.5022235654764466E-3</v>
      </c>
      <c r="R28" s="62">
        <f t="shared" si="6"/>
        <v>1.0215448383057726E-2</v>
      </c>
      <c r="S28" s="62">
        <f t="shared" si="6"/>
        <v>9.5470834592634168E-3</v>
      </c>
      <c r="T28" s="62">
        <f t="shared" si="6"/>
        <v>1.1308665428953845E-2</v>
      </c>
      <c r="U28" s="62">
        <f t="shared" si="6"/>
        <v>1.1510729243124218E-2</v>
      </c>
      <c r="V28" s="62">
        <f t="shared" si="6"/>
        <v>1.0136004490306981E-2</v>
      </c>
      <c r="W28" s="62">
        <f t="shared" si="6"/>
        <v>7.726782090583308E-3</v>
      </c>
      <c r="X28" s="62">
        <f t="shared" si="6"/>
        <v>6.0429169724968701E-3</v>
      </c>
      <c r="Y28" s="62">
        <f t="shared" si="6"/>
        <v>5.0101463667371875E-3</v>
      </c>
      <c r="Z28" s="62">
        <f t="shared" si="6"/>
        <v>4.4402227883079317E-3</v>
      </c>
      <c r="AA28" s="62">
        <f t="shared" si="6"/>
        <v>3.2865593022753767E-3</v>
      </c>
      <c r="AB28" s="50"/>
      <c r="AC28" s="62">
        <f t="shared" ref="AC28" si="9">AC18/$AC$24</f>
        <v>0.14849790596260956</v>
      </c>
    </row>
    <row r="29" spans="4:29" ht="15" hidden="1" thickBot="1" x14ac:dyDescent="0.35">
      <c r="D29" s="62">
        <f t="shared" si="7"/>
        <v>3.9013859505202713E-3</v>
      </c>
      <c r="E29" s="62">
        <f t="shared" si="6"/>
        <v>1.6596865420318639E-3</v>
      </c>
      <c r="F29" s="62">
        <f t="shared" si="6"/>
        <v>1.1899313501144164E-3</v>
      </c>
      <c r="G29" s="62">
        <f t="shared" si="6"/>
        <v>9.5159967186218212E-4</v>
      </c>
      <c r="H29" s="62">
        <f t="shared" si="6"/>
        <v>1.1035792927766505E-3</v>
      </c>
      <c r="I29" s="62">
        <f t="shared" si="6"/>
        <v>1.4956176330901084E-3</v>
      </c>
      <c r="J29" s="62">
        <f t="shared" si="6"/>
        <v>3.1345796813609084E-3</v>
      </c>
      <c r="K29" s="62">
        <f t="shared" si="6"/>
        <v>4.9807866672423474E-3</v>
      </c>
      <c r="L29" s="62">
        <f t="shared" si="6"/>
        <v>9.9978411985665559E-3</v>
      </c>
      <c r="M29" s="62">
        <f t="shared" si="6"/>
        <v>9.5125426363283101E-3</v>
      </c>
      <c r="N29" s="62">
        <f t="shared" si="6"/>
        <v>8.2932515867190533E-3</v>
      </c>
      <c r="O29" s="62">
        <f t="shared" si="6"/>
        <v>8.1982643236475101E-3</v>
      </c>
      <c r="P29" s="62">
        <f t="shared" si="6"/>
        <v>8.5194939769440009E-3</v>
      </c>
      <c r="Q29" s="62">
        <f t="shared" si="6"/>
        <v>8.8165450541859165E-3</v>
      </c>
      <c r="R29" s="62">
        <f t="shared" si="6"/>
        <v>1.0329433098743578E-2</v>
      </c>
      <c r="S29" s="62">
        <f t="shared" si="6"/>
        <v>9.4624584430724069E-3</v>
      </c>
      <c r="T29" s="62">
        <f t="shared" si="6"/>
        <v>1.1319027675834377E-2</v>
      </c>
      <c r="U29" s="62">
        <f t="shared" si="6"/>
        <v>1.1393290445144855E-2</v>
      </c>
      <c r="V29" s="62">
        <f t="shared" si="6"/>
        <v>1.0136004490306981E-2</v>
      </c>
      <c r="W29" s="62">
        <f t="shared" si="6"/>
        <v>7.7578688312249042E-3</v>
      </c>
      <c r="X29" s="62">
        <f t="shared" si="6"/>
        <v>6.3900522429946897E-3</v>
      </c>
      <c r="Y29" s="62">
        <f t="shared" si="6"/>
        <v>5.191485687146496E-3</v>
      </c>
      <c r="Z29" s="62">
        <f t="shared" si="6"/>
        <v>4.8408963343551659E-3</v>
      </c>
      <c r="AA29" s="62">
        <f t="shared" si="6"/>
        <v>3.6354216139199516E-3</v>
      </c>
      <c r="AB29" s="50"/>
      <c r="AC29" s="62">
        <f t="shared" ref="AC29" si="10">AC19/$AC$24</f>
        <v>0.15221104442813349</v>
      </c>
    </row>
    <row r="30" spans="4:29" ht="15" hidden="1" thickBot="1" x14ac:dyDescent="0.35">
      <c r="D30" s="62">
        <f t="shared" si="7"/>
        <v>4.4592202409222403E-3</v>
      </c>
      <c r="E30" s="62">
        <f t="shared" si="6"/>
        <v>2.1484391865636198E-3</v>
      </c>
      <c r="F30" s="62">
        <f t="shared" si="6"/>
        <v>1.5577911143732999E-3</v>
      </c>
      <c r="G30" s="62">
        <f t="shared" si="6"/>
        <v>1.2313803376365442E-3</v>
      </c>
      <c r="H30" s="62">
        <f t="shared" si="6"/>
        <v>1.3850869996977677E-3</v>
      </c>
      <c r="I30" s="62">
        <f t="shared" si="6"/>
        <v>1.6786839946461725E-3</v>
      </c>
      <c r="J30" s="62">
        <f t="shared" si="6"/>
        <v>3.4091792236950044E-3</v>
      </c>
      <c r="K30" s="62">
        <f t="shared" si="6"/>
        <v>4.9255213505461767E-3</v>
      </c>
      <c r="L30" s="62">
        <f t="shared" si="6"/>
        <v>9.5263589655023538E-3</v>
      </c>
      <c r="M30" s="62">
        <f t="shared" si="6"/>
        <v>9.1533180778032037E-3</v>
      </c>
      <c r="N30" s="62">
        <f t="shared" si="6"/>
        <v>8.1326367600708088E-3</v>
      </c>
      <c r="O30" s="62">
        <f t="shared" si="6"/>
        <v>8.3243383273606496E-3</v>
      </c>
      <c r="P30" s="62">
        <f t="shared" si="6"/>
        <v>8.6542031863909158E-3</v>
      </c>
      <c r="Q30" s="62">
        <f t="shared" si="6"/>
        <v>9.1671344069772457E-3</v>
      </c>
      <c r="R30" s="62">
        <f t="shared" si="6"/>
        <v>1.09857087345106E-2</v>
      </c>
      <c r="S30" s="62">
        <f t="shared" si="6"/>
        <v>1.0303527481542249E-2</v>
      </c>
      <c r="T30" s="62">
        <f t="shared" si="6"/>
        <v>1.2249902853935495E-2</v>
      </c>
      <c r="U30" s="62">
        <f t="shared" si="6"/>
        <v>1.1975303311601399E-2</v>
      </c>
      <c r="V30" s="62">
        <f t="shared" si="6"/>
        <v>1.0244808082552567E-2</v>
      </c>
      <c r="W30" s="62">
        <f t="shared" si="6"/>
        <v>8.4676827425413416E-3</v>
      </c>
      <c r="X30" s="62">
        <f t="shared" si="6"/>
        <v>6.8287206942705412E-3</v>
      </c>
      <c r="Y30" s="62">
        <f t="shared" si="6"/>
        <v>5.5835240274599539E-3</v>
      </c>
      <c r="Z30" s="62">
        <f t="shared" si="6"/>
        <v>5.3883683778766026E-3</v>
      </c>
      <c r="AA30" s="62">
        <f t="shared" si="6"/>
        <v>4.5041233107378786E-3</v>
      </c>
      <c r="AB30" s="50"/>
      <c r="AC30" s="62">
        <f t="shared" ref="AC30" si="11">AC20/$AC$24</f>
        <v>0.16028496178921464</v>
      </c>
    </row>
    <row r="31" spans="4:29" ht="15" hidden="1" thickBot="1" x14ac:dyDescent="0.35">
      <c r="D31" s="62">
        <f t="shared" si="7"/>
        <v>5.4367255299857522E-3</v>
      </c>
      <c r="E31" s="62">
        <f t="shared" si="6"/>
        <v>3.4489011700703769E-3</v>
      </c>
      <c r="F31" s="62">
        <f t="shared" si="6"/>
        <v>2.8979750442554293E-3</v>
      </c>
      <c r="G31" s="62">
        <f t="shared" si="6"/>
        <v>2.5491127326108544E-3</v>
      </c>
      <c r="H31" s="62">
        <f t="shared" si="6"/>
        <v>2.9826000604464401E-3</v>
      </c>
      <c r="I31" s="62">
        <f t="shared" si="6"/>
        <v>2.3884979059626095E-3</v>
      </c>
      <c r="J31" s="62">
        <f t="shared" si="6"/>
        <v>2.2503346142221836E-3</v>
      </c>
      <c r="K31" s="62">
        <f t="shared" si="6"/>
        <v>2.0620871292258538E-3</v>
      </c>
      <c r="L31" s="62">
        <f t="shared" si="6"/>
        <v>4.0740900651958034E-3</v>
      </c>
      <c r="M31" s="62">
        <f t="shared" si="6"/>
        <v>4.8478044989421869E-3</v>
      </c>
      <c r="N31" s="62">
        <f t="shared" si="6"/>
        <v>5.6007944389275073E-3</v>
      </c>
      <c r="O31" s="62">
        <f t="shared" si="6"/>
        <v>6.6370191269807003E-3</v>
      </c>
      <c r="P31" s="62">
        <f t="shared" si="6"/>
        <v>7.3226544622425633E-3</v>
      </c>
      <c r="Q31" s="62">
        <f t="shared" si="6"/>
        <v>7.9720219334225642E-3</v>
      </c>
      <c r="R31" s="62">
        <f t="shared" si="6"/>
        <v>8.8010016838651183E-3</v>
      </c>
      <c r="S31" s="62">
        <f t="shared" si="6"/>
        <v>7.8528560942964475E-3</v>
      </c>
      <c r="T31" s="62">
        <f t="shared" si="6"/>
        <v>9.2534864643150118E-3</v>
      </c>
      <c r="U31" s="62">
        <f t="shared" si="6"/>
        <v>8.4849531540088941E-3</v>
      </c>
      <c r="V31" s="62">
        <f t="shared" si="6"/>
        <v>7.8269504770951161E-3</v>
      </c>
      <c r="W31" s="62">
        <f t="shared" si="6"/>
        <v>6.5195803290013388E-3</v>
      </c>
      <c r="X31" s="62">
        <f t="shared" si="6"/>
        <v>6.1258149475411248E-3</v>
      </c>
      <c r="Y31" s="62">
        <f t="shared" si="6"/>
        <v>5.6733301670912313E-3</v>
      </c>
      <c r="Z31" s="62">
        <f t="shared" si="6"/>
        <v>5.4332714476922409E-3</v>
      </c>
      <c r="AA31" s="62">
        <f t="shared" si="6"/>
        <v>4.8806182807305384E-3</v>
      </c>
      <c r="AB31" s="50"/>
      <c r="AC31" s="62">
        <f t="shared" ref="AC31" si="12">AC21/$AC$24</f>
        <v>0.13132248175812788</v>
      </c>
    </row>
    <row r="32" spans="4:29" ht="15" hidden="1" thickBot="1" x14ac:dyDescent="0.35">
      <c r="D32" s="62">
        <f t="shared" si="7"/>
        <v>5.3037433616855926E-3</v>
      </c>
      <c r="E32" s="62">
        <f t="shared" si="6"/>
        <v>3.7735849056603774E-3</v>
      </c>
      <c r="F32" s="62">
        <f t="shared" si="6"/>
        <v>3.0844954881050039E-3</v>
      </c>
      <c r="G32" s="62">
        <f t="shared" si="6"/>
        <v>2.896248003108674E-3</v>
      </c>
      <c r="H32" s="62">
        <f t="shared" si="6"/>
        <v>3.3815465653469195E-3</v>
      </c>
      <c r="I32" s="62">
        <f t="shared" si="6"/>
        <v>2.7477224644877163E-3</v>
      </c>
      <c r="J32" s="62">
        <f t="shared" si="6"/>
        <v>2.046543758905056E-3</v>
      </c>
      <c r="K32" s="62">
        <f t="shared" si="6"/>
        <v>1.9049263848711195E-3</v>
      </c>
      <c r="L32" s="62">
        <f t="shared" si="6"/>
        <v>3.0844954881050039E-3</v>
      </c>
      <c r="M32" s="62">
        <f t="shared" si="6"/>
        <v>3.5801562972237813E-3</v>
      </c>
      <c r="N32" s="62">
        <f t="shared" si="6"/>
        <v>4.6526488493588355E-3</v>
      </c>
      <c r="O32" s="62">
        <f t="shared" si="6"/>
        <v>5.3676438841155387E-3</v>
      </c>
      <c r="P32" s="62">
        <f t="shared" si="6"/>
        <v>6.1931695522645831E-3</v>
      </c>
      <c r="Q32" s="62">
        <f t="shared" si="6"/>
        <v>7.0117870558266049E-3</v>
      </c>
      <c r="R32" s="62">
        <f t="shared" si="6"/>
        <v>8.3865118086438404E-3</v>
      </c>
      <c r="S32" s="62">
        <f t="shared" si="6"/>
        <v>7.2190319934372438E-3</v>
      </c>
      <c r="T32" s="62">
        <f t="shared" si="6"/>
        <v>8.5194939769440009E-3</v>
      </c>
      <c r="U32" s="62">
        <f t="shared" si="6"/>
        <v>7.5627131816415529E-3</v>
      </c>
      <c r="V32" s="62">
        <f t="shared" si="6"/>
        <v>6.9720651094512323E-3</v>
      </c>
      <c r="W32" s="62">
        <f t="shared" si="6"/>
        <v>6.0014679849747423E-3</v>
      </c>
      <c r="X32" s="62">
        <f t="shared" si="6"/>
        <v>5.3538275549414966E-3</v>
      </c>
      <c r="Y32" s="62">
        <f t="shared" si="6"/>
        <v>4.7044600837614957E-3</v>
      </c>
      <c r="Z32" s="62">
        <f t="shared" si="6"/>
        <v>4.3694141012909629E-3</v>
      </c>
      <c r="AA32" s="62">
        <f t="shared" si="6"/>
        <v>3.4195414705755363E-3</v>
      </c>
      <c r="AB32" s="50"/>
      <c r="AC32" s="62">
        <f t="shared" ref="AC32:AC34" si="13">AC22/$AC$24</f>
        <v>0.11753723932472691</v>
      </c>
    </row>
    <row r="33" spans="4:29" ht="15" hidden="1" thickBot="1" x14ac:dyDescent="0.35"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</row>
    <row r="34" spans="4:29" ht="15" hidden="1" thickBot="1" x14ac:dyDescent="0.35">
      <c r="D34" s="62">
        <f t="shared" si="7"/>
        <v>2.9696472518457754E-2</v>
      </c>
      <c r="E34" s="62">
        <f t="shared" si="7"/>
        <v>1.5653900954190232E-2</v>
      </c>
      <c r="F34" s="62">
        <f t="shared" si="7"/>
        <v>1.1947670653253313E-2</v>
      </c>
      <c r="G34" s="62">
        <f t="shared" si="7"/>
        <v>1.0137731531453737E-2</v>
      </c>
      <c r="H34" s="62">
        <f t="shared" si="7"/>
        <v>1.1911402789171452E-2</v>
      </c>
      <c r="I34" s="62">
        <f t="shared" si="7"/>
        <v>1.299771167048055E-2</v>
      </c>
      <c r="J34" s="62">
        <f t="shared" si="7"/>
        <v>2.0803937653814601E-2</v>
      </c>
      <c r="K34" s="62">
        <f t="shared" si="7"/>
        <v>2.9002201977462113E-2</v>
      </c>
      <c r="L34" s="62">
        <f t="shared" si="7"/>
        <v>5.6441431717110663E-2</v>
      </c>
      <c r="M34" s="62">
        <f t="shared" si="7"/>
        <v>5.4843918656361991E-2</v>
      </c>
      <c r="N34" s="62">
        <f t="shared" si="7"/>
        <v>5.0899356677172831E-2</v>
      </c>
      <c r="O34" s="62">
        <f t="shared" si="7"/>
        <v>5.3037433616855922E-2</v>
      </c>
      <c r="P34" s="62">
        <f t="shared" si="7"/>
        <v>5.5674625447951299E-2</v>
      </c>
      <c r="Q34" s="62">
        <f t="shared" si="7"/>
        <v>5.8557057121885928E-2</v>
      </c>
      <c r="R34" s="62">
        <f t="shared" si="7"/>
        <v>6.8689607529899402E-2</v>
      </c>
      <c r="S34" s="62">
        <f t="shared" si="7"/>
        <v>6.2662233927723326E-2</v>
      </c>
      <c r="T34" s="62">
        <f t="shared" ref="T34:AB34" si="14">T24/$AC$24</f>
        <v>7.4689348473727393E-2</v>
      </c>
      <c r="U34" s="62">
        <f t="shared" si="14"/>
        <v>7.2691161866931475E-2</v>
      </c>
      <c r="V34" s="62">
        <f t="shared" si="14"/>
        <v>6.3843530072103971E-2</v>
      </c>
      <c r="W34" s="62">
        <f t="shared" si="14"/>
        <v>5.094425974698847E-2</v>
      </c>
      <c r="X34" s="62">
        <f t="shared" si="14"/>
        <v>4.186347739734899E-2</v>
      </c>
      <c r="Y34" s="62">
        <f t="shared" si="14"/>
        <v>3.5052027114546004E-2</v>
      </c>
      <c r="Z34" s="62">
        <f t="shared" si="14"/>
        <v>3.2145416864556797E-2</v>
      </c>
      <c r="AA34" s="62">
        <f t="shared" si="14"/>
        <v>2.581408402055179E-2</v>
      </c>
      <c r="AB34" s="62">
        <f t="shared" si="14"/>
        <v>0</v>
      </c>
      <c r="AC34" s="62">
        <f t="shared" si="13"/>
        <v>1</v>
      </c>
    </row>
  </sheetData>
  <mergeCells count="1">
    <mergeCell ref="D2:I2"/>
  </mergeCells>
  <phoneticPr fontId="18" type="noConversion"/>
  <conditionalFormatting sqref="D6:AA12 AC6:AC12 D14:AC14">
    <cfRule type="expression" dxfId="0" priority="4">
      <formula>$M$2=TRUE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705" r:id="rId4" name="Check Box 1">
              <controlPr defaultSize="0" autoFill="0" autoLine="0" autoPict="0">
                <anchor moveWithCells="1">
                  <from>
                    <xdr:col>9</xdr:col>
                    <xdr:colOff>160020</xdr:colOff>
                    <xdr:row>1</xdr:row>
                    <xdr:rowOff>22860</xdr:rowOff>
                  </from>
                  <to>
                    <xdr:col>12</xdr:col>
                    <xdr:colOff>381000</xdr:colOff>
                    <xdr:row>1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B8C3-8979-4916-ACBB-9285E95382DE}">
  <sheetPr>
    <tabColor theme="3" tint="0.59999389629810485"/>
  </sheetPr>
  <dimension ref="B1:Q1003"/>
  <sheetViews>
    <sheetView showGridLines="0" zoomScaleNormal="100" workbookViewId="0">
      <selection activeCell="M2" sqref="M2"/>
    </sheetView>
  </sheetViews>
  <sheetFormatPr defaultRowHeight="14.4" x14ac:dyDescent="0.3"/>
  <cols>
    <col min="1" max="1" width="5.21875" customWidth="1"/>
    <col min="2" max="2" width="12.77734375" customWidth="1"/>
    <col min="3" max="3" width="19.44140625" style="30" customWidth="1"/>
    <col min="4" max="4" width="12.5546875" style="30" customWidth="1"/>
    <col min="5" max="5" width="19.77734375" style="30" customWidth="1"/>
    <col min="6" max="6" width="10.5546875" style="30" customWidth="1"/>
    <col min="7" max="7" width="14.5546875" style="30" customWidth="1"/>
    <col min="8" max="8" width="5.21875" customWidth="1"/>
    <col min="9" max="9" width="9.77734375" customWidth="1"/>
    <col min="10" max="10" width="9.5546875" customWidth="1"/>
    <col min="11" max="11" width="9.77734375" customWidth="1"/>
  </cols>
  <sheetData>
    <row r="1" spans="2:17" ht="21" customHeight="1" x14ac:dyDescent="0.3"/>
    <row r="2" spans="2:17" ht="23.1" customHeight="1" x14ac:dyDescent="0.3">
      <c r="B2" s="74" t="s">
        <v>5159</v>
      </c>
      <c r="C2" s="74"/>
      <c r="D2" s="74"/>
    </row>
    <row r="3" spans="2:17" x14ac:dyDescent="0.3">
      <c r="B3" s="17" t="s">
        <v>5157</v>
      </c>
      <c r="C3" s="17" t="s">
        <v>5150</v>
      </c>
      <c r="D3" s="17" t="s">
        <v>5151</v>
      </c>
      <c r="E3" s="17" t="s">
        <v>5152</v>
      </c>
      <c r="F3" s="17" t="s">
        <v>5066</v>
      </c>
      <c r="G3" s="17" t="s">
        <v>5153</v>
      </c>
    </row>
    <row r="4" spans="2:17" ht="16.05" customHeight="1" x14ac:dyDescent="0.3">
      <c r="B4" s="60">
        <v>1</v>
      </c>
      <c r="C4" s="58">
        <v>46125</v>
      </c>
      <c r="D4" s="57">
        <v>4751</v>
      </c>
      <c r="E4" s="58">
        <v>8179</v>
      </c>
      <c r="F4" s="59">
        <v>402</v>
      </c>
      <c r="G4" s="18">
        <v>2.892897992</v>
      </c>
      <c r="I4" s="70" t="s">
        <v>5154</v>
      </c>
      <c r="J4" s="75" t="s">
        <v>5150</v>
      </c>
      <c r="K4" s="76"/>
      <c r="L4" s="76"/>
      <c r="N4" s="70" t="s">
        <v>5155</v>
      </c>
      <c r="O4" s="75" t="s">
        <v>5150</v>
      </c>
      <c r="P4" s="76"/>
      <c r="Q4" s="76"/>
    </row>
    <row r="5" spans="2:17" x14ac:dyDescent="0.3">
      <c r="B5" s="60">
        <v>2</v>
      </c>
      <c r="C5" s="58">
        <v>60007</v>
      </c>
      <c r="D5" s="57">
        <v>5661</v>
      </c>
      <c r="E5" s="58">
        <v>6359</v>
      </c>
      <c r="F5" s="59">
        <v>423</v>
      </c>
      <c r="G5" s="18">
        <v>4.3957376730000002</v>
      </c>
      <c r="I5" s="70"/>
      <c r="J5" s="75"/>
      <c r="K5" s="76"/>
      <c r="L5" s="76"/>
      <c r="N5" s="70"/>
      <c r="O5" s="75"/>
      <c r="P5" s="76"/>
      <c r="Q5" s="76"/>
    </row>
    <row r="6" spans="2:17" x14ac:dyDescent="0.3">
      <c r="B6" s="60">
        <v>3</v>
      </c>
      <c r="C6" s="58">
        <v>50314</v>
      </c>
      <c r="D6" s="57">
        <v>5491</v>
      </c>
      <c r="E6" s="58">
        <v>6698</v>
      </c>
      <c r="F6" s="59">
        <v>417</v>
      </c>
      <c r="G6" s="18">
        <v>3.6368271320000001</v>
      </c>
    </row>
    <row r="7" spans="2:17" x14ac:dyDescent="0.3">
      <c r="B7" s="60">
        <v>4</v>
      </c>
      <c r="C7" s="58">
        <v>44432</v>
      </c>
      <c r="D7" s="57">
        <v>5293</v>
      </c>
      <c r="E7" s="58">
        <v>7096</v>
      </c>
      <c r="F7" s="59">
        <v>399</v>
      </c>
      <c r="G7" s="18">
        <v>3.8207057290000002</v>
      </c>
    </row>
    <row r="8" spans="2:17" x14ac:dyDescent="0.3">
      <c r="B8" s="60">
        <v>5</v>
      </c>
      <c r="C8" s="58">
        <v>72954</v>
      </c>
      <c r="D8" s="57">
        <v>7592</v>
      </c>
      <c r="E8" s="58">
        <v>2497</v>
      </c>
      <c r="F8" s="59">
        <v>448</v>
      </c>
      <c r="G8" s="18">
        <v>6.2194312539999999</v>
      </c>
    </row>
    <row r="9" spans="2:17" x14ac:dyDescent="0.3">
      <c r="B9" s="60">
        <v>6</v>
      </c>
      <c r="C9" s="58">
        <v>47288</v>
      </c>
      <c r="D9" s="57">
        <v>4835</v>
      </c>
      <c r="E9" s="58">
        <v>8012</v>
      </c>
      <c r="F9" s="59">
        <v>400</v>
      </c>
      <c r="G9" s="18">
        <v>5.9601828499999998</v>
      </c>
    </row>
    <row r="10" spans="2:17" x14ac:dyDescent="0.3">
      <c r="B10" s="60">
        <v>7</v>
      </c>
      <c r="C10" s="58">
        <v>40830</v>
      </c>
      <c r="D10" s="57">
        <v>4962</v>
      </c>
      <c r="E10" s="58">
        <v>7757</v>
      </c>
      <c r="F10" s="59">
        <v>394</v>
      </c>
      <c r="G10" s="18">
        <v>5.8196540150000002</v>
      </c>
    </row>
    <row r="11" spans="2:17" x14ac:dyDescent="0.3">
      <c r="B11" s="60">
        <v>8</v>
      </c>
      <c r="C11" s="58">
        <v>43760</v>
      </c>
      <c r="D11" s="57">
        <v>3850</v>
      </c>
      <c r="E11" s="58">
        <v>9982</v>
      </c>
      <c r="F11" s="59">
        <v>396</v>
      </c>
      <c r="G11" s="18">
        <v>5.5557989479999996</v>
      </c>
    </row>
    <row r="12" spans="2:17" x14ac:dyDescent="0.3">
      <c r="B12" s="60">
        <v>9</v>
      </c>
      <c r="C12" s="58">
        <v>62487</v>
      </c>
      <c r="D12" s="57">
        <v>5517</v>
      </c>
      <c r="E12" s="58">
        <v>6648</v>
      </c>
      <c r="F12" s="59">
        <v>428</v>
      </c>
      <c r="G12" s="18">
        <v>4.1670873789999998</v>
      </c>
    </row>
    <row r="13" spans="2:17" x14ac:dyDescent="0.3">
      <c r="B13" s="60">
        <v>10</v>
      </c>
      <c r="C13" s="58">
        <v>33480</v>
      </c>
      <c r="D13" s="57">
        <v>3456</v>
      </c>
      <c r="E13" s="58">
        <v>10769</v>
      </c>
      <c r="F13" s="59">
        <v>369</v>
      </c>
      <c r="G13" s="18">
        <v>5.8500497359999999</v>
      </c>
    </row>
    <row r="14" spans="2:17" x14ac:dyDescent="0.3">
      <c r="B14" s="60">
        <v>11</v>
      </c>
      <c r="C14" s="58">
        <v>59110</v>
      </c>
      <c r="D14" s="57">
        <v>5851</v>
      </c>
      <c r="E14" s="58">
        <v>5979</v>
      </c>
      <c r="F14" s="59">
        <v>429</v>
      </c>
      <c r="G14" s="18">
        <v>4.648343551</v>
      </c>
    </row>
    <row r="15" spans="2:17" x14ac:dyDescent="0.3">
      <c r="B15" s="60">
        <v>12</v>
      </c>
      <c r="C15" s="58">
        <v>72150</v>
      </c>
      <c r="D15" s="57">
        <v>7225</v>
      </c>
      <c r="E15" s="58">
        <v>3230</v>
      </c>
      <c r="F15" s="59">
        <v>447</v>
      </c>
      <c r="G15" s="18">
        <v>3.7920443920000002</v>
      </c>
    </row>
    <row r="16" spans="2:17" x14ac:dyDescent="0.3">
      <c r="B16" s="60">
        <v>13</v>
      </c>
      <c r="C16" s="58">
        <v>56740</v>
      </c>
      <c r="D16" s="57">
        <v>5565</v>
      </c>
      <c r="E16" s="58">
        <v>6550</v>
      </c>
      <c r="F16" s="59">
        <v>424</v>
      </c>
      <c r="G16" s="18">
        <v>4.1931230590000004</v>
      </c>
    </row>
    <row r="17" spans="2:7" x14ac:dyDescent="0.3">
      <c r="B17" s="60">
        <v>14</v>
      </c>
      <c r="C17" s="58">
        <v>42106</v>
      </c>
      <c r="D17" s="57">
        <v>4033</v>
      </c>
      <c r="E17" s="58">
        <v>9614</v>
      </c>
      <c r="F17" s="59">
        <v>392</v>
      </c>
      <c r="G17" s="18">
        <v>4.8354570519999998</v>
      </c>
    </row>
    <row r="18" spans="2:7" x14ac:dyDescent="0.3">
      <c r="B18" s="60">
        <v>15</v>
      </c>
      <c r="C18" s="58">
        <v>42857</v>
      </c>
      <c r="D18" s="57">
        <v>5129</v>
      </c>
      <c r="E18" s="58">
        <v>7423</v>
      </c>
      <c r="F18" s="59">
        <v>392</v>
      </c>
      <c r="G18" s="18">
        <v>4.1276236449999999</v>
      </c>
    </row>
    <row r="19" spans="2:7" x14ac:dyDescent="0.3">
      <c r="B19" s="60">
        <v>16</v>
      </c>
      <c r="C19" s="58">
        <v>56060</v>
      </c>
      <c r="D19" s="57">
        <v>5227</v>
      </c>
      <c r="E19" s="58">
        <v>7226</v>
      </c>
      <c r="F19" s="59">
        <v>418</v>
      </c>
      <c r="G19" s="18">
        <v>6.4241792340000003</v>
      </c>
    </row>
    <row r="20" spans="2:7" x14ac:dyDescent="0.3">
      <c r="B20" s="60">
        <v>17</v>
      </c>
      <c r="C20" s="58">
        <v>39965</v>
      </c>
      <c r="D20" s="57">
        <v>3274</v>
      </c>
      <c r="E20" s="58">
        <v>11133</v>
      </c>
      <c r="F20" s="59">
        <v>393</v>
      </c>
      <c r="G20" s="18">
        <v>5.2360022129999999</v>
      </c>
    </row>
    <row r="21" spans="2:7" x14ac:dyDescent="0.3">
      <c r="B21" s="60">
        <v>18</v>
      </c>
      <c r="C21" s="58">
        <v>62050</v>
      </c>
      <c r="D21" s="57">
        <v>5485</v>
      </c>
      <c r="E21" s="58">
        <v>6711</v>
      </c>
      <c r="F21" s="59">
        <v>431</v>
      </c>
      <c r="G21" s="18">
        <v>5.1701934209999996</v>
      </c>
    </row>
    <row r="22" spans="2:7" x14ac:dyDescent="0.3">
      <c r="B22" s="60">
        <v>19</v>
      </c>
      <c r="C22" s="58">
        <v>39244</v>
      </c>
      <c r="D22" s="57">
        <v>3365</v>
      </c>
      <c r="E22" s="58">
        <v>10952</v>
      </c>
      <c r="F22" s="59">
        <v>387</v>
      </c>
      <c r="G22" s="18">
        <v>5.1329483480000002</v>
      </c>
    </row>
    <row r="23" spans="2:7" x14ac:dyDescent="0.3">
      <c r="B23" s="60">
        <v>20</v>
      </c>
      <c r="C23" s="58">
        <v>36082</v>
      </c>
      <c r="D23" s="57">
        <v>3534</v>
      </c>
      <c r="E23" s="58">
        <v>10614</v>
      </c>
      <c r="F23" s="59">
        <v>388</v>
      </c>
      <c r="G23" s="18">
        <v>5.7008120480000004</v>
      </c>
    </row>
    <row r="24" spans="2:7" x14ac:dyDescent="0.3">
      <c r="B24" s="60">
        <v>21</v>
      </c>
      <c r="C24" s="58">
        <v>49709</v>
      </c>
      <c r="D24" s="57">
        <v>5035</v>
      </c>
      <c r="E24" s="58">
        <v>7610</v>
      </c>
      <c r="F24" s="59">
        <v>407</v>
      </c>
      <c r="G24" s="18">
        <v>5.6751728479999999</v>
      </c>
    </row>
    <row r="25" spans="2:7" x14ac:dyDescent="0.3">
      <c r="B25" s="60">
        <v>22</v>
      </c>
      <c r="C25" s="58">
        <v>40313</v>
      </c>
      <c r="D25" s="57">
        <v>4380</v>
      </c>
      <c r="E25" s="58">
        <v>8921</v>
      </c>
      <c r="F25" s="59">
        <v>394</v>
      </c>
      <c r="G25" s="18">
        <v>3.7907016269999998</v>
      </c>
    </row>
    <row r="26" spans="2:7" x14ac:dyDescent="0.3">
      <c r="B26" s="60">
        <v>23</v>
      </c>
      <c r="C26" s="58">
        <v>51285</v>
      </c>
      <c r="D26" s="57">
        <v>5591</v>
      </c>
      <c r="E26" s="58">
        <v>6499</v>
      </c>
      <c r="F26" s="59">
        <v>410</v>
      </c>
      <c r="G26" s="18">
        <v>5.4152599190000004</v>
      </c>
    </row>
    <row r="27" spans="2:7" x14ac:dyDescent="0.3">
      <c r="B27" s="60">
        <v>24</v>
      </c>
      <c r="C27" s="58">
        <v>57046</v>
      </c>
      <c r="D27" s="57">
        <v>5401</v>
      </c>
      <c r="E27" s="58">
        <v>6878</v>
      </c>
      <c r="F27" s="59">
        <v>432</v>
      </c>
      <c r="G27" s="18">
        <v>4.7828268659999997</v>
      </c>
    </row>
    <row r="28" spans="2:7" x14ac:dyDescent="0.3">
      <c r="B28" s="60">
        <v>25</v>
      </c>
      <c r="C28" s="58">
        <v>61413</v>
      </c>
      <c r="D28" s="57">
        <v>6176</v>
      </c>
      <c r="E28" s="58">
        <v>5330</v>
      </c>
      <c r="F28" s="59">
        <v>431</v>
      </c>
      <c r="G28" s="18">
        <v>4.8799805889999996</v>
      </c>
    </row>
    <row r="29" spans="2:7" x14ac:dyDescent="0.3">
      <c r="B29" s="60">
        <v>26</v>
      </c>
      <c r="C29" s="58">
        <v>53886</v>
      </c>
      <c r="D29" s="57">
        <v>5867</v>
      </c>
      <c r="E29" s="58">
        <v>5946</v>
      </c>
      <c r="F29" s="59">
        <v>408</v>
      </c>
      <c r="G29" s="18">
        <v>3.0200133579999999</v>
      </c>
    </row>
    <row r="30" spans="2:7" x14ac:dyDescent="0.3">
      <c r="B30" s="60">
        <v>27</v>
      </c>
      <c r="C30" s="58">
        <v>63618</v>
      </c>
      <c r="D30" s="57">
        <v>5833</v>
      </c>
      <c r="E30" s="58">
        <v>6014</v>
      </c>
      <c r="F30" s="59">
        <v>432</v>
      </c>
      <c r="G30" s="18">
        <v>5.7534100749999997</v>
      </c>
    </row>
    <row r="31" spans="2:7" x14ac:dyDescent="0.3">
      <c r="B31" s="60">
        <v>28</v>
      </c>
      <c r="C31" s="58">
        <v>36885</v>
      </c>
      <c r="D31" s="57">
        <v>4245</v>
      </c>
      <c r="E31" s="58">
        <v>9191</v>
      </c>
      <c r="F31" s="59">
        <v>388</v>
      </c>
      <c r="G31" s="18">
        <v>6.5490579799999997</v>
      </c>
    </row>
    <row r="32" spans="2:7" x14ac:dyDescent="0.3">
      <c r="B32" s="60">
        <v>29</v>
      </c>
      <c r="C32" s="58">
        <v>44614</v>
      </c>
      <c r="D32" s="57">
        <v>4087</v>
      </c>
      <c r="E32" s="58">
        <v>9508</v>
      </c>
      <c r="F32" s="59">
        <v>398</v>
      </c>
      <c r="G32" s="18">
        <v>5.1270725390000003</v>
      </c>
    </row>
    <row r="33" spans="2:7" x14ac:dyDescent="0.3">
      <c r="B33" s="60">
        <v>30</v>
      </c>
      <c r="C33" s="58">
        <v>54301</v>
      </c>
      <c r="D33" s="57">
        <v>5265</v>
      </c>
      <c r="E33" s="58">
        <v>7150</v>
      </c>
      <c r="F33" s="59">
        <v>415</v>
      </c>
      <c r="G33" s="18">
        <v>4.5885843949999998</v>
      </c>
    </row>
    <row r="34" spans="2:7" x14ac:dyDescent="0.3">
      <c r="B34" s="60">
        <v>31</v>
      </c>
      <c r="C34" s="58">
        <v>52168</v>
      </c>
      <c r="D34" s="57">
        <v>5924</v>
      </c>
      <c r="E34" s="58">
        <v>5833</v>
      </c>
      <c r="F34" s="59">
        <v>421</v>
      </c>
      <c r="G34" s="18">
        <v>4.731407913</v>
      </c>
    </row>
    <row r="35" spans="2:7" x14ac:dyDescent="0.3">
      <c r="B35" s="60">
        <v>32</v>
      </c>
      <c r="C35" s="58">
        <v>51540</v>
      </c>
      <c r="D35" s="57">
        <v>5115</v>
      </c>
      <c r="E35" s="58">
        <v>7452</v>
      </c>
      <c r="F35" s="59">
        <v>412</v>
      </c>
      <c r="G35" s="18">
        <v>3.9785832229999998</v>
      </c>
    </row>
    <row r="36" spans="2:7" x14ac:dyDescent="0.3">
      <c r="B36" s="60">
        <v>33</v>
      </c>
      <c r="C36" s="58">
        <v>38297</v>
      </c>
      <c r="D36" s="57">
        <v>4236</v>
      </c>
      <c r="E36" s="58">
        <v>9209</v>
      </c>
      <c r="F36" s="59">
        <v>382</v>
      </c>
      <c r="G36" s="18">
        <v>5.000286944</v>
      </c>
    </row>
    <row r="37" spans="2:7" x14ac:dyDescent="0.3">
      <c r="B37" s="60">
        <v>34</v>
      </c>
      <c r="C37" s="58">
        <v>51385</v>
      </c>
      <c r="D37" s="57">
        <v>5502</v>
      </c>
      <c r="E37" s="58">
        <v>6677</v>
      </c>
      <c r="F37" s="59">
        <v>413</v>
      </c>
      <c r="G37" s="18">
        <v>5.003464052</v>
      </c>
    </row>
    <row r="38" spans="2:7" x14ac:dyDescent="0.3">
      <c r="B38" s="60">
        <v>35</v>
      </c>
      <c r="C38" s="58">
        <v>44894</v>
      </c>
      <c r="D38" s="57">
        <v>4808</v>
      </c>
      <c r="E38" s="58">
        <v>8065</v>
      </c>
      <c r="F38" s="59">
        <v>408</v>
      </c>
      <c r="G38" s="18">
        <v>4.5789421470000002</v>
      </c>
    </row>
    <row r="39" spans="2:7" x14ac:dyDescent="0.3">
      <c r="B39" s="60">
        <v>36</v>
      </c>
      <c r="C39" s="58">
        <v>52682</v>
      </c>
      <c r="D39" s="57">
        <v>4859</v>
      </c>
      <c r="E39" s="58">
        <v>7964</v>
      </c>
      <c r="F39" s="59">
        <v>409</v>
      </c>
      <c r="G39" s="18">
        <v>3.8498958700000001</v>
      </c>
    </row>
    <row r="40" spans="2:7" x14ac:dyDescent="0.3">
      <c r="B40" s="60">
        <v>37</v>
      </c>
      <c r="C40" s="58">
        <v>59779</v>
      </c>
      <c r="D40" s="57">
        <v>5832</v>
      </c>
      <c r="E40" s="58">
        <v>6017</v>
      </c>
      <c r="F40" s="59">
        <v>430</v>
      </c>
      <c r="G40" s="18">
        <v>4.7501313319999996</v>
      </c>
    </row>
    <row r="41" spans="2:7" x14ac:dyDescent="0.3">
      <c r="B41" s="60">
        <v>38</v>
      </c>
      <c r="C41" s="58">
        <v>54671</v>
      </c>
      <c r="D41" s="57">
        <v>4945</v>
      </c>
      <c r="E41" s="58">
        <v>7792</v>
      </c>
      <c r="F41" s="59">
        <v>421</v>
      </c>
      <c r="G41" s="18">
        <v>5.8216102850000002</v>
      </c>
    </row>
    <row r="42" spans="2:7" x14ac:dyDescent="0.3">
      <c r="B42" s="60">
        <v>39</v>
      </c>
      <c r="C42" s="58">
        <v>54021</v>
      </c>
      <c r="D42" s="57">
        <v>4656</v>
      </c>
      <c r="E42" s="58">
        <v>8369</v>
      </c>
      <c r="F42" s="59">
        <v>419</v>
      </c>
      <c r="G42" s="18">
        <v>5.0583355179999998</v>
      </c>
    </row>
    <row r="43" spans="2:7" x14ac:dyDescent="0.3">
      <c r="B43" s="60">
        <v>40</v>
      </c>
      <c r="C43" s="58">
        <v>39846</v>
      </c>
      <c r="D43" s="57">
        <v>4788</v>
      </c>
      <c r="E43" s="58">
        <v>8105</v>
      </c>
      <c r="F43" s="59">
        <v>385</v>
      </c>
      <c r="G43" s="18">
        <v>4.8826352049999997</v>
      </c>
    </row>
    <row r="44" spans="2:7" x14ac:dyDescent="0.3">
      <c r="B44" s="60">
        <v>41</v>
      </c>
      <c r="C44" s="58">
        <v>49776</v>
      </c>
      <c r="D44" s="57">
        <v>4785</v>
      </c>
      <c r="E44" s="58">
        <v>8111</v>
      </c>
      <c r="F44" s="59">
        <v>405</v>
      </c>
      <c r="G44" s="18">
        <v>6.2863545800000002</v>
      </c>
    </row>
    <row r="45" spans="2:7" x14ac:dyDescent="0.3">
      <c r="B45" s="60">
        <v>42</v>
      </c>
      <c r="C45" s="58">
        <v>50693</v>
      </c>
      <c r="D45" s="57">
        <v>4980</v>
      </c>
      <c r="E45" s="58">
        <v>7722</v>
      </c>
      <c r="F45" s="59">
        <v>414</v>
      </c>
      <c r="G45" s="18">
        <v>4.7745149580000001</v>
      </c>
    </row>
    <row r="46" spans="2:7" x14ac:dyDescent="0.3">
      <c r="B46" s="60">
        <v>43</v>
      </c>
      <c r="C46" s="58">
        <v>29963</v>
      </c>
      <c r="D46" s="57">
        <v>3190</v>
      </c>
      <c r="E46" s="58">
        <v>11301</v>
      </c>
      <c r="F46" s="59">
        <v>364</v>
      </c>
      <c r="G46" s="18">
        <v>5.7388720089999996</v>
      </c>
    </row>
    <row r="47" spans="2:7" x14ac:dyDescent="0.3">
      <c r="B47" s="60">
        <v>44</v>
      </c>
      <c r="C47" s="58">
        <v>41686</v>
      </c>
      <c r="D47" s="57">
        <v>3956</v>
      </c>
      <c r="E47" s="58">
        <v>9768</v>
      </c>
      <c r="F47" s="59">
        <v>395</v>
      </c>
      <c r="G47" s="18">
        <v>6.6818748140000004</v>
      </c>
    </row>
    <row r="48" spans="2:7" x14ac:dyDescent="0.3">
      <c r="B48" s="60">
        <v>45</v>
      </c>
      <c r="C48" s="58">
        <v>43357</v>
      </c>
      <c r="D48" s="57">
        <v>4233</v>
      </c>
      <c r="E48" s="58">
        <v>9214</v>
      </c>
      <c r="F48" s="59">
        <v>396</v>
      </c>
      <c r="G48" s="18">
        <v>6.1737327999999998</v>
      </c>
    </row>
    <row r="49" spans="2:7" x14ac:dyDescent="0.3">
      <c r="B49" s="60">
        <v>46</v>
      </c>
      <c r="C49" s="58">
        <v>60881</v>
      </c>
      <c r="D49" s="57">
        <v>5327</v>
      </c>
      <c r="E49" s="58">
        <v>7027</v>
      </c>
      <c r="F49" s="59">
        <v>432</v>
      </c>
      <c r="G49" s="18">
        <v>3.7349667769999999</v>
      </c>
    </row>
    <row r="50" spans="2:7" x14ac:dyDescent="0.3">
      <c r="B50" s="60">
        <v>47</v>
      </c>
      <c r="C50" s="58">
        <v>47822</v>
      </c>
      <c r="D50" s="57">
        <v>3576</v>
      </c>
      <c r="E50" s="58">
        <v>10529</v>
      </c>
      <c r="F50" s="59">
        <v>401</v>
      </c>
      <c r="G50" s="18">
        <v>6.1539190320000001</v>
      </c>
    </row>
    <row r="51" spans="2:7" x14ac:dyDescent="0.3">
      <c r="B51" s="60">
        <v>48</v>
      </c>
      <c r="C51" s="58">
        <v>57888</v>
      </c>
      <c r="D51" s="57">
        <v>5696</v>
      </c>
      <c r="E51" s="58">
        <v>6290</v>
      </c>
      <c r="F51" s="59">
        <v>435</v>
      </c>
      <c r="G51" s="18">
        <v>4.1339019910000001</v>
      </c>
    </row>
    <row r="52" spans="2:7" x14ac:dyDescent="0.3">
      <c r="B52" s="60">
        <v>49</v>
      </c>
      <c r="C52" s="58">
        <v>43178</v>
      </c>
      <c r="D52" s="57">
        <v>3608</v>
      </c>
      <c r="E52" s="58">
        <v>10466</v>
      </c>
      <c r="F52" s="59">
        <v>400</v>
      </c>
      <c r="G52" s="18">
        <v>3.5488052890000001</v>
      </c>
    </row>
    <row r="53" spans="2:7" x14ac:dyDescent="0.3">
      <c r="B53" s="60">
        <v>50</v>
      </c>
      <c r="C53" s="58">
        <v>58932</v>
      </c>
      <c r="D53" s="57">
        <v>5680</v>
      </c>
      <c r="E53" s="58">
        <v>6321</v>
      </c>
      <c r="F53" s="59">
        <v>428</v>
      </c>
      <c r="G53" s="18">
        <v>2.9430108760000002</v>
      </c>
    </row>
    <row r="54" spans="2:7" x14ac:dyDescent="0.3">
      <c r="B54" s="60">
        <v>51</v>
      </c>
      <c r="C54" s="58">
        <v>49227</v>
      </c>
      <c r="D54" s="57">
        <v>5446</v>
      </c>
      <c r="E54" s="58">
        <v>6789</v>
      </c>
      <c r="F54" s="59">
        <v>416</v>
      </c>
      <c r="G54" s="18">
        <v>4.8940215150000004</v>
      </c>
    </row>
    <row r="55" spans="2:7" x14ac:dyDescent="0.3">
      <c r="B55" s="60">
        <v>52</v>
      </c>
      <c r="C55" s="58">
        <v>53008</v>
      </c>
      <c r="D55" s="57">
        <v>6272</v>
      </c>
      <c r="E55" s="58">
        <v>5137</v>
      </c>
      <c r="F55" s="59">
        <v>424</v>
      </c>
      <c r="G55" s="18">
        <v>5.8543272770000003</v>
      </c>
    </row>
    <row r="56" spans="2:7" x14ac:dyDescent="0.3">
      <c r="B56" s="60">
        <v>53</v>
      </c>
      <c r="C56" s="58">
        <v>48314</v>
      </c>
      <c r="D56" s="57">
        <v>5428</v>
      </c>
      <c r="E56" s="58">
        <v>6825</v>
      </c>
      <c r="F56" s="59">
        <v>405</v>
      </c>
      <c r="G56" s="18">
        <v>5.0365932170000001</v>
      </c>
    </row>
    <row r="57" spans="2:7" x14ac:dyDescent="0.3">
      <c r="B57" s="60">
        <v>54</v>
      </c>
      <c r="C57" s="58">
        <v>48825</v>
      </c>
      <c r="D57" s="57">
        <v>4791</v>
      </c>
      <c r="E57" s="58">
        <v>8098</v>
      </c>
      <c r="F57" s="59">
        <v>402</v>
      </c>
      <c r="G57" s="18">
        <v>4.7472979239999997</v>
      </c>
    </row>
    <row r="58" spans="2:7" x14ac:dyDescent="0.3">
      <c r="B58" s="60">
        <v>55</v>
      </c>
      <c r="C58" s="58">
        <v>53309</v>
      </c>
      <c r="D58" s="57">
        <v>4966</v>
      </c>
      <c r="E58" s="58">
        <v>7749</v>
      </c>
      <c r="F58" s="59">
        <v>416</v>
      </c>
      <c r="G58" s="18">
        <v>5.7910753929999998</v>
      </c>
    </row>
    <row r="59" spans="2:7" x14ac:dyDescent="0.3">
      <c r="B59" s="60">
        <v>56</v>
      </c>
      <c r="C59" s="58">
        <v>46268</v>
      </c>
      <c r="D59" s="57">
        <v>5017</v>
      </c>
      <c r="E59" s="58">
        <v>7646</v>
      </c>
      <c r="F59" s="59">
        <v>403</v>
      </c>
      <c r="G59" s="18">
        <v>6.1097575370000001</v>
      </c>
    </row>
    <row r="60" spans="2:7" x14ac:dyDescent="0.3">
      <c r="B60" s="60">
        <v>57</v>
      </c>
      <c r="C60" s="58">
        <v>56177</v>
      </c>
      <c r="D60" s="57">
        <v>5420</v>
      </c>
      <c r="E60" s="58">
        <v>6841</v>
      </c>
      <c r="F60" s="59">
        <v>421</v>
      </c>
      <c r="G60" s="18">
        <v>3.9962182940000002</v>
      </c>
    </row>
    <row r="61" spans="2:7" x14ac:dyDescent="0.3">
      <c r="B61" s="60">
        <v>58</v>
      </c>
      <c r="C61" s="58">
        <v>67498</v>
      </c>
      <c r="D61" s="57">
        <v>6456</v>
      </c>
      <c r="E61" s="58">
        <v>4769</v>
      </c>
      <c r="F61" s="59">
        <v>442</v>
      </c>
      <c r="G61" s="18">
        <v>4.7473782069999997</v>
      </c>
    </row>
    <row r="62" spans="2:7" x14ac:dyDescent="0.3">
      <c r="B62" s="60">
        <v>59</v>
      </c>
      <c r="C62" s="58">
        <v>46687</v>
      </c>
      <c r="D62" s="57">
        <v>4783</v>
      </c>
      <c r="E62" s="58">
        <v>8114</v>
      </c>
      <c r="F62" s="59">
        <v>403</v>
      </c>
      <c r="G62" s="18">
        <v>5.6910516390000003</v>
      </c>
    </row>
    <row r="63" spans="2:7" x14ac:dyDescent="0.3">
      <c r="B63" s="60">
        <v>60</v>
      </c>
      <c r="C63" s="58">
        <v>30388</v>
      </c>
      <c r="D63" s="57">
        <v>4135</v>
      </c>
      <c r="E63" s="58">
        <v>9411</v>
      </c>
      <c r="F63" s="59">
        <v>357</v>
      </c>
      <c r="G63" s="18">
        <v>4.6245049939999996</v>
      </c>
    </row>
    <row r="64" spans="2:7" x14ac:dyDescent="0.3">
      <c r="B64" s="60">
        <v>61</v>
      </c>
      <c r="C64" s="58">
        <v>46553</v>
      </c>
      <c r="D64" s="57">
        <v>3762</v>
      </c>
      <c r="E64" s="58">
        <v>10157</v>
      </c>
      <c r="F64" s="59">
        <v>395</v>
      </c>
      <c r="G64" s="18">
        <v>3.9368459609999999</v>
      </c>
    </row>
    <row r="65" spans="2:7" x14ac:dyDescent="0.3">
      <c r="B65" s="60">
        <v>62</v>
      </c>
      <c r="C65" s="58">
        <v>53603</v>
      </c>
      <c r="D65" s="57">
        <v>5718</v>
      </c>
      <c r="E65" s="58">
        <v>6246</v>
      </c>
      <c r="F65" s="59">
        <v>418</v>
      </c>
      <c r="G65" s="18">
        <v>5.277801964</v>
      </c>
    </row>
    <row r="66" spans="2:7" x14ac:dyDescent="0.3">
      <c r="B66" s="60">
        <v>63</v>
      </c>
      <c r="C66" s="58">
        <v>42852</v>
      </c>
      <c r="D66" s="57">
        <v>4228</v>
      </c>
      <c r="E66" s="58">
        <v>9225</v>
      </c>
      <c r="F66" s="59">
        <v>395</v>
      </c>
      <c r="G66" s="18">
        <v>3.324267678</v>
      </c>
    </row>
    <row r="67" spans="2:7" x14ac:dyDescent="0.3">
      <c r="B67" s="60">
        <v>64</v>
      </c>
      <c r="C67" s="58">
        <v>47263</v>
      </c>
      <c r="D67" s="57">
        <v>5180</v>
      </c>
      <c r="E67" s="58">
        <v>7321</v>
      </c>
      <c r="F67" s="59">
        <v>401</v>
      </c>
      <c r="G67" s="18">
        <v>5.1484718520000001</v>
      </c>
    </row>
    <row r="68" spans="2:7" x14ac:dyDescent="0.3">
      <c r="B68" s="60">
        <v>65</v>
      </c>
      <c r="C68" s="58">
        <v>34772</v>
      </c>
      <c r="D68" s="57">
        <v>3553</v>
      </c>
      <c r="E68" s="58">
        <v>10575</v>
      </c>
      <c r="F68" s="59">
        <v>375</v>
      </c>
      <c r="G68" s="18">
        <v>5.6061629460000004</v>
      </c>
    </row>
    <row r="69" spans="2:7" x14ac:dyDescent="0.3">
      <c r="B69" s="60">
        <v>66</v>
      </c>
      <c r="C69" s="58">
        <v>58582</v>
      </c>
      <c r="D69" s="57">
        <v>6337</v>
      </c>
      <c r="E69" s="58">
        <v>5007</v>
      </c>
      <c r="F69" s="59">
        <v>424</v>
      </c>
      <c r="G69" s="18">
        <v>5.0844912320000004</v>
      </c>
    </row>
    <row r="70" spans="2:7" x14ac:dyDescent="0.3">
      <c r="B70" s="60">
        <v>67</v>
      </c>
      <c r="C70" s="58">
        <v>49393</v>
      </c>
      <c r="D70" s="57">
        <v>4866</v>
      </c>
      <c r="E70" s="58">
        <v>7948</v>
      </c>
      <c r="F70" s="59">
        <v>403</v>
      </c>
      <c r="G70" s="18">
        <v>6.1374418119999996</v>
      </c>
    </row>
    <row r="71" spans="2:7" x14ac:dyDescent="0.3">
      <c r="B71" s="60">
        <v>68</v>
      </c>
      <c r="C71" s="58">
        <v>48578</v>
      </c>
      <c r="D71" s="57">
        <v>5194</v>
      </c>
      <c r="E71" s="58">
        <v>7293</v>
      </c>
      <c r="F71" s="59">
        <v>417</v>
      </c>
      <c r="G71" s="18">
        <v>4.0904506180000002</v>
      </c>
    </row>
    <row r="72" spans="2:7" x14ac:dyDescent="0.3">
      <c r="B72" s="60">
        <v>69</v>
      </c>
      <c r="C72" s="58">
        <v>67555</v>
      </c>
      <c r="D72" s="57">
        <v>7173</v>
      </c>
      <c r="E72" s="58">
        <v>3334</v>
      </c>
      <c r="F72" s="59">
        <v>454</v>
      </c>
      <c r="G72" s="18">
        <v>4.2005149340000001</v>
      </c>
    </row>
    <row r="73" spans="2:7" x14ac:dyDescent="0.3">
      <c r="B73" s="60">
        <v>70</v>
      </c>
      <c r="C73" s="58">
        <v>60886</v>
      </c>
      <c r="D73" s="57">
        <v>6040</v>
      </c>
      <c r="E73" s="58">
        <v>5601</v>
      </c>
      <c r="F73" s="59">
        <v>432</v>
      </c>
      <c r="G73" s="18">
        <v>4.6986673540000004</v>
      </c>
    </row>
    <row r="74" spans="2:7" x14ac:dyDescent="0.3">
      <c r="B74" s="60">
        <v>71</v>
      </c>
      <c r="C74" s="58">
        <v>64738</v>
      </c>
      <c r="D74" s="57">
        <v>6602</v>
      </c>
      <c r="E74" s="58">
        <v>4476</v>
      </c>
      <c r="F74" s="59">
        <v>443</v>
      </c>
      <c r="G74" s="18">
        <v>4.8196024230000001</v>
      </c>
    </row>
    <row r="75" spans="2:7" x14ac:dyDescent="0.3">
      <c r="B75" s="60">
        <v>72</v>
      </c>
      <c r="C75" s="58">
        <v>28643</v>
      </c>
      <c r="D75" s="57">
        <v>2500</v>
      </c>
      <c r="E75" s="58">
        <v>12681</v>
      </c>
      <c r="F75" s="59">
        <v>352</v>
      </c>
      <c r="G75" s="18">
        <v>4.4288368560000002</v>
      </c>
    </row>
    <row r="76" spans="2:7" x14ac:dyDescent="0.3">
      <c r="B76" s="60">
        <v>73</v>
      </c>
      <c r="C76" s="58">
        <v>44815</v>
      </c>
      <c r="D76" s="57">
        <v>4552</v>
      </c>
      <c r="E76" s="58">
        <v>8577</v>
      </c>
      <c r="F76" s="59">
        <v>408</v>
      </c>
      <c r="G76" s="18">
        <v>6.0189414430000001</v>
      </c>
    </row>
    <row r="77" spans="2:7" x14ac:dyDescent="0.3">
      <c r="B77" s="60">
        <v>74</v>
      </c>
      <c r="C77" s="58">
        <v>47867</v>
      </c>
      <c r="D77" s="57">
        <v>4730</v>
      </c>
      <c r="E77" s="58">
        <v>8221</v>
      </c>
      <c r="F77" s="59">
        <v>399</v>
      </c>
      <c r="G77" s="18">
        <v>4.8140866439999996</v>
      </c>
    </row>
    <row r="78" spans="2:7" x14ac:dyDescent="0.3">
      <c r="B78" s="60">
        <v>75</v>
      </c>
      <c r="C78" s="58">
        <v>67328</v>
      </c>
      <c r="D78" s="57">
        <v>7098</v>
      </c>
      <c r="E78" s="58">
        <v>3485</v>
      </c>
      <c r="F78" s="59">
        <v>446</v>
      </c>
      <c r="G78" s="18">
        <v>5.6414179930000001</v>
      </c>
    </row>
    <row r="79" spans="2:7" x14ac:dyDescent="0.3">
      <c r="B79" s="60">
        <v>76</v>
      </c>
      <c r="C79" s="58">
        <v>36682</v>
      </c>
      <c r="D79" s="57">
        <v>4532</v>
      </c>
      <c r="E79" s="58">
        <v>8617</v>
      </c>
      <c r="F79" s="59">
        <v>380</v>
      </c>
      <c r="G79" s="18">
        <v>6.0964626419999997</v>
      </c>
    </row>
    <row r="80" spans="2:7" x14ac:dyDescent="0.3">
      <c r="B80" s="60">
        <v>77</v>
      </c>
      <c r="C80" s="58">
        <v>53768</v>
      </c>
      <c r="D80" s="57">
        <v>5914</v>
      </c>
      <c r="E80" s="58">
        <v>5854</v>
      </c>
      <c r="F80" s="59">
        <v>415</v>
      </c>
      <c r="G80" s="18">
        <v>6.6570149409999999</v>
      </c>
    </row>
    <row r="81" spans="2:7" x14ac:dyDescent="0.3">
      <c r="B81" s="60">
        <v>78</v>
      </c>
      <c r="C81" s="58">
        <v>49475</v>
      </c>
      <c r="D81" s="57">
        <v>4864</v>
      </c>
      <c r="E81" s="58">
        <v>7952</v>
      </c>
      <c r="F81" s="59">
        <v>410</v>
      </c>
      <c r="G81" s="18">
        <v>6.2467022769999998</v>
      </c>
    </row>
    <row r="82" spans="2:7" x14ac:dyDescent="0.3">
      <c r="B82" s="60">
        <v>79</v>
      </c>
      <c r="C82" s="58">
        <v>53660</v>
      </c>
      <c r="D82" s="57">
        <v>4579</v>
      </c>
      <c r="E82" s="58">
        <v>8522</v>
      </c>
      <c r="F82" s="59">
        <v>412</v>
      </c>
      <c r="G82" s="18">
        <v>3.855595949</v>
      </c>
    </row>
    <row r="83" spans="2:7" x14ac:dyDescent="0.3">
      <c r="B83" s="60">
        <v>80</v>
      </c>
      <c r="C83" s="58">
        <v>35779</v>
      </c>
      <c r="D83" s="57">
        <v>3784</v>
      </c>
      <c r="E83" s="58">
        <v>10113</v>
      </c>
      <c r="F83" s="59">
        <v>378</v>
      </c>
      <c r="G83" s="18">
        <v>5.1496790619999997</v>
      </c>
    </row>
    <row r="84" spans="2:7" x14ac:dyDescent="0.3">
      <c r="B84" s="60">
        <v>81</v>
      </c>
      <c r="C84" s="58">
        <v>54889</v>
      </c>
      <c r="D84" s="57">
        <v>5053</v>
      </c>
      <c r="E84" s="58">
        <v>7574</v>
      </c>
      <c r="F84" s="59">
        <v>424</v>
      </c>
      <c r="G84" s="18">
        <v>5.122232522</v>
      </c>
    </row>
    <row r="85" spans="2:7" x14ac:dyDescent="0.3">
      <c r="B85" s="60">
        <v>82</v>
      </c>
      <c r="C85" s="58">
        <v>66765</v>
      </c>
      <c r="D85" s="57">
        <v>6511</v>
      </c>
      <c r="E85" s="58">
        <v>4660</v>
      </c>
      <c r="F85" s="59">
        <v>445</v>
      </c>
      <c r="G85" s="18">
        <v>4.3238747000000002</v>
      </c>
    </row>
    <row r="86" spans="2:7" x14ac:dyDescent="0.3">
      <c r="B86" s="60">
        <v>83</v>
      </c>
      <c r="C86" s="58">
        <v>68917</v>
      </c>
      <c r="D86" s="57">
        <v>6322</v>
      </c>
      <c r="E86" s="58">
        <v>5036</v>
      </c>
      <c r="F86" s="59">
        <v>446</v>
      </c>
      <c r="G86" s="18">
        <v>5.2982416590000003</v>
      </c>
    </row>
    <row r="87" spans="2:7" x14ac:dyDescent="0.3">
      <c r="B87" s="60">
        <v>84</v>
      </c>
      <c r="C87" s="58">
        <v>61419</v>
      </c>
      <c r="D87" s="57">
        <v>6291</v>
      </c>
      <c r="E87" s="58">
        <v>5098</v>
      </c>
      <c r="F87" s="59">
        <v>424</v>
      </c>
      <c r="G87" s="18">
        <v>6.2500996869999996</v>
      </c>
    </row>
    <row r="88" spans="2:7" x14ac:dyDescent="0.3">
      <c r="B88" s="60">
        <v>85</v>
      </c>
      <c r="C88" s="58">
        <v>38266</v>
      </c>
      <c r="D88" s="57">
        <v>4025</v>
      </c>
      <c r="E88" s="58">
        <v>9631</v>
      </c>
      <c r="F88" s="59">
        <v>388</v>
      </c>
      <c r="G88" s="18">
        <v>5.5634990650000002</v>
      </c>
    </row>
    <row r="89" spans="2:7" x14ac:dyDescent="0.3">
      <c r="B89" s="60">
        <v>86</v>
      </c>
      <c r="C89" s="58">
        <v>43248</v>
      </c>
      <c r="D89" s="57">
        <v>4421</v>
      </c>
      <c r="E89" s="58">
        <v>8840</v>
      </c>
      <c r="F89" s="59">
        <v>392</v>
      </c>
      <c r="G89" s="18">
        <v>5.5659689590000001</v>
      </c>
    </row>
    <row r="90" spans="2:7" x14ac:dyDescent="0.3">
      <c r="B90" s="60">
        <v>87</v>
      </c>
      <c r="C90" s="58">
        <v>68301</v>
      </c>
      <c r="D90" s="57">
        <v>6520</v>
      </c>
      <c r="E90" s="58">
        <v>4641</v>
      </c>
      <c r="F90" s="59">
        <v>447</v>
      </c>
      <c r="G90" s="18">
        <v>5.5851486870000002</v>
      </c>
    </row>
    <row r="91" spans="2:7" x14ac:dyDescent="0.3">
      <c r="B91" s="60">
        <v>88</v>
      </c>
      <c r="C91" s="58">
        <v>63795</v>
      </c>
      <c r="D91" s="57">
        <v>7100</v>
      </c>
      <c r="E91" s="58">
        <v>3480</v>
      </c>
      <c r="F91" s="59">
        <v>427</v>
      </c>
      <c r="G91" s="18">
        <v>4.3422864780000001</v>
      </c>
    </row>
    <row r="92" spans="2:7" x14ac:dyDescent="0.3">
      <c r="B92" s="60">
        <v>89</v>
      </c>
      <c r="C92" s="58">
        <v>57423</v>
      </c>
      <c r="D92" s="57">
        <v>5648</v>
      </c>
      <c r="E92" s="58">
        <v>6386</v>
      </c>
      <c r="F92" s="59">
        <v>424</v>
      </c>
      <c r="G92" s="18">
        <v>5.8883658299999997</v>
      </c>
    </row>
    <row r="93" spans="2:7" x14ac:dyDescent="0.3">
      <c r="B93" s="60">
        <v>90</v>
      </c>
      <c r="C93" s="58">
        <v>80822</v>
      </c>
      <c r="D93" s="57">
        <v>8740</v>
      </c>
      <c r="E93" s="58">
        <v>200</v>
      </c>
      <c r="F93" s="59">
        <v>452</v>
      </c>
      <c r="G93" s="18">
        <v>3.2958147480000002</v>
      </c>
    </row>
    <row r="94" spans="2:7" x14ac:dyDescent="0.3">
      <c r="B94" s="60">
        <v>91</v>
      </c>
      <c r="C94" s="58">
        <v>63737</v>
      </c>
      <c r="D94" s="57">
        <v>6200</v>
      </c>
      <c r="E94" s="58">
        <v>5281</v>
      </c>
      <c r="F94" s="59">
        <v>435</v>
      </c>
      <c r="G94" s="18">
        <v>2.9179412149999999</v>
      </c>
    </row>
    <row r="95" spans="2:7" x14ac:dyDescent="0.3">
      <c r="B95" s="60">
        <v>92</v>
      </c>
      <c r="C95" s="58">
        <v>51122</v>
      </c>
      <c r="D95" s="57">
        <v>4868</v>
      </c>
      <c r="E95" s="58">
        <v>7944</v>
      </c>
      <c r="F95" s="59">
        <v>412</v>
      </c>
      <c r="G95" s="18">
        <v>4.0289847119999997</v>
      </c>
    </row>
    <row r="96" spans="2:7" x14ac:dyDescent="0.3">
      <c r="B96" s="60">
        <v>93</v>
      </c>
      <c r="C96" s="58">
        <v>47766</v>
      </c>
      <c r="D96" s="57">
        <v>4598</v>
      </c>
      <c r="E96" s="58">
        <v>8484</v>
      </c>
      <c r="F96" s="59">
        <v>402</v>
      </c>
      <c r="G96" s="18">
        <v>3.9671742459999999</v>
      </c>
    </row>
    <row r="97" spans="2:7" x14ac:dyDescent="0.3">
      <c r="B97" s="60">
        <v>94</v>
      </c>
      <c r="C97" s="58">
        <v>45940</v>
      </c>
      <c r="D97" s="57">
        <v>4686</v>
      </c>
      <c r="E97" s="58">
        <v>8310</v>
      </c>
      <c r="F97" s="59">
        <v>399</v>
      </c>
      <c r="G97" s="18">
        <v>6.5948560919999997</v>
      </c>
    </row>
    <row r="98" spans="2:7" x14ac:dyDescent="0.3">
      <c r="B98" s="60">
        <v>95</v>
      </c>
      <c r="C98" s="58">
        <v>63135</v>
      </c>
      <c r="D98" s="57">
        <v>5771</v>
      </c>
      <c r="E98" s="58">
        <v>6139</v>
      </c>
      <c r="F98" s="59">
        <v>440</v>
      </c>
      <c r="G98" s="18">
        <v>3.7146956680000001</v>
      </c>
    </row>
    <row r="99" spans="2:7" x14ac:dyDescent="0.3">
      <c r="B99" s="60">
        <v>96</v>
      </c>
      <c r="C99" s="58">
        <v>51007</v>
      </c>
      <c r="D99" s="57">
        <v>5109</v>
      </c>
      <c r="E99" s="58">
        <v>7463</v>
      </c>
      <c r="F99" s="59">
        <v>417</v>
      </c>
      <c r="G99" s="18">
        <v>4.754395369</v>
      </c>
    </row>
    <row r="100" spans="2:7" x14ac:dyDescent="0.3">
      <c r="B100" s="60">
        <v>97</v>
      </c>
      <c r="C100" s="58">
        <v>54478</v>
      </c>
      <c r="D100" s="57">
        <v>5212</v>
      </c>
      <c r="E100" s="58">
        <v>7257</v>
      </c>
      <c r="F100" s="59">
        <v>426</v>
      </c>
      <c r="G100" s="18">
        <v>6.1264266630000002</v>
      </c>
    </row>
    <row r="101" spans="2:7" x14ac:dyDescent="0.3">
      <c r="B101" s="60">
        <v>98</v>
      </c>
      <c r="C101" s="58">
        <v>45794</v>
      </c>
      <c r="D101" s="57">
        <v>5252</v>
      </c>
      <c r="E101" s="58">
        <v>7176</v>
      </c>
      <c r="F101" s="59">
        <v>394</v>
      </c>
      <c r="G101" s="18">
        <v>6.6891419790000004</v>
      </c>
    </row>
    <row r="102" spans="2:7" x14ac:dyDescent="0.3">
      <c r="B102" s="60">
        <v>99</v>
      </c>
      <c r="C102" s="58">
        <v>35635</v>
      </c>
      <c r="D102" s="57">
        <v>4035</v>
      </c>
      <c r="E102" s="58">
        <v>9611</v>
      </c>
      <c r="F102" s="59">
        <v>380</v>
      </c>
      <c r="G102" s="18">
        <v>4.6977542650000004</v>
      </c>
    </row>
    <row r="103" spans="2:7" x14ac:dyDescent="0.3">
      <c r="B103" s="60">
        <v>100</v>
      </c>
      <c r="C103" s="58">
        <v>59949</v>
      </c>
      <c r="D103" s="57">
        <v>5925</v>
      </c>
      <c r="E103" s="58">
        <v>5831</v>
      </c>
      <c r="F103" s="59">
        <v>430</v>
      </c>
      <c r="G103" s="18">
        <v>5.5287027499999999</v>
      </c>
    </row>
    <row r="104" spans="2:7" x14ac:dyDescent="0.3">
      <c r="B104" s="60">
        <v>101</v>
      </c>
      <c r="C104" s="58">
        <v>33849</v>
      </c>
      <c r="D104" s="57">
        <v>3307</v>
      </c>
      <c r="E104" s="58">
        <v>11067</v>
      </c>
      <c r="F104" s="59">
        <v>377</v>
      </c>
      <c r="G104" s="18">
        <v>5.6177750690000003</v>
      </c>
    </row>
    <row r="105" spans="2:7" x14ac:dyDescent="0.3">
      <c r="B105" s="60">
        <v>102</v>
      </c>
      <c r="C105" s="58">
        <v>67607</v>
      </c>
      <c r="D105" s="57">
        <v>6042</v>
      </c>
      <c r="E105" s="58">
        <v>5597</v>
      </c>
      <c r="F105" s="59">
        <v>441</v>
      </c>
      <c r="G105" s="18">
        <v>5.0816066080000004</v>
      </c>
    </row>
    <row r="106" spans="2:7" x14ac:dyDescent="0.3">
      <c r="B106" s="60">
        <v>103</v>
      </c>
      <c r="C106" s="58">
        <v>59348</v>
      </c>
      <c r="D106" s="57">
        <v>5797</v>
      </c>
      <c r="E106" s="58">
        <v>6086</v>
      </c>
      <c r="F106" s="59">
        <v>425</v>
      </c>
      <c r="G106" s="18">
        <v>6.47698807</v>
      </c>
    </row>
    <row r="107" spans="2:7" x14ac:dyDescent="0.3">
      <c r="B107" s="60">
        <v>104</v>
      </c>
      <c r="C107" s="58">
        <v>66959</v>
      </c>
      <c r="D107" s="57">
        <v>6100</v>
      </c>
      <c r="E107" s="58">
        <v>5482</v>
      </c>
      <c r="F107" s="59">
        <v>446</v>
      </c>
      <c r="G107" s="18">
        <v>4.2715240489999999</v>
      </c>
    </row>
    <row r="108" spans="2:7" x14ac:dyDescent="0.3">
      <c r="B108" s="60">
        <v>105</v>
      </c>
      <c r="C108" s="58">
        <v>50003</v>
      </c>
      <c r="D108" s="57">
        <v>5303</v>
      </c>
      <c r="E108" s="58">
        <v>7075</v>
      </c>
      <c r="F108" s="59">
        <v>412</v>
      </c>
      <c r="G108" s="18">
        <v>4.4978232729999998</v>
      </c>
    </row>
    <row r="109" spans="2:7" x14ac:dyDescent="0.3">
      <c r="B109" s="60">
        <v>106</v>
      </c>
      <c r="C109" s="58">
        <v>44211</v>
      </c>
      <c r="D109" s="57">
        <v>4492</v>
      </c>
      <c r="E109" s="58">
        <v>8697</v>
      </c>
      <c r="F109" s="59">
        <v>399</v>
      </c>
      <c r="G109" s="18">
        <v>5.048714049</v>
      </c>
    </row>
    <row r="110" spans="2:7" x14ac:dyDescent="0.3">
      <c r="B110" s="60">
        <v>107</v>
      </c>
      <c r="C110" s="58">
        <v>76582</v>
      </c>
      <c r="D110" s="57">
        <v>7572</v>
      </c>
      <c r="E110" s="58">
        <v>2537</v>
      </c>
      <c r="F110" s="59">
        <v>458</v>
      </c>
      <c r="G110" s="18">
        <v>6.848568116</v>
      </c>
    </row>
    <row r="111" spans="2:7" x14ac:dyDescent="0.3">
      <c r="B111" s="60">
        <v>108</v>
      </c>
      <c r="C111" s="58">
        <v>53496</v>
      </c>
      <c r="D111" s="57">
        <v>5967</v>
      </c>
      <c r="E111" s="58">
        <v>5746</v>
      </c>
      <c r="F111" s="59">
        <v>418</v>
      </c>
      <c r="G111" s="18">
        <v>6.3314612099999996</v>
      </c>
    </row>
    <row r="112" spans="2:7" x14ac:dyDescent="0.3">
      <c r="B112" s="60">
        <v>109</v>
      </c>
      <c r="C112" s="58">
        <v>44627</v>
      </c>
      <c r="D112" s="57">
        <v>4627</v>
      </c>
      <c r="E112" s="58">
        <v>8426</v>
      </c>
      <c r="F112" s="59">
        <v>403</v>
      </c>
      <c r="G112" s="18">
        <v>6.3125108990000003</v>
      </c>
    </row>
    <row r="113" spans="2:7" x14ac:dyDescent="0.3">
      <c r="B113" s="60">
        <v>110</v>
      </c>
      <c r="C113" s="58">
        <v>50769</v>
      </c>
      <c r="D113" s="57">
        <v>5710</v>
      </c>
      <c r="E113" s="58">
        <v>6261</v>
      </c>
      <c r="F113" s="59">
        <v>414</v>
      </c>
      <c r="G113" s="18">
        <v>5.2783005090000001</v>
      </c>
    </row>
    <row r="114" spans="2:7" x14ac:dyDescent="0.3">
      <c r="B114" s="60">
        <v>111</v>
      </c>
      <c r="C114" s="58">
        <v>64029</v>
      </c>
      <c r="D114" s="57">
        <v>5985</v>
      </c>
      <c r="E114" s="58">
        <v>5711</v>
      </c>
      <c r="F114" s="59">
        <v>434</v>
      </c>
      <c r="G114" s="18">
        <v>3.5500202729999999</v>
      </c>
    </row>
    <row r="115" spans="2:7" x14ac:dyDescent="0.3">
      <c r="B115" s="60">
        <v>112</v>
      </c>
      <c r="C115" s="58">
        <v>45473</v>
      </c>
      <c r="D115" s="57">
        <v>4352</v>
      </c>
      <c r="E115" s="58">
        <v>8977</v>
      </c>
      <c r="F115" s="59">
        <v>403</v>
      </c>
      <c r="G115" s="18">
        <v>4.5213790420000004</v>
      </c>
    </row>
    <row r="116" spans="2:7" x14ac:dyDescent="0.3">
      <c r="B116" s="60">
        <v>113</v>
      </c>
      <c r="C116" s="58">
        <v>43197</v>
      </c>
      <c r="D116" s="57">
        <v>4372</v>
      </c>
      <c r="E116" s="58">
        <v>8937</v>
      </c>
      <c r="F116" s="59">
        <v>394</v>
      </c>
      <c r="G116" s="18">
        <v>5.0826893829999999</v>
      </c>
    </row>
    <row r="117" spans="2:7" x14ac:dyDescent="0.3">
      <c r="B117" s="60">
        <v>114</v>
      </c>
      <c r="C117" s="58">
        <v>50174</v>
      </c>
      <c r="D117" s="57">
        <v>4601</v>
      </c>
      <c r="E117" s="58">
        <v>8480</v>
      </c>
      <c r="F117" s="59">
        <v>408</v>
      </c>
      <c r="G117" s="18">
        <v>6.3003434729999999</v>
      </c>
    </row>
    <row r="118" spans="2:7" x14ac:dyDescent="0.3">
      <c r="B118" s="60">
        <v>115</v>
      </c>
      <c r="C118" s="58">
        <v>32312</v>
      </c>
      <c r="D118" s="57">
        <v>3680</v>
      </c>
      <c r="E118" s="58">
        <v>10321</v>
      </c>
      <c r="F118" s="59">
        <v>374</v>
      </c>
      <c r="G118" s="18">
        <v>6.4979036319999999</v>
      </c>
    </row>
    <row r="119" spans="2:7" x14ac:dyDescent="0.3">
      <c r="B119" s="60">
        <v>116</v>
      </c>
      <c r="C119" s="58">
        <v>38510</v>
      </c>
      <c r="D119" s="57">
        <v>4082</v>
      </c>
      <c r="E119" s="58">
        <v>9517</v>
      </c>
      <c r="F119" s="59">
        <v>389</v>
      </c>
      <c r="G119" s="18">
        <v>5.2168299229999997</v>
      </c>
    </row>
    <row r="120" spans="2:7" x14ac:dyDescent="0.3">
      <c r="B120" s="60">
        <v>117</v>
      </c>
      <c r="C120" s="58">
        <v>45101</v>
      </c>
      <c r="D120" s="57">
        <v>4991</v>
      </c>
      <c r="E120" s="58">
        <v>7698</v>
      </c>
      <c r="F120" s="59">
        <v>401</v>
      </c>
      <c r="G120" s="18">
        <v>5.3819783729999999</v>
      </c>
    </row>
    <row r="121" spans="2:7" x14ac:dyDescent="0.3">
      <c r="B121" s="60">
        <v>118</v>
      </c>
      <c r="C121" s="58">
        <v>50803</v>
      </c>
      <c r="D121" s="57">
        <v>4713</v>
      </c>
      <c r="E121" s="58">
        <v>8254</v>
      </c>
      <c r="F121" s="59">
        <v>410</v>
      </c>
      <c r="G121" s="18">
        <v>5.2719663490000004</v>
      </c>
    </row>
    <row r="122" spans="2:7" x14ac:dyDescent="0.3">
      <c r="B122" s="60">
        <v>119</v>
      </c>
      <c r="C122" s="58">
        <v>43874</v>
      </c>
      <c r="D122" s="57">
        <v>4570</v>
      </c>
      <c r="E122" s="58">
        <v>8541</v>
      </c>
      <c r="F122" s="59">
        <v>396</v>
      </c>
      <c r="G122" s="18">
        <v>4.3008470130000003</v>
      </c>
    </row>
    <row r="123" spans="2:7" x14ac:dyDescent="0.3">
      <c r="B123" s="60">
        <v>120</v>
      </c>
      <c r="C123" s="58">
        <v>53745</v>
      </c>
      <c r="D123" s="57">
        <v>5352</v>
      </c>
      <c r="E123" s="58">
        <v>6977</v>
      </c>
      <c r="F123" s="59">
        <v>420</v>
      </c>
      <c r="G123" s="18">
        <v>2.7913241069999999</v>
      </c>
    </row>
    <row r="124" spans="2:7" x14ac:dyDescent="0.3">
      <c r="B124" s="60">
        <v>121</v>
      </c>
      <c r="C124" s="58">
        <v>38429</v>
      </c>
      <c r="D124" s="57">
        <v>3956</v>
      </c>
      <c r="E124" s="58">
        <v>9769</v>
      </c>
      <c r="F124" s="59">
        <v>387</v>
      </c>
      <c r="G124" s="18">
        <v>4.490863922</v>
      </c>
    </row>
    <row r="125" spans="2:7" x14ac:dyDescent="0.3">
      <c r="B125" s="60">
        <v>122</v>
      </c>
      <c r="C125" s="58">
        <v>31438</v>
      </c>
      <c r="D125" s="57">
        <v>3401</v>
      </c>
      <c r="E125" s="58">
        <v>10879</v>
      </c>
      <c r="F125" s="59">
        <v>370</v>
      </c>
      <c r="G125" s="18">
        <v>3.1721054610000001</v>
      </c>
    </row>
    <row r="126" spans="2:7" x14ac:dyDescent="0.3">
      <c r="B126" s="60">
        <v>123</v>
      </c>
      <c r="C126" s="58">
        <v>48007</v>
      </c>
      <c r="D126" s="57">
        <v>3861</v>
      </c>
      <c r="E126" s="58">
        <v>9958</v>
      </c>
      <c r="F126" s="59">
        <v>412</v>
      </c>
      <c r="G126" s="18">
        <v>4.6722083769999996</v>
      </c>
    </row>
    <row r="127" spans="2:7" x14ac:dyDescent="0.3">
      <c r="B127" s="60">
        <v>124</v>
      </c>
      <c r="C127" s="58">
        <v>46598</v>
      </c>
      <c r="D127" s="57">
        <v>4166</v>
      </c>
      <c r="E127" s="58">
        <v>9349</v>
      </c>
      <c r="F127" s="59">
        <v>403</v>
      </c>
      <c r="G127" s="18">
        <v>4.5435299000000002</v>
      </c>
    </row>
    <row r="128" spans="2:7" x14ac:dyDescent="0.3">
      <c r="B128" s="60">
        <v>125</v>
      </c>
      <c r="C128" s="58">
        <v>46647</v>
      </c>
      <c r="D128" s="57">
        <v>5334</v>
      </c>
      <c r="E128" s="58">
        <v>7013</v>
      </c>
      <c r="F128" s="59">
        <v>404</v>
      </c>
      <c r="G128" s="18">
        <v>5.32084899</v>
      </c>
    </row>
    <row r="129" spans="2:7" x14ac:dyDescent="0.3">
      <c r="B129" s="60">
        <v>126</v>
      </c>
      <c r="C129" s="58">
        <v>40488</v>
      </c>
      <c r="D129" s="57">
        <v>4205</v>
      </c>
      <c r="E129" s="58">
        <v>9271</v>
      </c>
      <c r="F129" s="59">
        <v>399</v>
      </c>
      <c r="G129" s="18">
        <v>3.9167841800000001</v>
      </c>
    </row>
    <row r="130" spans="2:7" x14ac:dyDescent="0.3">
      <c r="B130" s="60">
        <v>127</v>
      </c>
      <c r="C130" s="58">
        <v>61345</v>
      </c>
      <c r="D130" s="57">
        <v>6569</v>
      </c>
      <c r="E130" s="58">
        <v>4544</v>
      </c>
      <c r="F130" s="59">
        <v>436</v>
      </c>
      <c r="G130" s="18">
        <v>5.4804492180000004</v>
      </c>
    </row>
    <row r="131" spans="2:7" x14ac:dyDescent="0.3">
      <c r="B131" s="60">
        <v>128</v>
      </c>
      <c r="C131" s="58">
        <v>64847</v>
      </c>
      <c r="D131" s="57">
        <v>6858</v>
      </c>
      <c r="E131" s="58">
        <v>3966</v>
      </c>
      <c r="F131" s="59">
        <v>444</v>
      </c>
      <c r="G131" s="18">
        <v>4.9765883970000004</v>
      </c>
    </row>
    <row r="132" spans="2:7" x14ac:dyDescent="0.3">
      <c r="B132" s="60">
        <v>129</v>
      </c>
      <c r="C132" s="58">
        <v>43317</v>
      </c>
      <c r="D132" s="57">
        <v>4498</v>
      </c>
      <c r="E132" s="58">
        <v>8684</v>
      </c>
      <c r="F132" s="59">
        <v>403</v>
      </c>
      <c r="G132" s="18">
        <v>5.2786571819999999</v>
      </c>
    </row>
    <row r="133" spans="2:7" x14ac:dyDescent="0.3">
      <c r="B133" s="60">
        <v>130</v>
      </c>
      <c r="C133" s="58">
        <v>57642</v>
      </c>
      <c r="D133" s="57">
        <v>5954</v>
      </c>
      <c r="E133" s="58">
        <v>5773</v>
      </c>
      <c r="F133" s="59">
        <v>426</v>
      </c>
      <c r="G133" s="18">
        <v>4.6536795619999998</v>
      </c>
    </row>
    <row r="134" spans="2:7" x14ac:dyDescent="0.3">
      <c r="B134" s="60">
        <v>131</v>
      </c>
      <c r="C134" s="58">
        <v>47266</v>
      </c>
      <c r="D134" s="57">
        <v>3722</v>
      </c>
      <c r="E134" s="58">
        <v>10237</v>
      </c>
      <c r="F134" s="59">
        <v>401</v>
      </c>
      <c r="G134" s="18">
        <v>6.1044077410000002</v>
      </c>
    </row>
    <row r="135" spans="2:7" x14ac:dyDescent="0.3">
      <c r="B135" s="60">
        <v>132</v>
      </c>
      <c r="C135" s="58">
        <v>41115</v>
      </c>
      <c r="D135" s="57">
        <v>4633</v>
      </c>
      <c r="E135" s="58">
        <v>8415</v>
      </c>
      <c r="F135" s="59">
        <v>384</v>
      </c>
      <c r="G135" s="18">
        <v>3.331071084</v>
      </c>
    </row>
    <row r="136" spans="2:7" x14ac:dyDescent="0.3">
      <c r="B136" s="60">
        <v>133</v>
      </c>
      <c r="C136" s="58">
        <v>59801</v>
      </c>
      <c r="D136" s="57">
        <v>6410</v>
      </c>
      <c r="E136" s="58">
        <v>4862</v>
      </c>
      <c r="F136" s="59">
        <v>437</v>
      </c>
      <c r="G136" s="18">
        <v>4.3385313129999998</v>
      </c>
    </row>
    <row r="137" spans="2:7" x14ac:dyDescent="0.3">
      <c r="B137" s="60">
        <v>134</v>
      </c>
      <c r="C137" s="58">
        <v>56692</v>
      </c>
      <c r="D137" s="57">
        <v>6360</v>
      </c>
      <c r="E137" s="58">
        <v>4960</v>
      </c>
      <c r="F137" s="59">
        <v>430</v>
      </c>
      <c r="G137" s="18">
        <v>5.2194971829999997</v>
      </c>
    </row>
    <row r="138" spans="2:7" x14ac:dyDescent="0.3">
      <c r="B138" s="60">
        <v>135</v>
      </c>
      <c r="C138" s="58">
        <v>40871</v>
      </c>
      <c r="D138" s="57">
        <v>4733</v>
      </c>
      <c r="E138" s="58">
        <v>8216</v>
      </c>
      <c r="F138" s="59">
        <v>396</v>
      </c>
      <c r="G138" s="18">
        <v>3.7079844639999999</v>
      </c>
    </row>
    <row r="139" spans="2:7" x14ac:dyDescent="0.3">
      <c r="B139" s="60">
        <v>136</v>
      </c>
      <c r="C139" s="58">
        <v>36646</v>
      </c>
      <c r="D139" s="57">
        <v>3416</v>
      </c>
      <c r="E139" s="58">
        <v>10849</v>
      </c>
      <c r="F139" s="59">
        <v>380</v>
      </c>
      <c r="G139" s="18">
        <v>4.5595686520000003</v>
      </c>
    </row>
    <row r="140" spans="2:7" x14ac:dyDescent="0.3">
      <c r="B140" s="60">
        <v>137</v>
      </c>
      <c r="C140" s="58">
        <v>54296</v>
      </c>
      <c r="D140" s="57">
        <v>4904</v>
      </c>
      <c r="E140" s="58">
        <v>7872</v>
      </c>
      <c r="F140" s="59">
        <v>418</v>
      </c>
      <c r="G140" s="18">
        <v>5.0634561500000004</v>
      </c>
    </row>
    <row r="141" spans="2:7" x14ac:dyDescent="0.3">
      <c r="B141" s="60">
        <v>138</v>
      </c>
      <c r="C141" s="58">
        <v>44780</v>
      </c>
      <c r="D141" s="57">
        <v>5040</v>
      </c>
      <c r="E141" s="58">
        <v>7600</v>
      </c>
      <c r="F141" s="59">
        <v>400</v>
      </c>
      <c r="G141" s="18">
        <v>4.752343518</v>
      </c>
    </row>
    <row r="142" spans="2:7" x14ac:dyDescent="0.3">
      <c r="B142" s="60">
        <v>139</v>
      </c>
      <c r="C142" s="58">
        <v>67883</v>
      </c>
      <c r="D142" s="57">
        <v>6789</v>
      </c>
      <c r="E142" s="58">
        <v>4104</v>
      </c>
      <c r="F142" s="59">
        <v>443</v>
      </c>
      <c r="G142" s="18">
        <v>5.562819395</v>
      </c>
    </row>
    <row r="143" spans="2:7" x14ac:dyDescent="0.3">
      <c r="B143" s="60">
        <v>140</v>
      </c>
      <c r="C143" s="58">
        <v>59043</v>
      </c>
      <c r="D143" s="57">
        <v>5830</v>
      </c>
      <c r="E143" s="58">
        <v>6020</v>
      </c>
      <c r="F143" s="59">
        <v>439</v>
      </c>
      <c r="G143" s="18">
        <v>5.8422366840000004</v>
      </c>
    </row>
    <row r="144" spans="2:7" x14ac:dyDescent="0.3">
      <c r="B144" s="60">
        <v>141</v>
      </c>
      <c r="C144" s="58">
        <v>45205</v>
      </c>
      <c r="D144" s="57">
        <v>4896</v>
      </c>
      <c r="E144" s="58">
        <v>7888</v>
      </c>
      <c r="F144" s="59">
        <v>395</v>
      </c>
      <c r="G144" s="18">
        <v>3.8319277569999999</v>
      </c>
    </row>
    <row r="145" spans="2:7" x14ac:dyDescent="0.3">
      <c r="B145" s="60">
        <v>142</v>
      </c>
      <c r="C145" s="58">
        <v>33837</v>
      </c>
      <c r="D145" s="57">
        <v>3681</v>
      </c>
      <c r="E145" s="58">
        <v>10319</v>
      </c>
      <c r="F145" s="59">
        <v>379</v>
      </c>
      <c r="G145" s="18">
        <v>4.6276740280000004</v>
      </c>
    </row>
    <row r="146" spans="2:7" x14ac:dyDescent="0.3">
      <c r="B146" s="60">
        <v>143</v>
      </c>
      <c r="C146" s="58">
        <v>44953</v>
      </c>
      <c r="D146" s="57">
        <v>5018</v>
      </c>
      <c r="E146" s="58">
        <v>7644</v>
      </c>
      <c r="F146" s="59">
        <v>403</v>
      </c>
      <c r="G146" s="18">
        <v>4.7361518900000004</v>
      </c>
    </row>
    <row r="147" spans="2:7" x14ac:dyDescent="0.3">
      <c r="B147" s="60">
        <v>144</v>
      </c>
      <c r="C147" s="58">
        <v>60552</v>
      </c>
      <c r="D147" s="57">
        <v>6163</v>
      </c>
      <c r="E147" s="58">
        <v>5355</v>
      </c>
      <c r="F147" s="59">
        <v>433</v>
      </c>
      <c r="G147" s="18">
        <v>6.4145799060000002</v>
      </c>
    </row>
    <row r="148" spans="2:7" x14ac:dyDescent="0.3">
      <c r="B148" s="60">
        <v>145</v>
      </c>
      <c r="C148" s="58">
        <v>49705</v>
      </c>
      <c r="D148" s="57">
        <v>5612</v>
      </c>
      <c r="E148" s="58">
        <v>6457</v>
      </c>
      <c r="F148" s="59">
        <v>415</v>
      </c>
      <c r="G148" s="18">
        <v>6.3052062859999998</v>
      </c>
    </row>
    <row r="149" spans="2:7" x14ac:dyDescent="0.3">
      <c r="B149" s="60">
        <v>146</v>
      </c>
      <c r="C149" s="58">
        <v>52373</v>
      </c>
      <c r="D149" s="57">
        <v>4609</v>
      </c>
      <c r="E149" s="58">
        <v>8464</v>
      </c>
      <c r="F149" s="59">
        <v>416</v>
      </c>
      <c r="G149" s="18">
        <v>4.4986957429999999</v>
      </c>
    </row>
    <row r="150" spans="2:7" x14ac:dyDescent="0.3">
      <c r="B150" s="60">
        <v>147</v>
      </c>
      <c r="C150" s="58">
        <v>59252</v>
      </c>
      <c r="D150" s="57">
        <v>5829</v>
      </c>
      <c r="E150" s="58">
        <v>6024</v>
      </c>
      <c r="F150" s="59">
        <v>425</v>
      </c>
      <c r="G150" s="18">
        <v>5.6961132560000003</v>
      </c>
    </row>
    <row r="151" spans="2:7" x14ac:dyDescent="0.3">
      <c r="B151" s="60">
        <v>148</v>
      </c>
      <c r="C151" s="58">
        <v>52358</v>
      </c>
      <c r="D151" s="57">
        <v>5471</v>
      </c>
      <c r="E151" s="58">
        <v>6738</v>
      </c>
      <c r="F151" s="59">
        <v>412</v>
      </c>
      <c r="G151" s="18">
        <v>5.6072408960000004</v>
      </c>
    </row>
    <row r="152" spans="2:7" x14ac:dyDescent="0.3">
      <c r="B152" s="60">
        <v>149</v>
      </c>
      <c r="C152" s="58">
        <v>56100</v>
      </c>
      <c r="D152" s="57">
        <v>5217</v>
      </c>
      <c r="E152" s="58">
        <v>7247</v>
      </c>
      <c r="F152" s="59">
        <v>421</v>
      </c>
      <c r="G152" s="18">
        <v>4.1072303459999997</v>
      </c>
    </row>
    <row r="153" spans="2:7" x14ac:dyDescent="0.3">
      <c r="B153" s="60">
        <v>150</v>
      </c>
      <c r="C153" s="58">
        <v>43215</v>
      </c>
      <c r="D153" s="57">
        <v>4392</v>
      </c>
      <c r="E153" s="58">
        <v>8897</v>
      </c>
      <c r="F153" s="59">
        <v>392</v>
      </c>
      <c r="G153" s="18">
        <v>5.5932656710000002</v>
      </c>
    </row>
    <row r="154" spans="2:7" x14ac:dyDescent="0.3">
      <c r="B154" s="60">
        <v>151</v>
      </c>
      <c r="C154" s="58">
        <v>46932</v>
      </c>
      <c r="D154" s="57">
        <v>5410</v>
      </c>
      <c r="E154" s="58">
        <v>6861</v>
      </c>
      <c r="F154" s="59">
        <v>403</v>
      </c>
      <c r="G154" s="18">
        <v>5.4067011579999997</v>
      </c>
    </row>
    <row r="155" spans="2:7" x14ac:dyDescent="0.3">
      <c r="B155" s="60">
        <v>152</v>
      </c>
      <c r="C155" s="58">
        <v>47420</v>
      </c>
      <c r="D155" s="57">
        <v>4828</v>
      </c>
      <c r="E155" s="58">
        <v>8024</v>
      </c>
      <c r="F155" s="59">
        <v>398</v>
      </c>
      <c r="G155" s="18">
        <v>5.1846361490000001</v>
      </c>
    </row>
    <row r="156" spans="2:7" x14ac:dyDescent="0.3">
      <c r="B156" s="60">
        <v>153</v>
      </c>
      <c r="C156" s="58">
        <v>57402</v>
      </c>
      <c r="D156" s="57">
        <v>5592</v>
      </c>
      <c r="E156" s="58">
        <v>6497</v>
      </c>
      <c r="F156" s="59">
        <v>433</v>
      </c>
      <c r="G156" s="18">
        <v>4.896698099</v>
      </c>
    </row>
    <row r="157" spans="2:7" x14ac:dyDescent="0.3">
      <c r="B157" s="60">
        <v>154</v>
      </c>
      <c r="C157" s="58">
        <v>49268</v>
      </c>
      <c r="D157" s="57">
        <v>5389</v>
      </c>
      <c r="E157" s="58">
        <v>6904</v>
      </c>
      <c r="F157" s="59">
        <v>410</v>
      </c>
      <c r="G157" s="18">
        <v>4.1884162920000003</v>
      </c>
    </row>
    <row r="158" spans="2:7" x14ac:dyDescent="0.3">
      <c r="B158" s="60">
        <v>155</v>
      </c>
      <c r="C158" s="58">
        <v>67028</v>
      </c>
      <c r="D158" s="57">
        <v>6730</v>
      </c>
      <c r="E158" s="58">
        <v>4221</v>
      </c>
      <c r="F158" s="59">
        <v>440</v>
      </c>
      <c r="G158" s="18">
        <v>6.2432253629999996</v>
      </c>
    </row>
    <row r="159" spans="2:7" x14ac:dyDescent="0.3">
      <c r="B159" s="60">
        <v>156</v>
      </c>
      <c r="C159" s="58">
        <v>43205</v>
      </c>
      <c r="D159" s="57">
        <v>4420</v>
      </c>
      <c r="E159" s="58">
        <v>8840</v>
      </c>
      <c r="F159" s="59">
        <v>394</v>
      </c>
      <c r="G159" s="18">
        <v>5.2954597569999997</v>
      </c>
    </row>
    <row r="160" spans="2:7" x14ac:dyDescent="0.3">
      <c r="B160" s="60">
        <v>157</v>
      </c>
      <c r="C160" s="58">
        <v>63429</v>
      </c>
      <c r="D160" s="57">
        <v>5815</v>
      </c>
      <c r="E160" s="58">
        <v>6051</v>
      </c>
      <c r="F160" s="59">
        <v>424</v>
      </c>
      <c r="G160" s="18">
        <v>5.9093583900000004</v>
      </c>
    </row>
    <row r="161" spans="2:7" x14ac:dyDescent="0.3">
      <c r="B161" s="60">
        <v>158</v>
      </c>
      <c r="C161" s="58">
        <v>56732</v>
      </c>
      <c r="D161" s="57">
        <v>5429</v>
      </c>
      <c r="E161" s="58">
        <v>6823</v>
      </c>
      <c r="F161" s="59">
        <v>418</v>
      </c>
      <c r="G161" s="18">
        <v>5.93961513</v>
      </c>
    </row>
    <row r="162" spans="2:7" x14ac:dyDescent="0.3">
      <c r="B162" s="60">
        <v>159</v>
      </c>
      <c r="C162" s="58">
        <v>47549</v>
      </c>
      <c r="D162" s="57">
        <v>4930</v>
      </c>
      <c r="E162" s="58">
        <v>7820</v>
      </c>
      <c r="F162" s="59">
        <v>400</v>
      </c>
      <c r="G162" s="18">
        <v>5.4451787830000002</v>
      </c>
    </row>
    <row r="163" spans="2:7" x14ac:dyDescent="0.3">
      <c r="B163" s="60">
        <v>160</v>
      </c>
      <c r="C163" s="58">
        <v>50265</v>
      </c>
      <c r="D163" s="57">
        <v>5397</v>
      </c>
      <c r="E163" s="58">
        <v>6886</v>
      </c>
      <c r="F163" s="59">
        <v>416</v>
      </c>
      <c r="G163" s="18">
        <v>6.1705710959999998</v>
      </c>
    </row>
    <row r="164" spans="2:7" x14ac:dyDescent="0.3">
      <c r="B164" s="60">
        <v>161</v>
      </c>
      <c r="C164" s="58">
        <v>36727</v>
      </c>
      <c r="D164" s="57">
        <v>3665</v>
      </c>
      <c r="E164" s="58">
        <v>10351</v>
      </c>
      <c r="F164" s="59">
        <v>390</v>
      </c>
      <c r="G164" s="18">
        <v>3.3252461219999998</v>
      </c>
    </row>
    <row r="165" spans="2:7" x14ac:dyDescent="0.3">
      <c r="B165" s="60">
        <v>162</v>
      </c>
      <c r="C165" s="58">
        <v>52065</v>
      </c>
      <c r="D165" s="57">
        <v>5740</v>
      </c>
      <c r="E165" s="58">
        <v>6200</v>
      </c>
      <c r="F165" s="59">
        <v>423</v>
      </c>
      <c r="G165" s="18">
        <v>5.4716954839999996</v>
      </c>
    </row>
    <row r="166" spans="2:7" x14ac:dyDescent="0.3">
      <c r="B166" s="60">
        <v>163</v>
      </c>
      <c r="C166" s="58">
        <v>56858</v>
      </c>
      <c r="D166" s="57">
        <v>5186</v>
      </c>
      <c r="E166" s="58">
        <v>7309</v>
      </c>
      <c r="F166" s="59">
        <v>417</v>
      </c>
      <c r="G166" s="18">
        <v>5.7733953070000004</v>
      </c>
    </row>
    <row r="167" spans="2:7" x14ac:dyDescent="0.3">
      <c r="B167" s="60">
        <v>164</v>
      </c>
      <c r="C167" s="58">
        <v>69801</v>
      </c>
      <c r="D167" s="57">
        <v>7321</v>
      </c>
      <c r="E167" s="58">
        <v>3038</v>
      </c>
      <c r="F167" s="59">
        <v>447</v>
      </c>
      <c r="G167" s="18">
        <v>5.4814086179999997</v>
      </c>
    </row>
    <row r="168" spans="2:7" x14ac:dyDescent="0.3">
      <c r="B168" s="60">
        <v>165</v>
      </c>
      <c r="C168" s="58">
        <v>37482</v>
      </c>
      <c r="D168" s="57">
        <v>4431</v>
      </c>
      <c r="E168" s="58">
        <v>8819</v>
      </c>
      <c r="F168" s="59">
        <v>379</v>
      </c>
      <c r="G168" s="18">
        <v>5.4575706510000002</v>
      </c>
    </row>
    <row r="169" spans="2:7" x14ac:dyDescent="0.3">
      <c r="B169" s="60">
        <v>166</v>
      </c>
      <c r="C169" s="58">
        <v>48455</v>
      </c>
      <c r="D169" s="57">
        <v>5118</v>
      </c>
      <c r="E169" s="58">
        <v>7444</v>
      </c>
      <c r="F169" s="59">
        <v>419</v>
      </c>
      <c r="G169" s="18">
        <v>4.3710801530000003</v>
      </c>
    </row>
    <row r="170" spans="2:7" x14ac:dyDescent="0.3">
      <c r="B170" s="60">
        <v>167</v>
      </c>
      <c r="C170" s="58">
        <v>43218</v>
      </c>
      <c r="D170" s="57">
        <v>5382</v>
      </c>
      <c r="E170" s="58">
        <v>6916</v>
      </c>
      <c r="F170" s="59">
        <v>393</v>
      </c>
      <c r="G170" s="18">
        <v>5.2621552420000004</v>
      </c>
    </row>
    <row r="171" spans="2:7" x14ac:dyDescent="0.3">
      <c r="B171" s="60">
        <v>168</v>
      </c>
      <c r="C171" s="58">
        <v>59211</v>
      </c>
      <c r="D171" s="57">
        <v>5821</v>
      </c>
      <c r="E171" s="58">
        <v>6040</v>
      </c>
      <c r="F171" s="59">
        <v>416</v>
      </c>
      <c r="G171" s="18">
        <v>4.0596151320000002</v>
      </c>
    </row>
    <row r="172" spans="2:7" x14ac:dyDescent="0.3">
      <c r="B172" s="60">
        <v>169</v>
      </c>
      <c r="C172" s="58">
        <v>49532</v>
      </c>
      <c r="D172" s="57">
        <v>5867</v>
      </c>
      <c r="E172" s="58">
        <v>5948</v>
      </c>
      <c r="F172" s="59">
        <v>408</v>
      </c>
      <c r="G172" s="18">
        <v>5.496194698</v>
      </c>
    </row>
    <row r="173" spans="2:7" x14ac:dyDescent="0.3">
      <c r="B173" s="60">
        <v>170</v>
      </c>
      <c r="C173" s="58">
        <v>69318</v>
      </c>
      <c r="D173" s="57">
        <v>6833</v>
      </c>
      <c r="E173" s="58">
        <v>4015</v>
      </c>
      <c r="F173" s="59">
        <v>454</v>
      </c>
      <c r="G173" s="18">
        <v>4.7805727129999998</v>
      </c>
    </row>
    <row r="174" spans="2:7" x14ac:dyDescent="0.3">
      <c r="B174" s="60">
        <v>171</v>
      </c>
      <c r="C174" s="58">
        <v>53651</v>
      </c>
      <c r="D174" s="57">
        <v>5819</v>
      </c>
      <c r="E174" s="58">
        <v>6042</v>
      </c>
      <c r="F174" s="59">
        <v>419</v>
      </c>
      <c r="G174" s="18">
        <v>4.2885325290000003</v>
      </c>
    </row>
    <row r="175" spans="2:7" x14ac:dyDescent="0.3">
      <c r="B175" s="60">
        <v>172</v>
      </c>
      <c r="C175" s="58">
        <v>58594</v>
      </c>
      <c r="D175" s="57">
        <v>6458</v>
      </c>
      <c r="E175" s="58">
        <v>4765</v>
      </c>
      <c r="F175" s="59">
        <v>429</v>
      </c>
      <c r="G175" s="18">
        <v>5.0811571740000003</v>
      </c>
    </row>
    <row r="176" spans="2:7" x14ac:dyDescent="0.3">
      <c r="B176" s="60">
        <v>173</v>
      </c>
      <c r="C176" s="58">
        <v>49239</v>
      </c>
      <c r="D176" s="57">
        <v>6108</v>
      </c>
      <c r="E176" s="58">
        <v>5466</v>
      </c>
      <c r="F176" s="59">
        <v>407</v>
      </c>
      <c r="G176" s="18">
        <v>4.3302393339999998</v>
      </c>
    </row>
    <row r="177" spans="2:7" x14ac:dyDescent="0.3">
      <c r="B177" s="60">
        <v>174</v>
      </c>
      <c r="C177" s="58">
        <v>48289</v>
      </c>
      <c r="D177" s="57">
        <v>5134</v>
      </c>
      <c r="E177" s="58">
        <v>7414</v>
      </c>
      <c r="F177" s="59">
        <v>409</v>
      </c>
      <c r="G177" s="18">
        <v>4.397078767</v>
      </c>
    </row>
    <row r="178" spans="2:7" x14ac:dyDescent="0.3">
      <c r="B178" s="60">
        <v>175</v>
      </c>
      <c r="C178" s="58">
        <v>53534</v>
      </c>
      <c r="D178" s="57">
        <v>5733</v>
      </c>
      <c r="E178" s="58">
        <v>6215</v>
      </c>
      <c r="F178" s="59">
        <v>418</v>
      </c>
      <c r="G178" s="18">
        <v>4.8311914700000003</v>
      </c>
    </row>
    <row r="179" spans="2:7" x14ac:dyDescent="0.3">
      <c r="B179" s="60">
        <v>176</v>
      </c>
      <c r="C179" s="58">
        <v>58823</v>
      </c>
      <c r="D179" s="57">
        <v>5753</v>
      </c>
      <c r="E179" s="58">
        <v>6174</v>
      </c>
      <c r="F179" s="59">
        <v>433</v>
      </c>
      <c r="G179" s="18">
        <v>3.702106202</v>
      </c>
    </row>
    <row r="180" spans="2:7" x14ac:dyDescent="0.3">
      <c r="B180" s="60">
        <v>177</v>
      </c>
      <c r="C180" s="58">
        <v>53276</v>
      </c>
      <c r="D180" s="57">
        <v>4703</v>
      </c>
      <c r="E180" s="58">
        <v>8275</v>
      </c>
      <c r="F180" s="59">
        <v>411</v>
      </c>
      <c r="G180" s="18">
        <v>4.5935025469999999</v>
      </c>
    </row>
    <row r="181" spans="2:7" x14ac:dyDescent="0.3">
      <c r="B181" s="60">
        <v>178</v>
      </c>
      <c r="C181" s="58">
        <v>45590</v>
      </c>
      <c r="D181" s="57">
        <v>4394</v>
      </c>
      <c r="E181" s="58">
        <v>8893</v>
      </c>
      <c r="F181" s="59">
        <v>400</v>
      </c>
      <c r="G181" s="18">
        <v>3.5347247880000001</v>
      </c>
    </row>
    <row r="182" spans="2:7" x14ac:dyDescent="0.3">
      <c r="B182" s="60">
        <v>179</v>
      </c>
      <c r="C182" s="58">
        <v>57936</v>
      </c>
      <c r="D182" s="57">
        <v>6002</v>
      </c>
      <c r="E182" s="58">
        <v>5677</v>
      </c>
      <c r="F182" s="59">
        <v>420</v>
      </c>
      <c r="G182" s="18">
        <v>7.0433163700000003</v>
      </c>
    </row>
    <row r="183" spans="2:7" x14ac:dyDescent="0.3">
      <c r="B183" s="60">
        <v>180</v>
      </c>
      <c r="C183" s="58">
        <v>29837</v>
      </c>
      <c r="D183" s="57">
        <v>2572</v>
      </c>
      <c r="E183" s="58">
        <v>12538</v>
      </c>
      <c r="F183" s="59">
        <v>357</v>
      </c>
      <c r="G183" s="18">
        <v>8.1523532959999994</v>
      </c>
    </row>
    <row r="184" spans="2:7" x14ac:dyDescent="0.3">
      <c r="B184" s="60">
        <v>181</v>
      </c>
      <c r="C184" s="58">
        <v>61837</v>
      </c>
      <c r="D184" s="57">
        <v>7054</v>
      </c>
      <c r="E184" s="58">
        <v>3573</v>
      </c>
      <c r="F184" s="59">
        <v>428</v>
      </c>
      <c r="G184" s="18">
        <v>4.5887707769999997</v>
      </c>
    </row>
    <row r="185" spans="2:7" x14ac:dyDescent="0.3">
      <c r="B185" s="60">
        <v>182</v>
      </c>
      <c r="C185" s="58">
        <v>27931</v>
      </c>
      <c r="D185" s="57">
        <v>2723</v>
      </c>
      <c r="E185" s="58">
        <v>12234</v>
      </c>
      <c r="F185" s="59">
        <v>359</v>
      </c>
      <c r="G185" s="18">
        <v>2.9820264390000002</v>
      </c>
    </row>
    <row r="186" spans="2:7" x14ac:dyDescent="0.3">
      <c r="B186" s="60">
        <v>183</v>
      </c>
      <c r="C186" s="58">
        <v>40640</v>
      </c>
      <c r="D186" s="57">
        <v>3946</v>
      </c>
      <c r="E186" s="58">
        <v>9790</v>
      </c>
      <c r="F186" s="59">
        <v>383</v>
      </c>
      <c r="G186" s="18">
        <v>4.3857105519999999</v>
      </c>
    </row>
    <row r="187" spans="2:7" x14ac:dyDescent="0.3">
      <c r="B187" s="60">
        <v>184</v>
      </c>
      <c r="C187" s="58">
        <v>51749</v>
      </c>
      <c r="D187" s="57">
        <v>5454</v>
      </c>
      <c r="E187" s="58">
        <v>6773</v>
      </c>
      <c r="F187" s="59">
        <v>421</v>
      </c>
      <c r="G187" s="18">
        <v>6.426289701</v>
      </c>
    </row>
    <row r="188" spans="2:7" x14ac:dyDescent="0.3">
      <c r="B188" s="60">
        <v>185</v>
      </c>
      <c r="C188" s="58">
        <v>37562</v>
      </c>
      <c r="D188" s="57">
        <v>3088</v>
      </c>
      <c r="E188" s="58">
        <v>11505</v>
      </c>
      <c r="F188" s="59">
        <v>384</v>
      </c>
      <c r="G188" s="18">
        <v>4.0094982640000003</v>
      </c>
    </row>
    <row r="189" spans="2:7" x14ac:dyDescent="0.3">
      <c r="B189" s="60">
        <v>186</v>
      </c>
      <c r="C189" s="58">
        <v>46669</v>
      </c>
      <c r="D189" s="57">
        <v>4385</v>
      </c>
      <c r="E189" s="58">
        <v>8912</v>
      </c>
      <c r="F189" s="59">
        <v>408</v>
      </c>
      <c r="G189" s="18">
        <v>4.2891840840000004</v>
      </c>
    </row>
    <row r="190" spans="2:7" x14ac:dyDescent="0.3">
      <c r="B190" s="60">
        <v>187</v>
      </c>
      <c r="C190" s="58">
        <v>35721</v>
      </c>
      <c r="D190" s="57">
        <v>3774</v>
      </c>
      <c r="E190" s="58">
        <v>10132</v>
      </c>
      <c r="F190" s="59">
        <v>390</v>
      </c>
      <c r="G190" s="18">
        <v>5.8255715529999996</v>
      </c>
    </row>
    <row r="191" spans="2:7" x14ac:dyDescent="0.3">
      <c r="B191" s="60">
        <v>188</v>
      </c>
      <c r="C191" s="58">
        <v>32238</v>
      </c>
      <c r="D191" s="57">
        <v>4080</v>
      </c>
      <c r="E191" s="58">
        <v>9521</v>
      </c>
      <c r="F191" s="59">
        <v>365</v>
      </c>
      <c r="G191" s="18">
        <v>6.3480757619999997</v>
      </c>
    </row>
    <row r="192" spans="2:7" x14ac:dyDescent="0.3">
      <c r="B192" s="60">
        <v>189</v>
      </c>
      <c r="C192" s="58">
        <v>60481</v>
      </c>
      <c r="D192" s="57">
        <v>5631</v>
      </c>
      <c r="E192" s="58">
        <v>6419</v>
      </c>
      <c r="F192" s="59">
        <v>437</v>
      </c>
      <c r="G192" s="18">
        <v>4.8420455169999999</v>
      </c>
    </row>
    <row r="193" spans="2:7" x14ac:dyDescent="0.3">
      <c r="B193" s="60">
        <v>190</v>
      </c>
      <c r="C193" s="58">
        <v>52440</v>
      </c>
      <c r="D193" s="57">
        <v>5424</v>
      </c>
      <c r="E193" s="58">
        <v>6832</v>
      </c>
      <c r="F193" s="59">
        <v>414</v>
      </c>
      <c r="G193" s="18">
        <v>7.8068621719999998</v>
      </c>
    </row>
    <row r="194" spans="2:7" x14ac:dyDescent="0.3">
      <c r="B194" s="60">
        <v>191</v>
      </c>
      <c r="C194" s="58">
        <v>58642</v>
      </c>
      <c r="D194" s="57">
        <v>5342</v>
      </c>
      <c r="E194" s="58">
        <v>6997</v>
      </c>
      <c r="F194" s="59">
        <v>420</v>
      </c>
      <c r="G194" s="18">
        <v>5.1070050360000003</v>
      </c>
    </row>
    <row r="195" spans="2:7" x14ac:dyDescent="0.3">
      <c r="B195" s="60">
        <v>192</v>
      </c>
      <c r="C195" s="58">
        <v>49889</v>
      </c>
      <c r="D195" s="57">
        <v>5615</v>
      </c>
      <c r="E195" s="58">
        <v>6450</v>
      </c>
      <c r="F195" s="59">
        <v>420</v>
      </c>
      <c r="G195" s="18">
        <v>3.9469461840000002</v>
      </c>
    </row>
    <row r="196" spans="2:7" x14ac:dyDescent="0.3">
      <c r="B196" s="60">
        <v>193</v>
      </c>
      <c r="C196" s="58">
        <v>34117</v>
      </c>
      <c r="D196" s="57">
        <v>2479</v>
      </c>
      <c r="E196" s="58">
        <v>12723</v>
      </c>
      <c r="F196" s="59">
        <v>372</v>
      </c>
      <c r="G196" s="18">
        <v>4.2557737729999996</v>
      </c>
    </row>
    <row r="197" spans="2:7" x14ac:dyDescent="0.3">
      <c r="B197" s="60">
        <v>194</v>
      </c>
      <c r="C197" s="58">
        <v>62173</v>
      </c>
      <c r="D197" s="57">
        <v>6332</v>
      </c>
      <c r="E197" s="58">
        <v>5017</v>
      </c>
      <c r="F197" s="59">
        <v>437</v>
      </c>
      <c r="G197" s="18">
        <v>3.740546556</v>
      </c>
    </row>
    <row r="198" spans="2:7" x14ac:dyDescent="0.3">
      <c r="B198" s="60">
        <v>195</v>
      </c>
      <c r="C198" s="58">
        <v>71738</v>
      </c>
      <c r="D198" s="57">
        <v>6632</v>
      </c>
      <c r="E198" s="58">
        <v>4416</v>
      </c>
      <c r="F198" s="59">
        <v>434</v>
      </c>
      <c r="G198" s="18">
        <v>5.0044014020000001</v>
      </c>
    </row>
    <row r="199" spans="2:7" x14ac:dyDescent="0.3">
      <c r="B199" s="60">
        <v>196</v>
      </c>
      <c r="C199" s="58">
        <v>51782</v>
      </c>
      <c r="D199" s="57">
        <v>5021</v>
      </c>
      <c r="E199" s="58">
        <v>7639</v>
      </c>
      <c r="F199" s="59">
        <v>416</v>
      </c>
      <c r="G199" s="18">
        <v>4.6572076029999998</v>
      </c>
    </row>
    <row r="200" spans="2:7" x14ac:dyDescent="0.3">
      <c r="B200" s="60">
        <v>197</v>
      </c>
      <c r="C200" s="58">
        <v>50593</v>
      </c>
      <c r="D200" s="57">
        <v>4885</v>
      </c>
      <c r="E200" s="58">
        <v>7911</v>
      </c>
      <c r="F200" s="59">
        <v>420</v>
      </c>
      <c r="G200" s="18">
        <v>3.1201185109999998</v>
      </c>
    </row>
    <row r="201" spans="2:7" x14ac:dyDescent="0.3">
      <c r="B201" s="60">
        <v>198</v>
      </c>
      <c r="C201" s="58">
        <v>61418</v>
      </c>
      <c r="D201" s="57">
        <v>5748</v>
      </c>
      <c r="E201" s="58">
        <v>6185</v>
      </c>
      <c r="F201" s="59">
        <v>438</v>
      </c>
      <c r="G201" s="18">
        <v>5.6001113580000004</v>
      </c>
    </row>
    <row r="202" spans="2:7" x14ac:dyDescent="0.3">
      <c r="B202" s="60">
        <v>199</v>
      </c>
      <c r="C202" s="58">
        <v>62049</v>
      </c>
      <c r="D202" s="57">
        <v>7106</v>
      </c>
      <c r="E202" s="58">
        <v>3468</v>
      </c>
      <c r="F202" s="59">
        <v>435</v>
      </c>
      <c r="G202" s="18">
        <v>6.839594205</v>
      </c>
    </row>
    <row r="203" spans="2:7" x14ac:dyDescent="0.3">
      <c r="B203" s="60">
        <v>200</v>
      </c>
      <c r="C203" s="58">
        <v>43601</v>
      </c>
      <c r="D203" s="57">
        <v>4719</v>
      </c>
      <c r="E203" s="58">
        <v>8242</v>
      </c>
      <c r="F203" s="59">
        <v>393</v>
      </c>
      <c r="G203" s="18">
        <v>5.4603230360000001</v>
      </c>
    </row>
    <row r="204" spans="2:7" x14ac:dyDescent="0.3">
      <c r="B204" s="60">
        <v>201</v>
      </c>
      <c r="C204" s="58">
        <v>37275</v>
      </c>
      <c r="D204" s="57">
        <v>3911</v>
      </c>
      <c r="E204" s="58">
        <v>9860</v>
      </c>
      <c r="F204" s="59">
        <v>373</v>
      </c>
      <c r="G204" s="18">
        <v>5.9162008909999999</v>
      </c>
    </row>
    <row r="205" spans="2:7" x14ac:dyDescent="0.3">
      <c r="B205" s="60">
        <v>202</v>
      </c>
      <c r="C205" s="58">
        <v>55643</v>
      </c>
      <c r="D205" s="57">
        <v>5493</v>
      </c>
      <c r="E205" s="58">
        <v>6694</v>
      </c>
      <c r="F205" s="59">
        <v>413</v>
      </c>
      <c r="G205" s="18">
        <v>4.6271629079999999</v>
      </c>
    </row>
    <row r="206" spans="2:7" x14ac:dyDescent="0.3">
      <c r="B206" s="60">
        <v>203</v>
      </c>
      <c r="C206" s="58">
        <v>58001</v>
      </c>
      <c r="D206" s="57">
        <v>6051</v>
      </c>
      <c r="E206" s="58">
        <v>5580</v>
      </c>
      <c r="F206" s="59">
        <v>427</v>
      </c>
      <c r="G206" s="18">
        <v>5.5724451650000004</v>
      </c>
    </row>
    <row r="207" spans="2:7" x14ac:dyDescent="0.3">
      <c r="B207" s="60">
        <v>204</v>
      </c>
      <c r="C207" s="58">
        <v>57854</v>
      </c>
      <c r="D207" s="57">
        <v>5470</v>
      </c>
      <c r="E207" s="58">
        <v>6741</v>
      </c>
      <c r="F207" s="59">
        <v>421</v>
      </c>
      <c r="G207" s="18">
        <v>6.462671168</v>
      </c>
    </row>
    <row r="208" spans="2:7" x14ac:dyDescent="0.3">
      <c r="B208" s="60">
        <v>205</v>
      </c>
      <c r="C208" s="58">
        <v>66319</v>
      </c>
      <c r="D208" s="57">
        <v>6581</v>
      </c>
      <c r="E208" s="58">
        <v>4520</v>
      </c>
      <c r="F208" s="59">
        <v>438</v>
      </c>
      <c r="G208" s="18">
        <v>3.8840461319999999</v>
      </c>
    </row>
    <row r="209" spans="2:7" x14ac:dyDescent="0.3">
      <c r="B209" s="60">
        <v>206</v>
      </c>
      <c r="C209" s="58">
        <v>60589</v>
      </c>
      <c r="D209" s="57">
        <v>6183</v>
      </c>
      <c r="E209" s="58">
        <v>5315</v>
      </c>
      <c r="F209" s="59">
        <v>427</v>
      </c>
      <c r="G209" s="18">
        <v>5.8420774849999999</v>
      </c>
    </row>
    <row r="210" spans="2:7" x14ac:dyDescent="0.3">
      <c r="B210" s="60">
        <v>207</v>
      </c>
      <c r="C210" s="58">
        <v>53233</v>
      </c>
      <c r="D210" s="57">
        <v>5555</v>
      </c>
      <c r="E210" s="58">
        <v>6571</v>
      </c>
      <c r="F210" s="59">
        <v>424</v>
      </c>
      <c r="G210" s="18">
        <v>5.0519369200000002</v>
      </c>
    </row>
    <row r="211" spans="2:7" x14ac:dyDescent="0.3">
      <c r="B211" s="60">
        <v>208</v>
      </c>
      <c r="C211" s="58">
        <v>42193</v>
      </c>
      <c r="D211" s="57">
        <v>3834</v>
      </c>
      <c r="E211" s="58">
        <v>10013</v>
      </c>
      <c r="F211" s="59">
        <v>399</v>
      </c>
      <c r="G211" s="18">
        <v>4.9100260130000004</v>
      </c>
    </row>
    <row r="212" spans="2:7" x14ac:dyDescent="0.3">
      <c r="B212" s="60">
        <v>209</v>
      </c>
      <c r="C212" s="58">
        <v>47102</v>
      </c>
      <c r="D212" s="57">
        <v>4992</v>
      </c>
      <c r="E212" s="58">
        <v>7696</v>
      </c>
      <c r="F212" s="59">
        <v>403</v>
      </c>
      <c r="G212" s="18">
        <v>6.246035805</v>
      </c>
    </row>
    <row r="213" spans="2:7" x14ac:dyDescent="0.3">
      <c r="B213" s="60">
        <v>210</v>
      </c>
      <c r="C213" s="58">
        <v>53861</v>
      </c>
      <c r="D213" s="57">
        <v>5118</v>
      </c>
      <c r="E213" s="58">
        <v>7445</v>
      </c>
      <c r="F213" s="59">
        <v>420</v>
      </c>
      <c r="G213" s="18">
        <v>5.8394049299999997</v>
      </c>
    </row>
    <row r="214" spans="2:7" x14ac:dyDescent="0.3">
      <c r="B214" s="60">
        <v>211</v>
      </c>
      <c r="C214" s="58">
        <v>61242</v>
      </c>
      <c r="D214" s="57">
        <v>5981</v>
      </c>
      <c r="E214" s="58">
        <v>5719</v>
      </c>
      <c r="F214" s="59">
        <v>427</v>
      </c>
      <c r="G214" s="18">
        <v>5.172274196</v>
      </c>
    </row>
    <row r="215" spans="2:7" x14ac:dyDescent="0.3">
      <c r="B215" s="60">
        <v>212</v>
      </c>
      <c r="C215" s="58">
        <v>52062</v>
      </c>
      <c r="D215" s="57">
        <v>5437</v>
      </c>
      <c r="E215" s="58">
        <v>6807</v>
      </c>
      <c r="F215" s="59">
        <v>416</v>
      </c>
      <c r="G215" s="18">
        <v>5.7513249560000004</v>
      </c>
    </row>
    <row r="216" spans="2:7" x14ac:dyDescent="0.3">
      <c r="B216" s="60">
        <v>213</v>
      </c>
      <c r="C216" s="58">
        <v>50310</v>
      </c>
      <c r="D216" s="57">
        <v>5027</v>
      </c>
      <c r="E216" s="58">
        <v>7626</v>
      </c>
      <c r="F216" s="59">
        <v>406</v>
      </c>
      <c r="G216" s="18">
        <v>5.7251501019999997</v>
      </c>
    </row>
    <row r="217" spans="2:7" x14ac:dyDescent="0.3">
      <c r="B217" s="60">
        <v>214</v>
      </c>
      <c r="C217" s="58">
        <v>54277</v>
      </c>
      <c r="D217" s="57">
        <v>4983</v>
      </c>
      <c r="E217" s="58">
        <v>7714</v>
      </c>
      <c r="F217" s="59">
        <v>421</v>
      </c>
      <c r="G217" s="18">
        <v>4.0536372780000001</v>
      </c>
    </row>
    <row r="218" spans="2:7" x14ac:dyDescent="0.3">
      <c r="B218" s="60">
        <v>215</v>
      </c>
      <c r="C218" s="58">
        <v>51149</v>
      </c>
      <c r="D218" s="57">
        <v>5173</v>
      </c>
      <c r="E218" s="58">
        <v>7334</v>
      </c>
      <c r="F218" s="59">
        <v>421</v>
      </c>
      <c r="G218" s="18">
        <v>5.8809464790000003</v>
      </c>
    </row>
    <row r="219" spans="2:7" x14ac:dyDescent="0.3">
      <c r="B219" s="60">
        <v>216</v>
      </c>
      <c r="C219" s="58">
        <v>46471</v>
      </c>
      <c r="D219" s="57">
        <v>4668</v>
      </c>
      <c r="E219" s="58">
        <v>8345</v>
      </c>
      <c r="F219" s="59">
        <v>409</v>
      </c>
      <c r="G219" s="18">
        <v>5.901181094</v>
      </c>
    </row>
    <row r="220" spans="2:7" x14ac:dyDescent="0.3">
      <c r="B220" s="60">
        <v>217</v>
      </c>
      <c r="C220" s="58">
        <v>39932</v>
      </c>
      <c r="D220" s="57">
        <v>3961</v>
      </c>
      <c r="E220" s="58">
        <v>9759</v>
      </c>
      <c r="F220" s="59">
        <v>392</v>
      </c>
      <c r="G220" s="18">
        <v>5.1494505999999998</v>
      </c>
    </row>
    <row r="221" spans="2:7" x14ac:dyDescent="0.3">
      <c r="B221" s="60">
        <v>218</v>
      </c>
      <c r="C221" s="58">
        <v>49974</v>
      </c>
      <c r="D221" s="57">
        <v>4971</v>
      </c>
      <c r="E221" s="58">
        <v>7738</v>
      </c>
      <c r="F221" s="59">
        <v>413</v>
      </c>
      <c r="G221" s="18">
        <v>5.1294368229999998</v>
      </c>
    </row>
    <row r="222" spans="2:7" x14ac:dyDescent="0.3">
      <c r="B222" s="60">
        <v>219</v>
      </c>
      <c r="C222" s="58">
        <v>44886</v>
      </c>
      <c r="D222" s="57">
        <v>4317</v>
      </c>
      <c r="E222" s="58">
        <v>9047</v>
      </c>
      <c r="F222" s="59">
        <v>405</v>
      </c>
      <c r="G222" s="18">
        <v>5.8014164279999996</v>
      </c>
    </row>
    <row r="223" spans="2:7" x14ac:dyDescent="0.3">
      <c r="B223" s="60">
        <v>220</v>
      </c>
      <c r="C223" s="58">
        <v>54878</v>
      </c>
      <c r="D223" s="57">
        <v>4946</v>
      </c>
      <c r="E223" s="58">
        <v>7789</v>
      </c>
      <c r="F223" s="59">
        <v>423</v>
      </c>
      <c r="G223" s="18">
        <v>6.6050045700000002</v>
      </c>
    </row>
    <row r="224" spans="2:7" x14ac:dyDescent="0.3">
      <c r="B224" s="60">
        <v>221</v>
      </c>
      <c r="C224" s="58">
        <v>29441</v>
      </c>
      <c r="D224" s="57">
        <v>2833</v>
      </c>
      <c r="E224" s="58">
        <v>12014</v>
      </c>
      <c r="F224" s="59">
        <v>360</v>
      </c>
      <c r="G224" s="18">
        <v>5.8076503959999997</v>
      </c>
    </row>
    <row r="225" spans="2:7" x14ac:dyDescent="0.3">
      <c r="B225" s="60">
        <v>222</v>
      </c>
      <c r="C225" s="58">
        <v>53933</v>
      </c>
      <c r="D225" s="57">
        <v>5128</v>
      </c>
      <c r="E225" s="58">
        <v>7425</v>
      </c>
      <c r="F225" s="59">
        <v>422</v>
      </c>
      <c r="G225" s="18">
        <v>5.7515240829999996</v>
      </c>
    </row>
    <row r="226" spans="2:7" x14ac:dyDescent="0.3">
      <c r="B226" s="60">
        <v>223</v>
      </c>
      <c r="C226" s="58">
        <v>53170</v>
      </c>
      <c r="D226" s="57">
        <v>4965</v>
      </c>
      <c r="E226" s="58">
        <v>7752</v>
      </c>
      <c r="F226" s="59">
        <v>413</v>
      </c>
      <c r="G226" s="18">
        <v>3.9280120840000001</v>
      </c>
    </row>
    <row r="227" spans="2:7" x14ac:dyDescent="0.3">
      <c r="B227" s="60">
        <v>224</v>
      </c>
      <c r="C227" s="58">
        <v>65568</v>
      </c>
      <c r="D227" s="57">
        <v>6498</v>
      </c>
      <c r="E227" s="58">
        <v>4685</v>
      </c>
      <c r="F227" s="59">
        <v>439</v>
      </c>
      <c r="G227" s="18">
        <v>4.6595166619999997</v>
      </c>
    </row>
    <row r="228" spans="2:7" x14ac:dyDescent="0.3">
      <c r="B228" s="60">
        <v>225</v>
      </c>
      <c r="C228" s="58">
        <v>40067</v>
      </c>
      <c r="D228" s="57">
        <v>4301</v>
      </c>
      <c r="E228" s="58">
        <v>9079</v>
      </c>
      <c r="F228" s="59">
        <v>394</v>
      </c>
      <c r="G228" s="18">
        <v>3.064981092</v>
      </c>
    </row>
    <row r="229" spans="2:7" x14ac:dyDescent="0.3">
      <c r="B229" s="60">
        <v>226</v>
      </c>
      <c r="C229" s="58">
        <v>38891</v>
      </c>
      <c r="D229" s="57">
        <v>3170</v>
      </c>
      <c r="E229" s="58">
        <v>11341</v>
      </c>
      <c r="F229" s="59">
        <v>395</v>
      </c>
      <c r="G229" s="18">
        <v>2.8494532509999999</v>
      </c>
    </row>
    <row r="230" spans="2:7" x14ac:dyDescent="0.3">
      <c r="B230" s="60">
        <v>227</v>
      </c>
      <c r="C230" s="58">
        <v>60338</v>
      </c>
      <c r="D230" s="57">
        <v>5574</v>
      </c>
      <c r="E230" s="58">
        <v>6533</v>
      </c>
      <c r="F230" s="59">
        <v>418</v>
      </c>
      <c r="G230" s="18">
        <v>5.758714468</v>
      </c>
    </row>
    <row r="231" spans="2:7" x14ac:dyDescent="0.3">
      <c r="B231" s="60">
        <v>228</v>
      </c>
      <c r="C231" s="58">
        <v>40283</v>
      </c>
      <c r="D231" s="57">
        <v>4867</v>
      </c>
      <c r="E231" s="58">
        <v>7947</v>
      </c>
      <c r="F231" s="59">
        <v>387</v>
      </c>
      <c r="G231" s="18">
        <v>5.286321117</v>
      </c>
    </row>
    <row r="232" spans="2:7" x14ac:dyDescent="0.3">
      <c r="B232" s="60">
        <v>229</v>
      </c>
      <c r="C232" s="58">
        <v>42276</v>
      </c>
      <c r="D232" s="57">
        <v>4891</v>
      </c>
      <c r="E232" s="58">
        <v>7899</v>
      </c>
      <c r="F232" s="59">
        <v>394</v>
      </c>
      <c r="G232" s="18">
        <v>4.3577247000000003</v>
      </c>
    </row>
    <row r="233" spans="2:7" x14ac:dyDescent="0.3">
      <c r="B233" s="60">
        <v>230</v>
      </c>
      <c r="C233" s="58">
        <v>53056</v>
      </c>
      <c r="D233" s="57">
        <v>5749</v>
      </c>
      <c r="E233" s="58">
        <v>6183</v>
      </c>
      <c r="F233" s="59">
        <v>417</v>
      </c>
      <c r="G233" s="18">
        <v>4.5426406459999997</v>
      </c>
    </row>
    <row r="234" spans="2:7" x14ac:dyDescent="0.3">
      <c r="B234" s="60">
        <v>231</v>
      </c>
      <c r="C234" s="58">
        <v>51279</v>
      </c>
      <c r="D234" s="57">
        <v>5152</v>
      </c>
      <c r="E234" s="58">
        <v>7377</v>
      </c>
      <c r="F234" s="59">
        <v>418</v>
      </c>
      <c r="G234" s="18">
        <v>4.117294985</v>
      </c>
    </row>
    <row r="235" spans="2:7" x14ac:dyDescent="0.3">
      <c r="B235" s="60">
        <v>232</v>
      </c>
      <c r="C235" s="58">
        <v>31999</v>
      </c>
      <c r="D235" s="57">
        <v>2872</v>
      </c>
      <c r="E235" s="58">
        <v>11936</v>
      </c>
      <c r="F235" s="59">
        <v>367</v>
      </c>
      <c r="G235" s="18">
        <v>4.3640125899999997</v>
      </c>
    </row>
    <row r="236" spans="2:7" x14ac:dyDescent="0.3">
      <c r="B236" s="60">
        <v>233</v>
      </c>
      <c r="C236" s="58">
        <v>42562</v>
      </c>
      <c r="D236" s="57">
        <v>4157</v>
      </c>
      <c r="E236" s="58">
        <v>9366</v>
      </c>
      <c r="F236" s="59">
        <v>398</v>
      </c>
      <c r="G236" s="18">
        <v>3.765957351</v>
      </c>
    </row>
    <row r="237" spans="2:7" x14ac:dyDescent="0.3">
      <c r="B237" s="60">
        <v>234</v>
      </c>
      <c r="C237" s="58">
        <v>41477</v>
      </c>
      <c r="D237" s="57">
        <v>4521</v>
      </c>
      <c r="E237" s="58">
        <v>8639</v>
      </c>
      <c r="F237" s="59">
        <v>384</v>
      </c>
      <c r="G237" s="18">
        <v>3.0823519240000001</v>
      </c>
    </row>
    <row r="238" spans="2:7" x14ac:dyDescent="0.3">
      <c r="B238" s="60">
        <v>235</v>
      </c>
      <c r="C238" s="58">
        <v>49034</v>
      </c>
      <c r="D238" s="57">
        <v>4343</v>
      </c>
      <c r="E238" s="58">
        <v>8995</v>
      </c>
      <c r="F238" s="59">
        <v>416</v>
      </c>
      <c r="G238" s="18">
        <v>3.9541360459999999</v>
      </c>
    </row>
    <row r="239" spans="2:7" x14ac:dyDescent="0.3">
      <c r="B239" s="60">
        <v>236</v>
      </c>
      <c r="C239" s="58">
        <v>44037</v>
      </c>
      <c r="D239" s="57">
        <v>5102</v>
      </c>
      <c r="E239" s="58">
        <v>7477</v>
      </c>
      <c r="F239" s="59">
        <v>396</v>
      </c>
      <c r="G239" s="18">
        <v>4.8562951749999996</v>
      </c>
    </row>
    <row r="240" spans="2:7" x14ac:dyDescent="0.3">
      <c r="B240" s="60">
        <v>237</v>
      </c>
      <c r="C240" s="58">
        <v>55943</v>
      </c>
      <c r="D240" s="57">
        <v>5265</v>
      </c>
      <c r="E240" s="58">
        <v>7151</v>
      </c>
      <c r="F240" s="59">
        <v>425</v>
      </c>
      <c r="G240" s="18">
        <v>6.4654886109999996</v>
      </c>
    </row>
    <row r="241" spans="2:7" x14ac:dyDescent="0.3">
      <c r="B241" s="60">
        <v>238</v>
      </c>
      <c r="C241" s="58">
        <v>41976</v>
      </c>
      <c r="D241" s="57">
        <v>4264</v>
      </c>
      <c r="E241" s="58">
        <v>9153</v>
      </c>
      <c r="F241" s="59">
        <v>393</v>
      </c>
      <c r="G241" s="18">
        <v>4.9174138889999996</v>
      </c>
    </row>
    <row r="242" spans="2:7" x14ac:dyDescent="0.3">
      <c r="B242" s="60">
        <v>239</v>
      </c>
      <c r="C242" s="58">
        <v>55956</v>
      </c>
      <c r="D242" s="57">
        <v>4749</v>
      </c>
      <c r="E242" s="58">
        <v>8183</v>
      </c>
      <c r="F242" s="59">
        <v>423</v>
      </c>
      <c r="G242" s="18">
        <v>6.1696131870000004</v>
      </c>
    </row>
    <row r="243" spans="2:7" x14ac:dyDescent="0.3">
      <c r="B243" s="60">
        <v>240</v>
      </c>
      <c r="C243" s="58">
        <v>43820</v>
      </c>
      <c r="D243" s="57">
        <v>5126</v>
      </c>
      <c r="E243" s="58">
        <v>7429</v>
      </c>
      <c r="F243" s="59">
        <v>396</v>
      </c>
      <c r="G243" s="18">
        <v>4.4451728580000003</v>
      </c>
    </row>
    <row r="244" spans="2:7" x14ac:dyDescent="0.3">
      <c r="B244" s="60">
        <v>241</v>
      </c>
      <c r="C244" s="58">
        <v>39561</v>
      </c>
      <c r="D244" s="57">
        <v>3856</v>
      </c>
      <c r="E244" s="58">
        <v>9969</v>
      </c>
      <c r="F244" s="59">
        <v>389</v>
      </c>
      <c r="G244" s="18">
        <v>6.1466223519999996</v>
      </c>
    </row>
    <row r="245" spans="2:7" x14ac:dyDescent="0.3">
      <c r="B245" s="60">
        <v>242</v>
      </c>
      <c r="C245" s="58">
        <v>49301</v>
      </c>
      <c r="D245" s="57">
        <v>4914</v>
      </c>
      <c r="E245" s="58">
        <v>7853</v>
      </c>
      <c r="F245" s="59">
        <v>422</v>
      </c>
      <c r="G245" s="18">
        <v>4.6410700519999999</v>
      </c>
    </row>
    <row r="246" spans="2:7" x14ac:dyDescent="0.3">
      <c r="B246" s="60">
        <v>243</v>
      </c>
      <c r="C246" s="58">
        <v>34481</v>
      </c>
      <c r="D246" s="57">
        <v>3443</v>
      </c>
      <c r="E246" s="58">
        <v>10795</v>
      </c>
      <c r="F246" s="59">
        <v>369</v>
      </c>
      <c r="G246" s="18">
        <v>5.9514063789999998</v>
      </c>
    </row>
    <row r="247" spans="2:7" x14ac:dyDescent="0.3">
      <c r="B247" s="60">
        <v>244</v>
      </c>
      <c r="C247" s="58">
        <v>79523</v>
      </c>
      <c r="D247" s="57">
        <v>8368</v>
      </c>
      <c r="E247" s="58">
        <v>945</v>
      </c>
      <c r="F247" s="59">
        <v>454</v>
      </c>
      <c r="G247" s="18">
        <v>5.929819331</v>
      </c>
    </row>
    <row r="248" spans="2:7" x14ac:dyDescent="0.3">
      <c r="B248" s="60">
        <v>245</v>
      </c>
      <c r="C248" s="58">
        <v>60619</v>
      </c>
      <c r="D248" s="57">
        <v>6700</v>
      </c>
      <c r="E248" s="58">
        <v>4282</v>
      </c>
      <c r="F248" s="59">
        <v>435</v>
      </c>
      <c r="G248" s="18">
        <v>4.0174629529999999</v>
      </c>
    </row>
    <row r="249" spans="2:7" x14ac:dyDescent="0.3">
      <c r="B249" s="60">
        <v>246</v>
      </c>
      <c r="C249" s="58">
        <v>48614</v>
      </c>
      <c r="D249" s="57">
        <v>5161</v>
      </c>
      <c r="E249" s="58">
        <v>7360</v>
      </c>
      <c r="F249" s="59">
        <v>408</v>
      </c>
      <c r="G249" s="18">
        <v>5.1852363309999996</v>
      </c>
    </row>
    <row r="250" spans="2:7" x14ac:dyDescent="0.3">
      <c r="B250" s="60">
        <v>247</v>
      </c>
      <c r="C250" s="58">
        <v>46275</v>
      </c>
      <c r="D250" s="57">
        <v>4769</v>
      </c>
      <c r="E250" s="58">
        <v>8142</v>
      </c>
      <c r="F250" s="59">
        <v>405</v>
      </c>
      <c r="G250" s="18">
        <v>5.1065108610000003</v>
      </c>
    </row>
    <row r="251" spans="2:7" x14ac:dyDescent="0.3">
      <c r="B251" s="60">
        <v>248</v>
      </c>
      <c r="C251" s="58">
        <v>52410</v>
      </c>
      <c r="D251" s="57">
        <v>4705</v>
      </c>
      <c r="E251" s="58">
        <v>8272</v>
      </c>
      <c r="F251" s="59">
        <v>421</v>
      </c>
      <c r="G251" s="18">
        <v>3.7339734099999999</v>
      </c>
    </row>
    <row r="252" spans="2:7" x14ac:dyDescent="0.3">
      <c r="B252" s="60">
        <v>249</v>
      </c>
      <c r="C252" s="58">
        <v>68753</v>
      </c>
      <c r="D252" s="57">
        <v>7273</v>
      </c>
      <c r="E252" s="58">
        <v>3135</v>
      </c>
      <c r="F252" s="59">
        <v>450</v>
      </c>
      <c r="G252" s="18">
        <v>3.7201759230000002</v>
      </c>
    </row>
    <row r="253" spans="2:7" x14ac:dyDescent="0.3">
      <c r="B253" s="60">
        <v>250</v>
      </c>
      <c r="C253" s="58">
        <v>61053</v>
      </c>
      <c r="D253" s="57">
        <v>6075</v>
      </c>
      <c r="E253" s="58">
        <v>5532</v>
      </c>
      <c r="F253" s="59">
        <v>433</v>
      </c>
      <c r="G253" s="18">
        <v>3.4948761579999998</v>
      </c>
    </row>
    <row r="254" spans="2:7" x14ac:dyDescent="0.3">
      <c r="B254" s="60">
        <v>251</v>
      </c>
      <c r="C254" s="58">
        <v>38342</v>
      </c>
      <c r="D254" s="57">
        <v>3045</v>
      </c>
      <c r="E254" s="58">
        <v>11590</v>
      </c>
      <c r="F254" s="59">
        <v>395</v>
      </c>
      <c r="G254" s="18">
        <v>4.8966755969999998</v>
      </c>
    </row>
    <row r="255" spans="2:7" x14ac:dyDescent="0.3">
      <c r="B255" s="60">
        <v>252</v>
      </c>
      <c r="C255" s="58">
        <v>45164</v>
      </c>
      <c r="D255" s="57">
        <v>4003</v>
      </c>
      <c r="E255" s="58">
        <v>9676</v>
      </c>
      <c r="F255" s="59">
        <v>401</v>
      </c>
      <c r="G255" s="18">
        <v>5.0950030269999997</v>
      </c>
    </row>
    <row r="256" spans="2:7" x14ac:dyDescent="0.3">
      <c r="B256" s="60">
        <v>253</v>
      </c>
      <c r="C256" s="58">
        <v>57892</v>
      </c>
      <c r="D256" s="57">
        <v>6098</v>
      </c>
      <c r="E256" s="58">
        <v>5484</v>
      </c>
      <c r="F256" s="59">
        <v>427</v>
      </c>
      <c r="G256" s="18">
        <v>3.414818978</v>
      </c>
    </row>
    <row r="257" spans="2:7" x14ac:dyDescent="0.3">
      <c r="B257" s="60">
        <v>254</v>
      </c>
      <c r="C257" s="58">
        <v>56376</v>
      </c>
      <c r="D257" s="57">
        <v>5239</v>
      </c>
      <c r="E257" s="58">
        <v>7204</v>
      </c>
      <c r="F257" s="59">
        <v>420</v>
      </c>
      <c r="G257" s="18">
        <v>6.2552368879999998</v>
      </c>
    </row>
    <row r="258" spans="2:7" x14ac:dyDescent="0.3">
      <c r="B258" s="60">
        <v>255</v>
      </c>
      <c r="C258" s="58">
        <v>51778</v>
      </c>
      <c r="D258" s="57">
        <v>6035</v>
      </c>
      <c r="E258" s="58">
        <v>5611</v>
      </c>
      <c r="F258" s="59">
        <v>413</v>
      </c>
      <c r="G258" s="18">
        <v>5.8998872569999996</v>
      </c>
    </row>
    <row r="259" spans="2:7" x14ac:dyDescent="0.3">
      <c r="B259" s="60">
        <v>256</v>
      </c>
      <c r="C259" s="58">
        <v>47570</v>
      </c>
      <c r="D259" s="57">
        <v>5230</v>
      </c>
      <c r="E259" s="58">
        <v>7222</v>
      </c>
      <c r="F259" s="59">
        <v>412</v>
      </c>
      <c r="G259" s="18">
        <v>5.8873272979999998</v>
      </c>
    </row>
    <row r="260" spans="2:7" x14ac:dyDescent="0.3">
      <c r="B260" s="60">
        <v>257</v>
      </c>
      <c r="C260" s="58">
        <v>43000</v>
      </c>
      <c r="D260" s="57">
        <v>5038</v>
      </c>
      <c r="E260" s="58">
        <v>7605</v>
      </c>
      <c r="F260" s="59">
        <v>392</v>
      </c>
      <c r="G260" s="18">
        <v>7.6441731280000003</v>
      </c>
    </row>
    <row r="261" spans="2:7" x14ac:dyDescent="0.3">
      <c r="B261" s="60">
        <v>258</v>
      </c>
      <c r="C261" s="58">
        <v>42997</v>
      </c>
      <c r="D261" s="57">
        <v>4187</v>
      </c>
      <c r="E261" s="58">
        <v>9306</v>
      </c>
      <c r="F261" s="59">
        <v>404</v>
      </c>
      <c r="G261" s="18">
        <v>3.756758466</v>
      </c>
    </row>
    <row r="262" spans="2:7" x14ac:dyDescent="0.3">
      <c r="B262" s="60">
        <v>259</v>
      </c>
      <c r="C262" s="58">
        <v>78838</v>
      </c>
      <c r="D262" s="57">
        <v>8714</v>
      </c>
      <c r="E262" s="58">
        <v>252</v>
      </c>
      <c r="F262" s="59">
        <v>456</v>
      </c>
      <c r="G262" s="18">
        <v>3.6581816749999998</v>
      </c>
    </row>
    <row r="263" spans="2:7" x14ac:dyDescent="0.3">
      <c r="B263" s="60">
        <v>260</v>
      </c>
      <c r="C263" s="58">
        <v>41494</v>
      </c>
      <c r="D263" s="57">
        <v>3706</v>
      </c>
      <c r="E263" s="58">
        <v>10270</v>
      </c>
      <c r="F263" s="59">
        <v>393</v>
      </c>
      <c r="G263" s="18">
        <v>5.6514448030000004</v>
      </c>
    </row>
    <row r="264" spans="2:7" x14ac:dyDescent="0.3">
      <c r="B264" s="60">
        <v>261</v>
      </c>
      <c r="C264" s="58">
        <v>55860</v>
      </c>
      <c r="D264" s="57">
        <v>6274</v>
      </c>
      <c r="E264" s="58">
        <v>5133</v>
      </c>
      <c r="F264" s="59">
        <v>425</v>
      </c>
      <c r="G264" s="18">
        <v>3.2763261880000001</v>
      </c>
    </row>
    <row r="265" spans="2:7" x14ac:dyDescent="0.3">
      <c r="B265" s="60">
        <v>262</v>
      </c>
      <c r="C265" s="58">
        <v>52210</v>
      </c>
      <c r="D265" s="57">
        <v>4470</v>
      </c>
      <c r="E265" s="58">
        <v>8741</v>
      </c>
      <c r="F265" s="59">
        <v>410</v>
      </c>
      <c r="G265" s="18">
        <v>5.1881022489999999</v>
      </c>
    </row>
    <row r="266" spans="2:7" x14ac:dyDescent="0.3">
      <c r="B266" s="60">
        <v>263</v>
      </c>
      <c r="C266" s="58">
        <v>59097</v>
      </c>
      <c r="D266" s="57">
        <v>5955</v>
      </c>
      <c r="E266" s="58">
        <v>5770</v>
      </c>
      <c r="F266" s="59">
        <v>424</v>
      </c>
      <c r="G266" s="18">
        <v>4.8128333430000003</v>
      </c>
    </row>
    <row r="267" spans="2:7" x14ac:dyDescent="0.3">
      <c r="B267" s="60">
        <v>264</v>
      </c>
      <c r="C267" s="58">
        <v>57334</v>
      </c>
      <c r="D267" s="57">
        <v>5368</v>
      </c>
      <c r="E267" s="58">
        <v>6944</v>
      </c>
      <c r="F267" s="59">
        <v>427</v>
      </c>
      <c r="G267" s="18">
        <v>6.1414900069999998</v>
      </c>
    </row>
    <row r="268" spans="2:7" x14ac:dyDescent="0.3">
      <c r="B268" s="60">
        <v>265</v>
      </c>
      <c r="C268" s="58">
        <v>61061</v>
      </c>
      <c r="D268" s="57">
        <v>6304</v>
      </c>
      <c r="E268" s="58">
        <v>5072</v>
      </c>
      <c r="F268" s="59">
        <v>431</v>
      </c>
      <c r="G268" s="18">
        <v>7.0094728120000003</v>
      </c>
    </row>
    <row r="269" spans="2:7" x14ac:dyDescent="0.3">
      <c r="B269" s="60">
        <v>266</v>
      </c>
      <c r="C269" s="58">
        <v>29190</v>
      </c>
      <c r="D269" s="57">
        <v>2825</v>
      </c>
      <c r="E269" s="58">
        <v>12031</v>
      </c>
      <c r="F269" s="59">
        <v>355</v>
      </c>
      <c r="G269" s="18">
        <v>3.518240992</v>
      </c>
    </row>
    <row r="270" spans="2:7" x14ac:dyDescent="0.3">
      <c r="B270" s="60">
        <v>267</v>
      </c>
      <c r="C270" s="58">
        <v>42344</v>
      </c>
      <c r="D270" s="57">
        <v>3612</v>
      </c>
      <c r="E270" s="58">
        <v>10457</v>
      </c>
      <c r="F270" s="59">
        <v>399</v>
      </c>
      <c r="G270" s="18">
        <v>4.882885312</v>
      </c>
    </row>
    <row r="271" spans="2:7" x14ac:dyDescent="0.3">
      <c r="B271" s="60">
        <v>268</v>
      </c>
      <c r="C271" s="58">
        <v>61822</v>
      </c>
      <c r="D271" s="57">
        <v>6720</v>
      </c>
      <c r="E271" s="58">
        <v>4241</v>
      </c>
      <c r="F271" s="59">
        <v>437</v>
      </c>
      <c r="G271" s="18">
        <v>4.5047159710000004</v>
      </c>
    </row>
    <row r="272" spans="2:7" x14ac:dyDescent="0.3">
      <c r="B272" s="60">
        <v>269</v>
      </c>
      <c r="C272" s="58">
        <v>49549</v>
      </c>
      <c r="D272" s="57">
        <v>4966</v>
      </c>
      <c r="E272" s="58">
        <v>7749</v>
      </c>
      <c r="F272" s="59">
        <v>412</v>
      </c>
      <c r="G272" s="18">
        <v>5.0037061190000003</v>
      </c>
    </row>
    <row r="273" spans="2:7" x14ac:dyDescent="0.3">
      <c r="B273" s="60">
        <v>270</v>
      </c>
      <c r="C273" s="58">
        <v>38960</v>
      </c>
      <c r="D273" s="57">
        <v>3433</v>
      </c>
      <c r="E273" s="58">
        <v>10816</v>
      </c>
      <c r="F273" s="59">
        <v>394</v>
      </c>
      <c r="G273" s="18">
        <v>4.538063996</v>
      </c>
    </row>
    <row r="274" spans="2:7" x14ac:dyDescent="0.3">
      <c r="B274" s="60">
        <v>271</v>
      </c>
      <c r="C274" s="58">
        <v>49957</v>
      </c>
      <c r="D274" s="57">
        <v>5638</v>
      </c>
      <c r="E274" s="58">
        <v>6406</v>
      </c>
      <c r="F274" s="59">
        <v>413</v>
      </c>
      <c r="G274" s="18">
        <v>5.5544350180000004</v>
      </c>
    </row>
    <row r="275" spans="2:7" x14ac:dyDescent="0.3">
      <c r="B275" s="60">
        <v>272</v>
      </c>
      <c r="C275" s="58">
        <v>46069</v>
      </c>
      <c r="D275" s="57">
        <v>5087</v>
      </c>
      <c r="E275" s="58">
        <v>7506</v>
      </c>
      <c r="F275" s="59">
        <v>394</v>
      </c>
      <c r="G275" s="18">
        <v>2.5538706229999999</v>
      </c>
    </row>
    <row r="276" spans="2:7" x14ac:dyDescent="0.3">
      <c r="B276" s="60">
        <v>273</v>
      </c>
      <c r="C276" s="58">
        <v>49990</v>
      </c>
      <c r="D276" s="57">
        <v>6132</v>
      </c>
      <c r="E276" s="58">
        <v>5417</v>
      </c>
      <c r="F276" s="59">
        <v>413</v>
      </c>
      <c r="G276" s="18">
        <v>6.5683838200000002</v>
      </c>
    </row>
    <row r="277" spans="2:7" x14ac:dyDescent="0.3">
      <c r="B277" s="60">
        <v>274</v>
      </c>
      <c r="C277" s="58">
        <v>44364</v>
      </c>
      <c r="D277" s="57">
        <v>4200</v>
      </c>
      <c r="E277" s="58">
        <v>9280</v>
      </c>
      <c r="F277" s="59">
        <v>397</v>
      </c>
      <c r="G277" s="18">
        <v>3.364206163</v>
      </c>
    </row>
    <row r="278" spans="2:7" x14ac:dyDescent="0.3">
      <c r="B278" s="60">
        <v>275</v>
      </c>
      <c r="C278" s="58">
        <v>58982</v>
      </c>
      <c r="D278" s="57">
        <v>6669</v>
      </c>
      <c r="E278" s="58">
        <v>4343</v>
      </c>
      <c r="F278" s="59">
        <v>434</v>
      </c>
      <c r="G278" s="18">
        <v>4.5228625259999999</v>
      </c>
    </row>
    <row r="279" spans="2:7" x14ac:dyDescent="0.3">
      <c r="B279" s="60">
        <v>276</v>
      </c>
      <c r="C279" s="58">
        <v>68632</v>
      </c>
      <c r="D279" s="57">
        <v>7498</v>
      </c>
      <c r="E279" s="58">
        <v>2685</v>
      </c>
      <c r="F279" s="59">
        <v>444</v>
      </c>
      <c r="G279" s="18">
        <v>5.4727372110000001</v>
      </c>
    </row>
    <row r="280" spans="2:7" x14ac:dyDescent="0.3">
      <c r="B280" s="60">
        <v>277</v>
      </c>
      <c r="C280" s="58">
        <v>47512</v>
      </c>
      <c r="D280" s="57">
        <v>5086</v>
      </c>
      <c r="E280" s="58">
        <v>7509</v>
      </c>
      <c r="F280" s="59">
        <v>413</v>
      </c>
      <c r="G280" s="18">
        <v>3.9977559870000001</v>
      </c>
    </row>
    <row r="281" spans="2:7" x14ac:dyDescent="0.3">
      <c r="B281" s="60">
        <v>278</v>
      </c>
      <c r="C281" s="58">
        <v>53881</v>
      </c>
      <c r="D281" s="57">
        <v>5527</v>
      </c>
      <c r="E281" s="58">
        <v>6628</v>
      </c>
      <c r="F281" s="59">
        <v>410</v>
      </c>
      <c r="G281" s="18">
        <v>6.9788692660000002</v>
      </c>
    </row>
    <row r="282" spans="2:7" x14ac:dyDescent="0.3">
      <c r="B282" s="60">
        <v>279</v>
      </c>
      <c r="C282" s="58">
        <v>38542</v>
      </c>
      <c r="D282" s="57">
        <v>4571</v>
      </c>
      <c r="E282" s="58">
        <v>8539</v>
      </c>
      <c r="F282" s="59">
        <v>390</v>
      </c>
      <c r="G282" s="18">
        <v>5.138786863</v>
      </c>
    </row>
    <row r="283" spans="2:7" x14ac:dyDescent="0.3">
      <c r="B283" s="60">
        <v>280</v>
      </c>
      <c r="C283" s="58">
        <v>39402</v>
      </c>
      <c r="D283" s="57">
        <v>3435</v>
      </c>
      <c r="E283" s="58">
        <v>10811</v>
      </c>
      <c r="F283" s="59">
        <v>395</v>
      </c>
      <c r="G283" s="18">
        <v>5.9778321249999999</v>
      </c>
    </row>
    <row r="284" spans="2:7" x14ac:dyDescent="0.3">
      <c r="B284" s="60">
        <v>281</v>
      </c>
      <c r="C284" s="58">
        <v>38559</v>
      </c>
      <c r="D284" s="57">
        <v>3578</v>
      </c>
      <c r="E284" s="58">
        <v>10525</v>
      </c>
      <c r="F284" s="59">
        <v>383</v>
      </c>
      <c r="G284" s="18">
        <v>4.5303264670000001</v>
      </c>
    </row>
    <row r="285" spans="2:7" x14ac:dyDescent="0.3">
      <c r="B285" s="60">
        <v>282</v>
      </c>
      <c r="C285" s="58">
        <v>65893</v>
      </c>
      <c r="D285" s="57">
        <v>6545</v>
      </c>
      <c r="E285" s="58">
        <v>4590</v>
      </c>
      <c r="F285" s="59">
        <v>433</v>
      </c>
      <c r="G285" s="18">
        <v>5.894302605</v>
      </c>
    </row>
    <row r="286" spans="2:7" x14ac:dyDescent="0.3">
      <c r="B286" s="60">
        <v>283</v>
      </c>
      <c r="C286" s="58">
        <v>52273</v>
      </c>
      <c r="D286" s="57">
        <v>5678</v>
      </c>
      <c r="E286" s="58">
        <v>6325</v>
      </c>
      <c r="F286" s="59">
        <v>403</v>
      </c>
      <c r="G286" s="18">
        <v>5.694066071</v>
      </c>
    </row>
    <row r="287" spans="2:7" x14ac:dyDescent="0.3">
      <c r="B287" s="60">
        <v>284</v>
      </c>
      <c r="C287" s="58">
        <v>69289</v>
      </c>
      <c r="D287" s="57">
        <v>8025</v>
      </c>
      <c r="E287" s="58">
        <v>1630</v>
      </c>
      <c r="F287" s="59">
        <v>444</v>
      </c>
      <c r="G287" s="18">
        <v>5.8478345129999996</v>
      </c>
    </row>
    <row r="288" spans="2:7" x14ac:dyDescent="0.3">
      <c r="B288" s="60">
        <v>285</v>
      </c>
      <c r="C288" s="58">
        <v>63516</v>
      </c>
      <c r="D288" s="57">
        <v>6292</v>
      </c>
      <c r="E288" s="58">
        <v>5098</v>
      </c>
      <c r="F288" s="59">
        <v>434</v>
      </c>
      <c r="G288" s="18">
        <v>3.7518304200000001</v>
      </c>
    </row>
    <row r="289" spans="2:7" x14ac:dyDescent="0.3">
      <c r="B289" s="60">
        <v>286</v>
      </c>
      <c r="C289" s="58">
        <v>40683</v>
      </c>
      <c r="D289" s="57">
        <v>4249</v>
      </c>
      <c r="E289" s="58">
        <v>9183</v>
      </c>
      <c r="F289" s="59">
        <v>395</v>
      </c>
      <c r="G289" s="18">
        <v>3.0347553170000001</v>
      </c>
    </row>
    <row r="290" spans="2:7" x14ac:dyDescent="0.3">
      <c r="B290" s="60">
        <v>287</v>
      </c>
      <c r="C290" s="58">
        <v>45970</v>
      </c>
      <c r="D290" s="57">
        <v>3703</v>
      </c>
      <c r="E290" s="58">
        <v>10276</v>
      </c>
      <c r="F290" s="59">
        <v>395</v>
      </c>
      <c r="G290" s="18">
        <v>3.5232419369999999</v>
      </c>
    </row>
    <row r="291" spans="2:7" x14ac:dyDescent="0.3">
      <c r="B291" s="60">
        <v>288</v>
      </c>
      <c r="C291" s="58">
        <v>62591</v>
      </c>
      <c r="D291" s="57">
        <v>6823</v>
      </c>
      <c r="E291" s="58">
        <v>4034</v>
      </c>
      <c r="F291" s="59">
        <v>427</v>
      </c>
      <c r="G291" s="18">
        <v>6.6552435140000004</v>
      </c>
    </row>
    <row r="292" spans="2:7" x14ac:dyDescent="0.3">
      <c r="B292" s="60">
        <v>289</v>
      </c>
      <c r="C292" s="58">
        <v>50277</v>
      </c>
      <c r="D292" s="57">
        <v>4991</v>
      </c>
      <c r="E292" s="58">
        <v>7699</v>
      </c>
      <c r="F292" s="59">
        <v>411</v>
      </c>
      <c r="G292" s="18">
        <v>4.8123628790000001</v>
      </c>
    </row>
    <row r="293" spans="2:7" x14ac:dyDescent="0.3">
      <c r="B293" s="60">
        <v>290</v>
      </c>
      <c r="C293" s="58">
        <v>39750</v>
      </c>
      <c r="D293" s="57">
        <v>3636</v>
      </c>
      <c r="E293" s="58">
        <v>10409</v>
      </c>
      <c r="F293" s="59">
        <v>387</v>
      </c>
      <c r="G293" s="18">
        <v>5.1092370919999999</v>
      </c>
    </row>
    <row r="294" spans="2:7" x14ac:dyDescent="0.3">
      <c r="B294" s="60">
        <v>291</v>
      </c>
      <c r="C294" s="58">
        <v>67664</v>
      </c>
      <c r="D294" s="57">
        <v>6882</v>
      </c>
      <c r="E294" s="58">
        <v>3917</v>
      </c>
      <c r="F294" s="59">
        <v>443</v>
      </c>
      <c r="G294" s="18">
        <v>2.9054877389999998</v>
      </c>
    </row>
    <row r="295" spans="2:7" x14ac:dyDescent="0.3">
      <c r="B295" s="60">
        <v>292</v>
      </c>
      <c r="C295" s="58">
        <v>58491</v>
      </c>
      <c r="D295" s="57">
        <v>6010</v>
      </c>
      <c r="E295" s="58">
        <v>5662</v>
      </c>
      <c r="F295" s="59">
        <v>439</v>
      </c>
      <c r="G295" s="18">
        <v>6.2598546429999997</v>
      </c>
    </row>
    <row r="296" spans="2:7" x14ac:dyDescent="0.3">
      <c r="B296" s="60">
        <v>293</v>
      </c>
      <c r="C296" s="58">
        <v>39088</v>
      </c>
      <c r="D296" s="57">
        <v>3640</v>
      </c>
      <c r="E296" s="58">
        <v>10402</v>
      </c>
      <c r="F296" s="59">
        <v>386</v>
      </c>
      <c r="G296" s="18">
        <v>4.3938952100000002</v>
      </c>
    </row>
    <row r="297" spans="2:7" x14ac:dyDescent="0.3">
      <c r="B297" s="60">
        <v>294</v>
      </c>
      <c r="C297" s="58">
        <v>55713</v>
      </c>
      <c r="D297" s="57">
        <v>5180</v>
      </c>
      <c r="E297" s="58">
        <v>7321</v>
      </c>
      <c r="F297" s="59">
        <v>420</v>
      </c>
      <c r="G297" s="18">
        <v>6.7588194120000002</v>
      </c>
    </row>
    <row r="298" spans="2:7" x14ac:dyDescent="0.3">
      <c r="B298" s="60">
        <v>295</v>
      </c>
      <c r="C298" s="58">
        <v>67838</v>
      </c>
      <c r="D298" s="57">
        <v>7000</v>
      </c>
      <c r="E298" s="58">
        <v>3682</v>
      </c>
      <c r="F298" s="59">
        <v>446</v>
      </c>
      <c r="G298" s="18">
        <v>4.6738892849999996</v>
      </c>
    </row>
    <row r="299" spans="2:7" x14ac:dyDescent="0.3">
      <c r="B299" s="60">
        <v>296</v>
      </c>
      <c r="C299" s="58">
        <v>55317</v>
      </c>
      <c r="D299" s="57">
        <v>6086</v>
      </c>
      <c r="E299" s="58">
        <v>5509</v>
      </c>
      <c r="F299" s="59">
        <v>420</v>
      </c>
      <c r="G299" s="18">
        <v>5.6078171450000003</v>
      </c>
    </row>
    <row r="300" spans="2:7" x14ac:dyDescent="0.3">
      <c r="B300" s="60">
        <v>297</v>
      </c>
      <c r="C300" s="58">
        <v>42585</v>
      </c>
      <c r="D300" s="57">
        <v>3708</v>
      </c>
      <c r="E300" s="58">
        <v>10266</v>
      </c>
      <c r="F300" s="59">
        <v>396</v>
      </c>
      <c r="G300" s="18">
        <v>2.9676057340000002</v>
      </c>
    </row>
    <row r="301" spans="2:7" x14ac:dyDescent="0.3">
      <c r="B301" s="60">
        <v>298</v>
      </c>
      <c r="C301" s="58">
        <v>52813</v>
      </c>
      <c r="D301" s="57">
        <v>5168</v>
      </c>
      <c r="E301" s="58">
        <v>7345</v>
      </c>
      <c r="F301" s="59">
        <v>408</v>
      </c>
      <c r="G301" s="18">
        <v>5.2316401810000004</v>
      </c>
    </row>
    <row r="302" spans="2:7" x14ac:dyDescent="0.3">
      <c r="B302" s="60">
        <v>299</v>
      </c>
      <c r="C302" s="58">
        <v>51175</v>
      </c>
      <c r="D302" s="57">
        <v>4945</v>
      </c>
      <c r="E302" s="58">
        <v>7791</v>
      </c>
      <c r="F302" s="59">
        <v>417</v>
      </c>
      <c r="G302" s="18">
        <v>5.0715564850000003</v>
      </c>
    </row>
    <row r="303" spans="2:7" x14ac:dyDescent="0.3">
      <c r="B303" s="60">
        <v>300</v>
      </c>
      <c r="C303" s="58">
        <v>40750</v>
      </c>
      <c r="D303" s="57">
        <v>4030</v>
      </c>
      <c r="E303" s="58">
        <v>9620</v>
      </c>
      <c r="F303" s="59">
        <v>388</v>
      </c>
      <c r="G303" s="18">
        <v>5.6263521900000004</v>
      </c>
    </row>
    <row r="304" spans="2:7" x14ac:dyDescent="0.3">
      <c r="B304" s="60">
        <v>301</v>
      </c>
      <c r="C304" s="58">
        <v>50436</v>
      </c>
      <c r="D304" s="57">
        <v>4887</v>
      </c>
      <c r="E304" s="58">
        <v>7907</v>
      </c>
      <c r="F304" s="59">
        <v>405</v>
      </c>
      <c r="G304" s="18">
        <v>4.8420161979999996</v>
      </c>
    </row>
    <row r="305" spans="2:7" x14ac:dyDescent="0.3">
      <c r="B305" s="60">
        <v>302</v>
      </c>
      <c r="C305" s="58">
        <v>45503</v>
      </c>
      <c r="D305" s="57">
        <v>4775</v>
      </c>
      <c r="E305" s="58">
        <v>8132</v>
      </c>
      <c r="F305" s="59">
        <v>403</v>
      </c>
      <c r="G305" s="18">
        <v>5.3807844950000003</v>
      </c>
    </row>
    <row r="306" spans="2:7" x14ac:dyDescent="0.3">
      <c r="B306" s="60">
        <v>303</v>
      </c>
      <c r="C306" s="58">
        <v>43415</v>
      </c>
      <c r="D306" s="57">
        <v>3201</v>
      </c>
      <c r="E306" s="58">
        <v>11279</v>
      </c>
      <c r="F306" s="59">
        <v>387</v>
      </c>
      <c r="G306" s="18">
        <v>5.3985720580000001</v>
      </c>
    </row>
    <row r="307" spans="2:7" x14ac:dyDescent="0.3">
      <c r="B307" s="60">
        <v>304</v>
      </c>
      <c r="C307" s="58">
        <v>49683</v>
      </c>
      <c r="D307" s="57">
        <v>4359</v>
      </c>
      <c r="E307" s="58">
        <v>8962</v>
      </c>
      <c r="F307" s="59">
        <v>406</v>
      </c>
      <c r="G307" s="18">
        <v>4.655951054</v>
      </c>
    </row>
    <row r="308" spans="2:7" x14ac:dyDescent="0.3">
      <c r="B308" s="60">
        <v>305</v>
      </c>
      <c r="C308" s="58">
        <v>60355</v>
      </c>
      <c r="D308" s="57">
        <v>5522</v>
      </c>
      <c r="E308" s="58">
        <v>6638</v>
      </c>
      <c r="F308" s="59">
        <v>424</v>
      </c>
      <c r="G308" s="18">
        <v>4.5685624039999997</v>
      </c>
    </row>
    <row r="309" spans="2:7" x14ac:dyDescent="0.3">
      <c r="B309" s="60">
        <v>306</v>
      </c>
      <c r="C309" s="58">
        <v>52395</v>
      </c>
      <c r="D309" s="57">
        <v>5291</v>
      </c>
      <c r="E309" s="58">
        <v>7098</v>
      </c>
      <c r="F309" s="59">
        <v>402</v>
      </c>
      <c r="G309" s="18">
        <v>6.192797272</v>
      </c>
    </row>
    <row r="310" spans="2:7" x14ac:dyDescent="0.3">
      <c r="B310" s="60">
        <v>307</v>
      </c>
      <c r="C310" s="58">
        <v>58367</v>
      </c>
      <c r="D310" s="57">
        <v>5924</v>
      </c>
      <c r="E310" s="58">
        <v>5833</v>
      </c>
      <c r="F310" s="59">
        <v>434</v>
      </c>
      <c r="G310" s="18">
        <v>5.4195701679999999</v>
      </c>
    </row>
    <row r="311" spans="2:7" x14ac:dyDescent="0.3">
      <c r="B311" s="60">
        <v>308</v>
      </c>
      <c r="C311" s="58">
        <v>41870</v>
      </c>
      <c r="D311" s="57">
        <v>4033</v>
      </c>
      <c r="E311" s="58">
        <v>9614</v>
      </c>
      <c r="F311" s="59">
        <v>401</v>
      </c>
      <c r="G311" s="18">
        <v>5.8478566799999996</v>
      </c>
    </row>
    <row r="312" spans="2:7" x14ac:dyDescent="0.3">
      <c r="B312" s="60">
        <v>309</v>
      </c>
      <c r="C312" s="58">
        <v>60241</v>
      </c>
      <c r="D312" s="57">
        <v>6129</v>
      </c>
      <c r="E312" s="58">
        <v>5424</v>
      </c>
      <c r="F312" s="59">
        <v>422</v>
      </c>
      <c r="G312" s="18">
        <v>6.3612285770000003</v>
      </c>
    </row>
    <row r="313" spans="2:7" x14ac:dyDescent="0.3">
      <c r="B313" s="60">
        <v>310</v>
      </c>
      <c r="C313" s="58">
        <v>63664</v>
      </c>
      <c r="D313" s="57">
        <v>6069</v>
      </c>
      <c r="E313" s="58">
        <v>5544</v>
      </c>
      <c r="F313" s="59">
        <v>440</v>
      </c>
      <c r="G313" s="18">
        <v>4.757352268</v>
      </c>
    </row>
    <row r="314" spans="2:7" x14ac:dyDescent="0.3">
      <c r="B314" s="60">
        <v>311</v>
      </c>
      <c r="C314" s="58">
        <v>44689</v>
      </c>
      <c r="D314" s="57">
        <v>4710</v>
      </c>
      <c r="E314" s="58">
        <v>8260</v>
      </c>
      <c r="F314" s="59">
        <v>397</v>
      </c>
      <c r="G314" s="18">
        <v>4.3395305950000003</v>
      </c>
    </row>
    <row r="315" spans="2:7" x14ac:dyDescent="0.3">
      <c r="B315" s="60">
        <v>312</v>
      </c>
      <c r="C315" s="58">
        <v>56863</v>
      </c>
      <c r="D315" s="57">
        <v>6576</v>
      </c>
      <c r="E315" s="58">
        <v>4529</v>
      </c>
      <c r="F315" s="59">
        <v>431</v>
      </c>
      <c r="G315" s="18">
        <v>4.0822734089999999</v>
      </c>
    </row>
    <row r="316" spans="2:7" x14ac:dyDescent="0.3">
      <c r="B316" s="60">
        <v>313</v>
      </c>
      <c r="C316" s="58">
        <v>52443</v>
      </c>
      <c r="D316" s="57">
        <v>5970</v>
      </c>
      <c r="E316" s="58">
        <v>5740</v>
      </c>
      <c r="F316" s="59">
        <v>416</v>
      </c>
      <c r="G316" s="18">
        <v>4.6287026850000004</v>
      </c>
    </row>
    <row r="317" spans="2:7" x14ac:dyDescent="0.3">
      <c r="B317" s="60">
        <v>314</v>
      </c>
      <c r="C317" s="58">
        <v>61010</v>
      </c>
      <c r="D317" s="57">
        <v>6080</v>
      </c>
      <c r="E317" s="58">
        <v>5521</v>
      </c>
      <c r="F317" s="59">
        <v>433</v>
      </c>
      <c r="G317" s="18">
        <v>4.4296416460000003</v>
      </c>
    </row>
    <row r="318" spans="2:7" x14ac:dyDescent="0.3">
      <c r="B318" s="60">
        <v>315</v>
      </c>
      <c r="C318" s="58">
        <v>43187</v>
      </c>
      <c r="D318" s="57">
        <v>4604</v>
      </c>
      <c r="E318" s="58">
        <v>8472</v>
      </c>
      <c r="F318" s="59">
        <v>398</v>
      </c>
      <c r="G318" s="18">
        <v>4.628137476</v>
      </c>
    </row>
    <row r="319" spans="2:7" x14ac:dyDescent="0.3">
      <c r="B319" s="60">
        <v>316</v>
      </c>
      <c r="C319" s="58">
        <v>49280</v>
      </c>
      <c r="D319" s="57">
        <v>4924</v>
      </c>
      <c r="E319" s="58">
        <v>7832</v>
      </c>
      <c r="F319" s="59">
        <v>413</v>
      </c>
      <c r="G319" s="18">
        <v>4.7599000130000002</v>
      </c>
    </row>
    <row r="320" spans="2:7" x14ac:dyDescent="0.3">
      <c r="B320" s="60">
        <v>317</v>
      </c>
      <c r="C320" s="58">
        <v>65711</v>
      </c>
      <c r="D320" s="57">
        <v>6596</v>
      </c>
      <c r="E320" s="58">
        <v>4489</v>
      </c>
      <c r="F320" s="59">
        <v>439</v>
      </c>
      <c r="G320" s="18">
        <v>6.6284083709999999</v>
      </c>
    </row>
    <row r="321" spans="2:7" x14ac:dyDescent="0.3">
      <c r="B321" s="60">
        <v>318</v>
      </c>
      <c r="C321" s="58">
        <v>51835</v>
      </c>
      <c r="D321" s="57">
        <v>4632</v>
      </c>
      <c r="E321" s="58">
        <v>8417</v>
      </c>
      <c r="F321" s="59">
        <v>418</v>
      </c>
      <c r="G321" s="18">
        <v>6.2994782599999999</v>
      </c>
    </row>
    <row r="322" spans="2:7" x14ac:dyDescent="0.3">
      <c r="B322" s="60">
        <v>319</v>
      </c>
      <c r="C322" s="58">
        <v>63944</v>
      </c>
      <c r="D322" s="57">
        <v>6355</v>
      </c>
      <c r="E322" s="58">
        <v>4972</v>
      </c>
      <c r="F322" s="59">
        <v>437</v>
      </c>
      <c r="G322" s="18">
        <v>5.0995857989999998</v>
      </c>
    </row>
    <row r="323" spans="2:7" x14ac:dyDescent="0.3">
      <c r="B323" s="60">
        <v>320</v>
      </c>
      <c r="C323" s="58">
        <v>61511</v>
      </c>
      <c r="D323" s="57">
        <v>6185</v>
      </c>
      <c r="E323" s="58">
        <v>5310</v>
      </c>
      <c r="F323" s="59">
        <v>430</v>
      </c>
      <c r="G323" s="18">
        <v>6.2819446000000001</v>
      </c>
    </row>
    <row r="324" spans="2:7" x14ac:dyDescent="0.3">
      <c r="B324" s="60">
        <v>321</v>
      </c>
      <c r="C324" s="58">
        <v>45396</v>
      </c>
      <c r="D324" s="57">
        <v>4275</v>
      </c>
      <c r="E324" s="58">
        <v>9131</v>
      </c>
      <c r="F324" s="59">
        <v>395</v>
      </c>
      <c r="G324" s="18">
        <v>4.2047325820000001</v>
      </c>
    </row>
    <row r="325" spans="2:7" x14ac:dyDescent="0.3">
      <c r="B325" s="60">
        <v>322</v>
      </c>
      <c r="C325" s="58">
        <v>34580</v>
      </c>
      <c r="D325" s="57">
        <v>2740</v>
      </c>
      <c r="E325" s="58">
        <v>12201</v>
      </c>
      <c r="F325" s="59">
        <v>376</v>
      </c>
      <c r="G325" s="18">
        <v>6.0091900459999996</v>
      </c>
    </row>
    <row r="326" spans="2:7" x14ac:dyDescent="0.3">
      <c r="B326" s="60">
        <v>323</v>
      </c>
      <c r="C326" s="58">
        <v>43293</v>
      </c>
      <c r="D326" s="57">
        <v>4291</v>
      </c>
      <c r="E326" s="58">
        <v>9099</v>
      </c>
      <c r="F326" s="59">
        <v>391</v>
      </c>
      <c r="G326" s="18">
        <v>4.4324357399999998</v>
      </c>
    </row>
    <row r="327" spans="2:7" x14ac:dyDescent="0.3">
      <c r="B327" s="60">
        <v>324</v>
      </c>
      <c r="C327" s="58">
        <v>44341</v>
      </c>
      <c r="D327" s="57">
        <v>4531</v>
      </c>
      <c r="E327" s="58">
        <v>8619</v>
      </c>
      <c r="F327" s="59">
        <v>390</v>
      </c>
      <c r="G327" s="18">
        <v>7.245618801</v>
      </c>
    </row>
    <row r="328" spans="2:7" x14ac:dyDescent="0.3">
      <c r="B328" s="60">
        <v>325</v>
      </c>
      <c r="C328" s="58">
        <v>51251</v>
      </c>
      <c r="D328" s="57">
        <v>4984</v>
      </c>
      <c r="E328" s="58">
        <v>7712</v>
      </c>
      <c r="F328" s="59">
        <v>415</v>
      </c>
      <c r="G328" s="18">
        <v>4.4705627809999999</v>
      </c>
    </row>
    <row r="329" spans="2:7" x14ac:dyDescent="0.3">
      <c r="B329" s="60">
        <v>326</v>
      </c>
      <c r="C329" s="58">
        <v>48568</v>
      </c>
      <c r="D329" s="57">
        <v>3830</v>
      </c>
      <c r="E329" s="58">
        <v>10021</v>
      </c>
      <c r="F329" s="59">
        <v>410</v>
      </c>
      <c r="G329" s="18">
        <v>5.2228493389999997</v>
      </c>
    </row>
    <row r="330" spans="2:7" x14ac:dyDescent="0.3">
      <c r="B330" s="60">
        <v>327</v>
      </c>
      <c r="C330" s="58">
        <v>38872</v>
      </c>
      <c r="D330" s="57">
        <v>3975</v>
      </c>
      <c r="E330" s="58">
        <v>9730</v>
      </c>
      <c r="F330" s="59">
        <v>383</v>
      </c>
      <c r="G330" s="18">
        <v>4.2063190260000001</v>
      </c>
    </row>
    <row r="331" spans="2:7" x14ac:dyDescent="0.3">
      <c r="B331" s="60">
        <v>328</v>
      </c>
      <c r="C331" s="58">
        <v>51266</v>
      </c>
      <c r="D331" s="57">
        <v>4910</v>
      </c>
      <c r="E331" s="58">
        <v>7860</v>
      </c>
      <c r="F331" s="59">
        <v>418</v>
      </c>
      <c r="G331" s="18">
        <v>3.5656028970000002</v>
      </c>
    </row>
    <row r="332" spans="2:7" x14ac:dyDescent="0.3">
      <c r="B332" s="60">
        <v>329</v>
      </c>
      <c r="C332" s="58">
        <v>46710</v>
      </c>
      <c r="D332" s="57">
        <v>4741</v>
      </c>
      <c r="E332" s="58">
        <v>8200</v>
      </c>
      <c r="F332" s="59">
        <v>398</v>
      </c>
      <c r="G332" s="18">
        <v>5.4268047279999996</v>
      </c>
    </row>
    <row r="333" spans="2:7" x14ac:dyDescent="0.3">
      <c r="B333" s="60">
        <v>330</v>
      </c>
      <c r="C333" s="58">
        <v>45224</v>
      </c>
      <c r="D333" s="57">
        <v>4719</v>
      </c>
      <c r="E333" s="58">
        <v>8243</v>
      </c>
      <c r="F333" s="59">
        <v>401</v>
      </c>
      <c r="G333" s="18">
        <v>5.7733127140000002</v>
      </c>
    </row>
    <row r="334" spans="2:7" x14ac:dyDescent="0.3">
      <c r="B334" s="60">
        <v>331</v>
      </c>
      <c r="C334" s="58">
        <v>55480</v>
      </c>
      <c r="D334" s="57">
        <v>4916</v>
      </c>
      <c r="E334" s="58">
        <v>7850</v>
      </c>
      <c r="F334" s="59">
        <v>426</v>
      </c>
      <c r="G334" s="18">
        <v>4.0354149369999996</v>
      </c>
    </row>
    <row r="335" spans="2:7" x14ac:dyDescent="0.3">
      <c r="B335" s="60">
        <v>332</v>
      </c>
      <c r="C335" s="58">
        <v>59181</v>
      </c>
      <c r="D335" s="57">
        <v>5981</v>
      </c>
      <c r="E335" s="58">
        <v>5719</v>
      </c>
      <c r="F335" s="59">
        <v>434</v>
      </c>
      <c r="G335" s="18">
        <v>5.0157092710000004</v>
      </c>
    </row>
    <row r="336" spans="2:7" x14ac:dyDescent="0.3">
      <c r="B336" s="60">
        <v>333</v>
      </c>
      <c r="C336" s="58">
        <v>60448</v>
      </c>
      <c r="D336" s="57">
        <v>6512</v>
      </c>
      <c r="E336" s="58">
        <v>4658</v>
      </c>
      <c r="F336" s="59">
        <v>430</v>
      </c>
      <c r="G336" s="18">
        <v>5.4573527720000001</v>
      </c>
    </row>
    <row r="337" spans="2:7" x14ac:dyDescent="0.3">
      <c r="B337" s="60">
        <v>334</v>
      </c>
      <c r="C337" s="58">
        <v>68124</v>
      </c>
      <c r="D337" s="57">
        <v>7312</v>
      </c>
      <c r="E337" s="58">
        <v>3057</v>
      </c>
      <c r="F337" s="59">
        <v>433</v>
      </c>
      <c r="G337" s="18">
        <v>4.5781722299999998</v>
      </c>
    </row>
    <row r="338" spans="2:7" x14ac:dyDescent="0.3">
      <c r="B338" s="60">
        <v>335</v>
      </c>
      <c r="C338" s="58">
        <v>51490</v>
      </c>
      <c r="D338" s="57">
        <v>5239</v>
      </c>
      <c r="E338" s="58">
        <v>7203</v>
      </c>
      <c r="F338" s="59">
        <v>414</v>
      </c>
      <c r="G338" s="18">
        <v>3.357820163</v>
      </c>
    </row>
    <row r="339" spans="2:7" x14ac:dyDescent="0.3">
      <c r="B339" s="60">
        <v>336</v>
      </c>
      <c r="C339" s="58">
        <v>48477</v>
      </c>
      <c r="D339" s="57">
        <v>4589</v>
      </c>
      <c r="E339" s="58">
        <v>8503</v>
      </c>
      <c r="F339" s="59">
        <v>410</v>
      </c>
      <c r="G339" s="18">
        <v>4.7869456100000001</v>
      </c>
    </row>
    <row r="340" spans="2:7" x14ac:dyDescent="0.3">
      <c r="B340" s="60">
        <v>337</v>
      </c>
      <c r="C340" s="58">
        <v>50637</v>
      </c>
      <c r="D340" s="57">
        <v>5287</v>
      </c>
      <c r="E340" s="58">
        <v>7107</v>
      </c>
      <c r="F340" s="59">
        <v>412</v>
      </c>
      <c r="G340" s="18">
        <v>7.0195364319999998</v>
      </c>
    </row>
    <row r="341" spans="2:7" x14ac:dyDescent="0.3">
      <c r="B341" s="60">
        <v>338</v>
      </c>
      <c r="C341" s="58">
        <v>33481</v>
      </c>
      <c r="D341" s="57">
        <v>4015</v>
      </c>
      <c r="E341" s="58">
        <v>9651</v>
      </c>
      <c r="F341" s="59">
        <v>378</v>
      </c>
      <c r="G341" s="18">
        <v>4.7356425590000004</v>
      </c>
    </row>
    <row r="342" spans="2:7" x14ac:dyDescent="0.3">
      <c r="B342" s="60">
        <v>339</v>
      </c>
      <c r="C342" s="58">
        <v>50896</v>
      </c>
      <c r="D342" s="57">
        <v>4464</v>
      </c>
      <c r="E342" s="58">
        <v>8752</v>
      </c>
      <c r="F342" s="59">
        <v>407</v>
      </c>
      <c r="G342" s="18">
        <v>4.2950769150000001</v>
      </c>
    </row>
    <row r="343" spans="2:7" x14ac:dyDescent="0.3">
      <c r="B343" s="60">
        <v>340</v>
      </c>
      <c r="C343" s="58">
        <v>55760</v>
      </c>
      <c r="D343" s="57">
        <v>5400</v>
      </c>
      <c r="E343" s="58">
        <v>6882</v>
      </c>
      <c r="F343" s="59">
        <v>426</v>
      </c>
      <c r="G343" s="18">
        <v>5.2757721440000003</v>
      </c>
    </row>
    <row r="344" spans="2:7" x14ac:dyDescent="0.3">
      <c r="B344" s="60">
        <v>341</v>
      </c>
      <c r="C344" s="58">
        <v>48346</v>
      </c>
      <c r="D344" s="57">
        <v>5339</v>
      </c>
      <c r="E344" s="58">
        <v>7004</v>
      </c>
      <c r="F344" s="59">
        <v>410</v>
      </c>
      <c r="G344" s="18">
        <v>4.8471837569999998</v>
      </c>
    </row>
    <row r="345" spans="2:7" x14ac:dyDescent="0.3">
      <c r="B345" s="60">
        <v>342</v>
      </c>
      <c r="C345" s="58">
        <v>60234</v>
      </c>
      <c r="D345" s="57">
        <v>6683</v>
      </c>
      <c r="E345" s="58">
        <v>4315</v>
      </c>
      <c r="F345" s="59">
        <v>432</v>
      </c>
      <c r="G345" s="18">
        <v>4.3451032319999996</v>
      </c>
    </row>
    <row r="346" spans="2:7" x14ac:dyDescent="0.3">
      <c r="B346" s="60">
        <v>343</v>
      </c>
      <c r="C346" s="58">
        <v>57872</v>
      </c>
      <c r="D346" s="57">
        <v>4970</v>
      </c>
      <c r="E346" s="58">
        <v>7741</v>
      </c>
      <c r="F346" s="59">
        <v>423</v>
      </c>
      <c r="G346" s="18">
        <v>3.9724042100000001</v>
      </c>
    </row>
    <row r="347" spans="2:7" x14ac:dyDescent="0.3">
      <c r="B347" s="60">
        <v>344</v>
      </c>
      <c r="C347" s="58">
        <v>55468</v>
      </c>
      <c r="D347" s="57">
        <v>5212</v>
      </c>
      <c r="E347" s="58">
        <v>7258</v>
      </c>
      <c r="F347" s="59">
        <v>422</v>
      </c>
      <c r="G347" s="18">
        <v>4.7232595789999996</v>
      </c>
    </row>
    <row r="348" spans="2:7" x14ac:dyDescent="0.3">
      <c r="B348" s="60">
        <v>345</v>
      </c>
      <c r="C348" s="58">
        <v>55299</v>
      </c>
      <c r="D348" s="57">
        <v>4587</v>
      </c>
      <c r="E348" s="58">
        <v>8506</v>
      </c>
      <c r="F348" s="59">
        <v>425</v>
      </c>
      <c r="G348" s="18">
        <v>3.8812838909999998</v>
      </c>
    </row>
    <row r="349" spans="2:7" x14ac:dyDescent="0.3">
      <c r="B349" s="60">
        <v>346</v>
      </c>
      <c r="C349" s="58">
        <v>52060</v>
      </c>
      <c r="D349" s="57">
        <v>5324</v>
      </c>
      <c r="E349" s="58">
        <v>7034</v>
      </c>
      <c r="F349" s="59">
        <v>420</v>
      </c>
      <c r="G349" s="18">
        <v>5.3880166249999997</v>
      </c>
    </row>
    <row r="350" spans="2:7" x14ac:dyDescent="0.3">
      <c r="B350" s="60">
        <v>347</v>
      </c>
      <c r="C350" s="58">
        <v>49110</v>
      </c>
      <c r="D350" s="57">
        <v>5075</v>
      </c>
      <c r="E350" s="58">
        <v>7532</v>
      </c>
      <c r="F350" s="59">
        <v>407</v>
      </c>
      <c r="G350" s="18">
        <v>4.3056267220000004</v>
      </c>
    </row>
    <row r="351" spans="2:7" x14ac:dyDescent="0.3">
      <c r="B351" s="60">
        <v>348</v>
      </c>
      <c r="C351" s="58">
        <v>39334</v>
      </c>
      <c r="D351" s="57">
        <v>3960</v>
      </c>
      <c r="E351" s="58">
        <v>9762</v>
      </c>
      <c r="F351" s="59">
        <v>393</v>
      </c>
      <c r="G351" s="18">
        <v>4.0384852029999996</v>
      </c>
    </row>
    <row r="352" spans="2:7" x14ac:dyDescent="0.3">
      <c r="B352" s="60">
        <v>349</v>
      </c>
      <c r="C352" s="58">
        <v>35038</v>
      </c>
      <c r="D352" s="57">
        <v>3050</v>
      </c>
      <c r="E352" s="58">
        <v>11581</v>
      </c>
      <c r="F352" s="59">
        <v>377</v>
      </c>
      <c r="G352" s="18">
        <v>4.5825585520000001</v>
      </c>
    </row>
    <row r="353" spans="2:7" x14ac:dyDescent="0.3">
      <c r="B353" s="60">
        <v>350</v>
      </c>
      <c r="C353" s="58">
        <v>53733</v>
      </c>
      <c r="D353" s="57">
        <v>5196</v>
      </c>
      <c r="E353" s="58">
        <v>7290</v>
      </c>
      <c r="F353" s="59">
        <v>421</v>
      </c>
      <c r="G353" s="18">
        <v>5.3860906399999999</v>
      </c>
    </row>
    <row r="354" spans="2:7" x14ac:dyDescent="0.3">
      <c r="B354" s="60">
        <v>351</v>
      </c>
      <c r="C354" s="58">
        <v>32993</v>
      </c>
      <c r="D354" s="57">
        <v>2977</v>
      </c>
      <c r="E354" s="58">
        <v>11726</v>
      </c>
      <c r="F354" s="59">
        <v>378</v>
      </c>
      <c r="G354" s="18">
        <v>4.3419530579999996</v>
      </c>
    </row>
    <row r="355" spans="2:7" x14ac:dyDescent="0.3">
      <c r="B355" s="60">
        <v>352</v>
      </c>
      <c r="C355" s="58">
        <v>41469</v>
      </c>
      <c r="D355" s="57">
        <v>3777</v>
      </c>
      <c r="E355" s="58">
        <v>10127</v>
      </c>
      <c r="F355" s="59">
        <v>391</v>
      </c>
      <c r="G355" s="18">
        <v>4.2184747209999998</v>
      </c>
    </row>
    <row r="356" spans="2:7" x14ac:dyDescent="0.3">
      <c r="B356" s="60">
        <v>353</v>
      </c>
      <c r="C356" s="58">
        <v>62974</v>
      </c>
      <c r="D356" s="57">
        <v>5995</v>
      </c>
      <c r="E356" s="58">
        <v>5690</v>
      </c>
      <c r="F356" s="59">
        <v>436</v>
      </c>
      <c r="G356" s="18">
        <v>5.730570127</v>
      </c>
    </row>
    <row r="357" spans="2:7" x14ac:dyDescent="0.3">
      <c r="B357" s="60">
        <v>354</v>
      </c>
      <c r="C357" s="58">
        <v>66361</v>
      </c>
      <c r="D357" s="57">
        <v>6840</v>
      </c>
      <c r="E357" s="58">
        <v>4001</v>
      </c>
      <c r="F357" s="59">
        <v>447</v>
      </c>
      <c r="G357" s="18">
        <v>4.8249311529999996</v>
      </c>
    </row>
    <row r="358" spans="2:7" x14ac:dyDescent="0.3">
      <c r="B358" s="60">
        <v>355</v>
      </c>
      <c r="C358" s="58">
        <v>68072</v>
      </c>
      <c r="D358" s="57">
        <v>7018</v>
      </c>
      <c r="E358" s="58">
        <v>3644</v>
      </c>
      <c r="F358" s="59">
        <v>447</v>
      </c>
      <c r="G358" s="18">
        <v>3.7412255609999998</v>
      </c>
    </row>
    <row r="359" spans="2:7" x14ac:dyDescent="0.3">
      <c r="B359" s="60">
        <v>356</v>
      </c>
      <c r="C359" s="58">
        <v>49909</v>
      </c>
      <c r="D359" s="57">
        <v>5276</v>
      </c>
      <c r="E359" s="58">
        <v>7129</v>
      </c>
      <c r="F359" s="59">
        <v>408</v>
      </c>
      <c r="G359" s="18">
        <v>5.4276483080000002</v>
      </c>
    </row>
    <row r="360" spans="2:7" x14ac:dyDescent="0.3">
      <c r="B360" s="60">
        <v>357</v>
      </c>
      <c r="C360" s="58">
        <v>61905</v>
      </c>
      <c r="D360" s="57">
        <v>5448</v>
      </c>
      <c r="E360" s="58">
        <v>6786</v>
      </c>
      <c r="F360" s="59">
        <v>429</v>
      </c>
      <c r="G360" s="18">
        <v>6.2657427759999997</v>
      </c>
    </row>
    <row r="361" spans="2:7" x14ac:dyDescent="0.3">
      <c r="B361" s="60">
        <v>358</v>
      </c>
      <c r="C361" s="58">
        <v>41064</v>
      </c>
      <c r="D361" s="57">
        <v>4931</v>
      </c>
      <c r="E361" s="58">
        <v>7819</v>
      </c>
      <c r="F361" s="59">
        <v>393</v>
      </c>
      <c r="G361" s="18">
        <v>7.0854528190000003</v>
      </c>
    </row>
    <row r="362" spans="2:7" x14ac:dyDescent="0.3">
      <c r="B362" s="60">
        <v>359</v>
      </c>
      <c r="C362" s="58">
        <v>41055</v>
      </c>
      <c r="D362" s="57">
        <v>4504</v>
      </c>
      <c r="E362" s="58">
        <v>8674</v>
      </c>
      <c r="F362" s="59">
        <v>400</v>
      </c>
      <c r="G362" s="18">
        <v>7.4322343770000003</v>
      </c>
    </row>
    <row r="363" spans="2:7" x14ac:dyDescent="0.3">
      <c r="B363" s="60">
        <v>360</v>
      </c>
      <c r="C363" s="58">
        <v>66519</v>
      </c>
      <c r="D363" s="57">
        <v>6570</v>
      </c>
      <c r="E363" s="58">
        <v>4540</v>
      </c>
      <c r="F363" s="59">
        <v>440</v>
      </c>
      <c r="G363" s="18">
        <v>4.0312473190000002</v>
      </c>
    </row>
    <row r="364" spans="2:7" x14ac:dyDescent="0.3">
      <c r="B364" s="60">
        <v>361</v>
      </c>
      <c r="C364" s="58">
        <v>34355</v>
      </c>
      <c r="D364" s="57">
        <v>3083</v>
      </c>
      <c r="E364" s="58">
        <v>11514</v>
      </c>
      <c r="F364" s="59">
        <v>373</v>
      </c>
      <c r="G364" s="18">
        <v>7.4510882489999997</v>
      </c>
    </row>
    <row r="365" spans="2:7" x14ac:dyDescent="0.3">
      <c r="B365" s="60">
        <v>362</v>
      </c>
      <c r="C365" s="58">
        <v>47639</v>
      </c>
      <c r="D365" s="57">
        <v>5192</v>
      </c>
      <c r="E365" s="58">
        <v>7296</v>
      </c>
      <c r="F365" s="59">
        <v>403</v>
      </c>
      <c r="G365" s="18">
        <v>4.2950150300000001</v>
      </c>
    </row>
    <row r="366" spans="2:7" x14ac:dyDescent="0.3">
      <c r="B366" s="60">
        <v>363</v>
      </c>
      <c r="C366" s="58">
        <v>55242</v>
      </c>
      <c r="D366" s="57">
        <v>5374</v>
      </c>
      <c r="E366" s="58">
        <v>6933</v>
      </c>
      <c r="F366" s="59">
        <v>417</v>
      </c>
      <c r="G366" s="18">
        <v>5.3088447179999996</v>
      </c>
    </row>
    <row r="367" spans="2:7" x14ac:dyDescent="0.3">
      <c r="B367" s="60">
        <v>364</v>
      </c>
      <c r="C367" s="58">
        <v>55865</v>
      </c>
      <c r="D367" s="57">
        <v>5732</v>
      </c>
      <c r="E367" s="58">
        <v>6217</v>
      </c>
      <c r="F367" s="59">
        <v>421</v>
      </c>
      <c r="G367" s="18">
        <v>4.4373575089999999</v>
      </c>
    </row>
    <row r="368" spans="2:7" x14ac:dyDescent="0.3">
      <c r="B368" s="60">
        <v>365</v>
      </c>
      <c r="C368" s="58">
        <v>52512</v>
      </c>
      <c r="D368" s="57">
        <v>5768</v>
      </c>
      <c r="E368" s="58">
        <v>6145</v>
      </c>
      <c r="F368" s="59">
        <v>405</v>
      </c>
      <c r="G368" s="18">
        <v>5.3420803379999997</v>
      </c>
    </row>
    <row r="369" spans="2:7" x14ac:dyDescent="0.3">
      <c r="B369" s="60">
        <v>366</v>
      </c>
      <c r="C369" s="58">
        <v>57634</v>
      </c>
      <c r="D369" s="57">
        <v>5963</v>
      </c>
      <c r="E369" s="58">
        <v>5755</v>
      </c>
      <c r="F369" s="59">
        <v>423</v>
      </c>
      <c r="G369" s="18">
        <v>5.8286440539999997</v>
      </c>
    </row>
    <row r="370" spans="2:7" x14ac:dyDescent="0.3">
      <c r="B370" s="60">
        <v>367</v>
      </c>
      <c r="C370" s="58">
        <v>51976</v>
      </c>
      <c r="D370" s="57">
        <v>5785</v>
      </c>
      <c r="E370" s="58">
        <v>6111</v>
      </c>
      <c r="F370" s="59">
        <v>418</v>
      </c>
      <c r="G370" s="18">
        <v>3.2621592920000002</v>
      </c>
    </row>
    <row r="371" spans="2:7" x14ac:dyDescent="0.3">
      <c r="B371" s="60">
        <v>368</v>
      </c>
      <c r="C371" s="58">
        <v>49747</v>
      </c>
      <c r="D371" s="57">
        <v>5639</v>
      </c>
      <c r="E371" s="58">
        <v>6402</v>
      </c>
      <c r="F371" s="59">
        <v>420</v>
      </c>
      <c r="G371" s="18">
        <v>4.1730984329999998</v>
      </c>
    </row>
    <row r="372" spans="2:7" x14ac:dyDescent="0.3">
      <c r="B372" s="60">
        <v>369</v>
      </c>
      <c r="C372" s="58">
        <v>52005</v>
      </c>
      <c r="D372" s="57">
        <v>5462</v>
      </c>
      <c r="E372" s="58">
        <v>6757</v>
      </c>
      <c r="F372" s="59">
        <v>412</v>
      </c>
      <c r="G372" s="18">
        <v>4.6078330479999998</v>
      </c>
    </row>
    <row r="373" spans="2:7" x14ac:dyDescent="0.3">
      <c r="B373" s="60">
        <v>370</v>
      </c>
      <c r="C373" s="58">
        <v>43062</v>
      </c>
      <c r="D373" s="57">
        <v>3907</v>
      </c>
      <c r="E373" s="58">
        <v>9867</v>
      </c>
      <c r="F373" s="59">
        <v>407</v>
      </c>
      <c r="G373" s="18">
        <v>5.6513223220000004</v>
      </c>
    </row>
    <row r="374" spans="2:7" x14ac:dyDescent="0.3">
      <c r="B374" s="60">
        <v>371</v>
      </c>
      <c r="C374" s="58">
        <v>48167</v>
      </c>
      <c r="D374" s="57">
        <v>5939</v>
      </c>
      <c r="E374" s="58">
        <v>5802</v>
      </c>
      <c r="F374" s="59">
        <v>407</v>
      </c>
      <c r="G374" s="18">
        <v>3.6915556829999998</v>
      </c>
    </row>
    <row r="375" spans="2:7" x14ac:dyDescent="0.3">
      <c r="B375" s="60">
        <v>372</v>
      </c>
      <c r="C375" s="58">
        <v>41937</v>
      </c>
      <c r="D375" s="57">
        <v>4151</v>
      </c>
      <c r="E375" s="58">
        <v>9378</v>
      </c>
      <c r="F375" s="59">
        <v>399</v>
      </c>
      <c r="G375" s="18">
        <v>5.283448023</v>
      </c>
    </row>
    <row r="376" spans="2:7" x14ac:dyDescent="0.3">
      <c r="B376" s="60">
        <v>373</v>
      </c>
      <c r="C376" s="58">
        <v>37555</v>
      </c>
      <c r="D376" s="57">
        <v>4227</v>
      </c>
      <c r="E376" s="58">
        <v>9227</v>
      </c>
      <c r="F376" s="59">
        <v>387</v>
      </c>
      <c r="G376" s="18">
        <v>3.887141111</v>
      </c>
    </row>
    <row r="377" spans="2:7" x14ac:dyDescent="0.3">
      <c r="B377" s="60">
        <v>374</v>
      </c>
      <c r="C377" s="58">
        <v>32668</v>
      </c>
      <c r="D377" s="57">
        <v>2551</v>
      </c>
      <c r="E377" s="58">
        <v>12578</v>
      </c>
      <c r="F377" s="59">
        <v>369</v>
      </c>
      <c r="G377" s="18">
        <v>5.2320096960000004</v>
      </c>
    </row>
    <row r="378" spans="2:7" x14ac:dyDescent="0.3">
      <c r="B378" s="60">
        <v>375</v>
      </c>
      <c r="C378" s="58">
        <v>42440</v>
      </c>
      <c r="D378" s="57">
        <v>3550</v>
      </c>
      <c r="E378" s="58">
        <v>10581</v>
      </c>
      <c r="F378" s="59">
        <v>401</v>
      </c>
      <c r="G378" s="18">
        <v>5.9675380269999998</v>
      </c>
    </row>
    <row r="379" spans="2:7" x14ac:dyDescent="0.3">
      <c r="B379" s="60">
        <v>376</v>
      </c>
      <c r="C379" s="58">
        <v>58687</v>
      </c>
      <c r="D379" s="57">
        <v>6074</v>
      </c>
      <c r="E379" s="58">
        <v>5534</v>
      </c>
      <c r="F379" s="59">
        <v>423</v>
      </c>
      <c r="G379" s="18">
        <v>2.9407331239999999</v>
      </c>
    </row>
    <row r="380" spans="2:7" x14ac:dyDescent="0.3">
      <c r="B380" s="60">
        <v>377</v>
      </c>
      <c r="C380" s="58">
        <v>42055</v>
      </c>
      <c r="D380" s="57">
        <v>3983</v>
      </c>
      <c r="E380" s="58">
        <v>9715</v>
      </c>
      <c r="F380" s="59">
        <v>395</v>
      </c>
      <c r="G380" s="18">
        <v>4.9404839420000002</v>
      </c>
    </row>
    <row r="381" spans="2:7" x14ac:dyDescent="0.3">
      <c r="B381" s="60">
        <v>378</v>
      </c>
      <c r="C381" s="58">
        <v>57587</v>
      </c>
      <c r="D381" s="57">
        <v>5468</v>
      </c>
      <c r="E381" s="58">
        <v>6746</v>
      </c>
      <c r="F381" s="59">
        <v>422</v>
      </c>
      <c r="G381" s="18">
        <v>4.7916727579999998</v>
      </c>
    </row>
    <row r="382" spans="2:7" x14ac:dyDescent="0.3">
      <c r="B382" s="60">
        <v>379</v>
      </c>
      <c r="C382" s="58">
        <v>49978</v>
      </c>
      <c r="D382" s="57">
        <v>5195</v>
      </c>
      <c r="E382" s="58">
        <v>7290</v>
      </c>
      <c r="F382" s="59">
        <v>415</v>
      </c>
      <c r="G382" s="18">
        <v>3.9519692439999998</v>
      </c>
    </row>
    <row r="383" spans="2:7" x14ac:dyDescent="0.3">
      <c r="B383" s="60">
        <v>380</v>
      </c>
      <c r="C383" s="58">
        <v>39447</v>
      </c>
      <c r="D383" s="57">
        <v>4544</v>
      </c>
      <c r="E383" s="58">
        <v>8593</v>
      </c>
      <c r="F383" s="59">
        <v>392</v>
      </c>
      <c r="G383" s="18">
        <v>2.6091896129999999</v>
      </c>
    </row>
    <row r="384" spans="2:7" x14ac:dyDescent="0.3">
      <c r="B384" s="60">
        <v>381</v>
      </c>
      <c r="C384" s="58">
        <v>60943</v>
      </c>
      <c r="D384" s="57">
        <v>6018</v>
      </c>
      <c r="E384" s="58">
        <v>5645</v>
      </c>
      <c r="F384" s="59">
        <v>421</v>
      </c>
      <c r="G384" s="18">
        <v>4.4906868129999999</v>
      </c>
    </row>
    <row r="385" spans="2:7" x14ac:dyDescent="0.3">
      <c r="B385" s="60">
        <v>382</v>
      </c>
      <c r="C385" s="58">
        <v>62380</v>
      </c>
      <c r="D385" s="57">
        <v>6136</v>
      </c>
      <c r="E385" s="58">
        <v>5409</v>
      </c>
      <c r="F385" s="59">
        <v>433</v>
      </c>
      <c r="G385" s="18">
        <v>3.657290948</v>
      </c>
    </row>
    <row r="386" spans="2:7" x14ac:dyDescent="0.3">
      <c r="B386" s="60">
        <v>383</v>
      </c>
      <c r="C386" s="58">
        <v>38510</v>
      </c>
      <c r="D386" s="57">
        <v>4616</v>
      </c>
      <c r="E386" s="58">
        <v>8449</v>
      </c>
      <c r="F386" s="59">
        <v>392</v>
      </c>
      <c r="G386" s="18">
        <v>5.1785739519999998</v>
      </c>
    </row>
    <row r="387" spans="2:7" x14ac:dyDescent="0.3">
      <c r="B387" s="60">
        <v>384</v>
      </c>
      <c r="C387" s="58">
        <v>49070</v>
      </c>
      <c r="D387" s="57">
        <v>5073</v>
      </c>
      <c r="E387" s="58">
        <v>7534</v>
      </c>
      <c r="F387" s="59">
        <v>413</v>
      </c>
      <c r="G387" s="18">
        <v>5.0582768219999998</v>
      </c>
    </row>
    <row r="388" spans="2:7" x14ac:dyDescent="0.3">
      <c r="B388" s="60">
        <v>385</v>
      </c>
      <c r="C388" s="58">
        <v>47817</v>
      </c>
      <c r="D388" s="57">
        <v>4277</v>
      </c>
      <c r="E388" s="58">
        <v>9127</v>
      </c>
      <c r="F388" s="59">
        <v>409</v>
      </c>
      <c r="G388" s="18">
        <v>5.4480536439999998</v>
      </c>
    </row>
    <row r="389" spans="2:7" x14ac:dyDescent="0.3">
      <c r="B389" s="60">
        <v>386</v>
      </c>
      <c r="C389" s="58">
        <v>55040</v>
      </c>
      <c r="D389" s="57">
        <v>7142</v>
      </c>
      <c r="E389" s="58">
        <v>3397</v>
      </c>
      <c r="F389" s="59">
        <v>423</v>
      </c>
      <c r="G389" s="18">
        <v>6.687747237</v>
      </c>
    </row>
    <row r="390" spans="2:7" x14ac:dyDescent="0.3">
      <c r="B390" s="60">
        <v>387</v>
      </c>
      <c r="C390" s="58">
        <v>56460</v>
      </c>
      <c r="D390" s="57">
        <v>5849</v>
      </c>
      <c r="E390" s="58">
        <v>5984</v>
      </c>
      <c r="F390" s="59">
        <v>423</v>
      </c>
      <c r="G390" s="18">
        <v>4.3286581430000002</v>
      </c>
    </row>
    <row r="391" spans="2:7" x14ac:dyDescent="0.3">
      <c r="B391" s="60">
        <v>388</v>
      </c>
      <c r="C391" s="58">
        <v>38101</v>
      </c>
      <c r="D391" s="57">
        <v>3706</v>
      </c>
      <c r="E391" s="58">
        <v>10268</v>
      </c>
      <c r="F391" s="59">
        <v>380</v>
      </c>
      <c r="G391" s="18">
        <v>4.3304384279999999</v>
      </c>
    </row>
    <row r="392" spans="2:7" x14ac:dyDescent="0.3">
      <c r="B392" s="60">
        <v>389</v>
      </c>
      <c r="C392" s="58">
        <v>43503</v>
      </c>
      <c r="D392" s="57">
        <v>4439</v>
      </c>
      <c r="E392" s="58">
        <v>8803</v>
      </c>
      <c r="F392" s="59">
        <v>393</v>
      </c>
      <c r="G392" s="18">
        <v>5.9007454619999997</v>
      </c>
    </row>
    <row r="393" spans="2:7" x14ac:dyDescent="0.3">
      <c r="B393" s="60">
        <v>390</v>
      </c>
      <c r="C393" s="58">
        <v>46937</v>
      </c>
      <c r="D393" s="57">
        <v>4181</v>
      </c>
      <c r="E393" s="58">
        <v>9319</v>
      </c>
      <c r="F393" s="59">
        <v>406</v>
      </c>
      <c r="G393" s="18">
        <v>5.1199623540000001</v>
      </c>
    </row>
    <row r="394" spans="2:7" x14ac:dyDescent="0.3">
      <c r="B394" s="60">
        <v>391</v>
      </c>
      <c r="C394" s="58">
        <v>38578</v>
      </c>
      <c r="D394" s="57">
        <v>3805</v>
      </c>
      <c r="E394" s="58">
        <v>10072</v>
      </c>
      <c r="F394" s="59">
        <v>385</v>
      </c>
      <c r="G394" s="18">
        <v>5.0846059419999996</v>
      </c>
    </row>
    <row r="395" spans="2:7" x14ac:dyDescent="0.3">
      <c r="B395" s="60">
        <v>392</v>
      </c>
      <c r="C395" s="58">
        <v>44232</v>
      </c>
      <c r="D395" s="57">
        <v>3382</v>
      </c>
      <c r="E395" s="58">
        <v>10917</v>
      </c>
      <c r="F395" s="59">
        <v>399</v>
      </c>
      <c r="G395" s="18">
        <v>4.3335904049999998</v>
      </c>
    </row>
    <row r="396" spans="2:7" x14ac:dyDescent="0.3">
      <c r="B396" s="60">
        <v>393</v>
      </c>
      <c r="C396" s="58">
        <v>27881</v>
      </c>
      <c r="D396" s="57">
        <v>1804</v>
      </c>
      <c r="E396" s="58">
        <v>14073</v>
      </c>
      <c r="F396" s="59">
        <v>363</v>
      </c>
      <c r="G396" s="18">
        <v>5.2364417169999999</v>
      </c>
    </row>
    <row r="397" spans="2:7" x14ac:dyDescent="0.3">
      <c r="B397" s="60">
        <v>394</v>
      </c>
      <c r="C397" s="58">
        <v>67381</v>
      </c>
      <c r="D397" s="57">
        <v>6759</v>
      </c>
      <c r="E397" s="58">
        <v>4163</v>
      </c>
      <c r="F397" s="59">
        <v>446</v>
      </c>
      <c r="G397" s="18">
        <v>4.9571294290000001</v>
      </c>
    </row>
    <row r="398" spans="2:7" x14ac:dyDescent="0.3">
      <c r="B398" s="60">
        <v>395</v>
      </c>
      <c r="C398" s="58">
        <v>64719</v>
      </c>
      <c r="D398" s="57">
        <v>6636</v>
      </c>
      <c r="E398" s="58">
        <v>4409</v>
      </c>
      <c r="F398" s="59">
        <v>432</v>
      </c>
      <c r="G398" s="18">
        <v>4.6886333860000002</v>
      </c>
    </row>
    <row r="399" spans="2:7" x14ac:dyDescent="0.3">
      <c r="B399" s="60">
        <v>396</v>
      </c>
      <c r="C399" s="58">
        <v>55902</v>
      </c>
      <c r="D399" s="57">
        <v>4962</v>
      </c>
      <c r="E399" s="58">
        <v>7757</v>
      </c>
      <c r="F399" s="59">
        <v>421</v>
      </c>
      <c r="G399" s="18">
        <v>4.6607813489999996</v>
      </c>
    </row>
    <row r="400" spans="2:7" x14ac:dyDescent="0.3">
      <c r="B400" s="60">
        <v>397</v>
      </c>
      <c r="C400" s="58">
        <v>63105</v>
      </c>
      <c r="D400" s="57">
        <v>6255</v>
      </c>
      <c r="E400" s="58">
        <v>5171</v>
      </c>
      <c r="F400" s="59">
        <v>438</v>
      </c>
      <c r="G400" s="18">
        <v>4.9173414580000001</v>
      </c>
    </row>
    <row r="401" spans="2:7" x14ac:dyDescent="0.3">
      <c r="B401" s="60">
        <v>398</v>
      </c>
      <c r="C401" s="58">
        <v>44229</v>
      </c>
      <c r="D401" s="57">
        <v>4633</v>
      </c>
      <c r="E401" s="58">
        <v>8415</v>
      </c>
      <c r="F401" s="59">
        <v>402</v>
      </c>
      <c r="G401" s="18">
        <v>4.6596405860000001</v>
      </c>
    </row>
    <row r="402" spans="2:7" x14ac:dyDescent="0.3">
      <c r="B402" s="60">
        <v>399</v>
      </c>
      <c r="C402" s="58">
        <v>34402</v>
      </c>
      <c r="D402" s="57">
        <v>3867</v>
      </c>
      <c r="E402" s="58">
        <v>9948</v>
      </c>
      <c r="F402" s="59">
        <v>371</v>
      </c>
      <c r="G402" s="18">
        <v>4.9181673840000002</v>
      </c>
    </row>
    <row r="403" spans="2:7" x14ac:dyDescent="0.3">
      <c r="B403" s="60">
        <v>400</v>
      </c>
      <c r="C403" s="58">
        <v>60472</v>
      </c>
      <c r="D403" s="57">
        <v>6522</v>
      </c>
      <c r="E403" s="58">
        <v>4636</v>
      </c>
      <c r="F403" s="59">
        <v>427</v>
      </c>
      <c r="G403" s="18">
        <v>6.4102610760000003</v>
      </c>
    </row>
    <row r="404" spans="2:7" x14ac:dyDescent="0.3">
      <c r="B404" s="60">
        <v>401</v>
      </c>
      <c r="C404" s="58">
        <v>49707</v>
      </c>
      <c r="D404" s="57">
        <v>5811</v>
      </c>
      <c r="E404" s="58">
        <v>6059</v>
      </c>
      <c r="F404" s="59">
        <v>409</v>
      </c>
      <c r="G404" s="18">
        <v>5.2307594460000004</v>
      </c>
    </row>
    <row r="405" spans="2:7" x14ac:dyDescent="0.3">
      <c r="B405" s="60">
        <v>402</v>
      </c>
      <c r="C405" s="58">
        <v>63696</v>
      </c>
      <c r="D405" s="57">
        <v>6627</v>
      </c>
      <c r="E405" s="58">
        <v>4427</v>
      </c>
      <c r="F405" s="59">
        <v>433</v>
      </c>
      <c r="G405" s="18">
        <v>5.0048545689999999</v>
      </c>
    </row>
    <row r="406" spans="2:7" x14ac:dyDescent="0.3">
      <c r="B406" s="60">
        <v>403</v>
      </c>
      <c r="C406" s="58">
        <v>56479</v>
      </c>
      <c r="D406" s="57">
        <v>5198</v>
      </c>
      <c r="E406" s="58">
        <v>7284</v>
      </c>
      <c r="F406" s="59">
        <v>428</v>
      </c>
      <c r="G406" s="18">
        <v>5.1453429389999998</v>
      </c>
    </row>
    <row r="407" spans="2:7" x14ac:dyDescent="0.3">
      <c r="B407" s="60">
        <v>404</v>
      </c>
      <c r="C407" s="58">
        <v>62096</v>
      </c>
      <c r="D407" s="57">
        <v>6727</v>
      </c>
      <c r="E407" s="58">
        <v>4226</v>
      </c>
      <c r="F407" s="59">
        <v>431</v>
      </c>
      <c r="G407" s="18">
        <v>6.2691635220000004</v>
      </c>
    </row>
    <row r="408" spans="2:7" x14ac:dyDescent="0.3">
      <c r="B408" s="60">
        <v>405</v>
      </c>
      <c r="C408" s="58">
        <v>52841</v>
      </c>
      <c r="D408" s="57">
        <v>4413</v>
      </c>
      <c r="E408" s="58">
        <v>8855</v>
      </c>
      <c r="F408" s="59">
        <v>418</v>
      </c>
      <c r="G408" s="18">
        <v>5.9658213919999996</v>
      </c>
    </row>
    <row r="409" spans="2:7" x14ac:dyDescent="0.3">
      <c r="B409" s="60">
        <v>406</v>
      </c>
      <c r="C409" s="58">
        <v>33122</v>
      </c>
      <c r="D409" s="57">
        <v>2989</v>
      </c>
      <c r="E409" s="58">
        <v>11704</v>
      </c>
      <c r="F409" s="59">
        <v>373</v>
      </c>
      <c r="G409" s="18">
        <v>4.3449166589999999</v>
      </c>
    </row>
    <row r="410" spans="2:7" x14ac:dyDescent="0.3">
      <c r="B410" s="60">
        <v>407</v>
      </c>
      <c r="C410" s="58">
        <v>74147</v>
      </c>
      <c r="D410" s="57">
        <v>7455</v>
      </c>
      <c r="E410" s="58">
        <v>2772</v>
      </c>
      <c r="F410" s="59">
        <v>455</v>
      </c>
      <c r="G410" s="18">
        <v>5.7048037640000002</v>
      </c>
    </row>
    <row r="411" spans="2:7" x14ac:dyDescent="0.3">
      <c r="B411" s="60">
        <v>408</v>
      </c>
      <c r="C411" s="58">
        <v>44530</v>
      </c>
      <c r="D411" s="57">
        <v>4500</v>
      </c>
      <c r="E411" s="58">
        <v>8682</v>
      </c>
      <c r="F411" s="59">
        <v>395</v>
      </c>
      <c r="G411" s="18">
        <v>5.2834861320000002</v>
      </c>
    </row>
    <row r="412" spans="2:7" x14ac:dyDescent="0.3">
      <c r="B412" s="60">
        <v>409</v>
      </c>
      <c r="C412" s="58">
        <v>49501</v>
      </c>
      <c r="D412" s="57">
        <v>5002</v>
      </c>
      <c r="E412" s="58">
        <v>7677</v>
      </c>
      <c r="F412" s="59">
        <v>405</v>
      </c>
      <c r="G412" s="18">
        <v>6.8866203080000004</v>
      </c>
    </row>
    <row r="413" spans="2:7" x14ac:dyDescent="0.3">
      <c r="B413" s="60">
        <v>410</v>
      </c>
      <c r="C413" s="58">
        <v>32616</v>
      </c>
      <c r="D413" s="57">
        <v>3262</v>
      </c>
      <c r="E413" s="58">
        <v>11157</v>
      </c>
      <c r="F413" s="59">
        <v>361</v>
      </c>
      <c r="G413" s="18">
        <v>5.5417664750000002</v>
      </c>
    </row>
    <row r="414" spans="2:7" x14ac:dyDescent="0.3">
      <c r="B414" s="60">
        <v>411</v>
      </c>
      <c r="C414" s="58">
        <v>46822</v>
      </c>
      <c r="D414" s="57">
        <v>4929</v>
      </c>
      <c r="E414" s="58">
        <v>7824</v>
      </c>
      <c r="F414" s="59">
        <v>406</v>
      </c>
      <c r="G414" s="18">
        <v>4.8917027710000003</v>
      </c>
    </row>
    <row r="415" spans="2:7" x14ac:dyDescent="0.3">
      <c r="B415" s="60">
        <v>412</v>
      </c>
      <c r="C415" s="58">
        <v>43701</v>
      </c>
      <c r="D415" s="57">
        <v>4392</v>
      </c>
      <c r="E415" s="58">
        <v>8897</v>
      </c>
      <c r="F415" s="59">
        <v>395</v>
      </c>
      <c r="G415" s="18">
        <v>4.7996927630000004</v>
      </c>
    </row>
    <row r="416" spans="2:7" x14ac:dyDescent="0.3">
      <c r="B416" s="60">
        <v>413</v>
      </c>
      <c r="C416" s="58">
        <v>47394</v>
      </c>
      <c r="D416" s="57">
        <v>4390</v>
      </c>
      <c r="E416" s="58">
        <v>8900</v>
      </c>
      <c r="F416" s="59">
        <v>408</v>
      </c>
      <c r="G416" s="18">
        <v>4.7803133310000003</v>
      </c>
    </row>
    <row r="417" spans="2:7" x14ac:dyDescent="0.3">
      <c r="B417" s="60">
        <v>414</v>
      </c>
      <c r="C417" s="58">
        <v>30767</v>
      </c>
      <c r="D417" s="57">
        <v>3154</v>
      </c>
      <c r="E417" s="58">
        <v>11374</v>
      </c>
      <c r="F417" s="59">
        <v>359</v>
      </c>
      <c r="G417" s="18">
        <v>4.7168944609999999</v>
      </c>
    </row>
    <row r="418" spans="2:7" x14ac:dyDescent="0.3">
      <c r="B418" s="60">
        <v>415</v>
      </c>
      <c r="C418" s="58">
        <v>49346</v>
      </c>
      <c r="D418" s="57">
        <v>5295</v>
      </c>
      <c r="E418" s="58">
        <v>7091</v>
      </c>
      <c r="F418" s="59">
        <v>405</v>
      </c>
      <c r="G418" s="18">
        <v>5.2324035980000003</v>
      </c>
    </row>
    <row r="419" spans="2:7" x14ac:dyDescent="0.3">
      <c r="B419" s="60">
        <v>416</v>
      </c>
      <c r="C419" s="58">
        <v>44298</v>
      </c>
      <c r="D419" s="57">
        <v>3738</v>
      </c>
      <c r="E419" s="58">
        <v>10204</v>
      </c>
      <c r="F419" s="59">
        <v>402</v>
      </c>
      <c r="G419" s="18">
        <v>5.7532995150000001</v>
      </c>
    </row>
    <row r="420" spans="2:7" x14ac:dyDescent="0.3">
      <c r="B420" s="60">
        <v>417</v>
      </c>
      <c r="C420" s="58">
        <v>30083</v>
      </c>
      <c r="D420" s="57">
        <v>2602</v>
      </c>
      <c r="E420" s="58">
        <v>12477</v>
      </c>
      <c r="F420" s="59">
        <v>358</v>
      </c>
      <c r="G420" s="18">
        <v>4.1953514140000001</v>
      </c>
    </row>
    <row r="421" spans="2:7" x14ac:dyDescent="0.3">
      <c r="B421" s="60">
        <v>418</v>
      </c>
      <c r="C421" s="58">
        <v>48245</v>
      </c>
      <c r="D421" s="57">
        <v>4503</v>
      </c>
      <c r="E421" s="58">
        <v>8675</v>
      </c>
      <c r="F421" s="59">
        <v>409</v>
      </c>
      <c r="G421" s="18">
        <v>5.8851182030000002</v>
      </c>
    </row>
    <row r="422" spans="2:7" x14ac:dyDescent="0.3">
      <c r="B422" s="60">
        <v>419</v>
      </c>
      <c r="C422" s="58">
        <v>29053</v>
      </c>
      <c r="D422" s="57">
        <v>2366</v>
      </c>
      <c r="E422" s="58">
        <v>12949</v>
      </c>
      <c r="F422" s="59">
        <v>354</v>
      </c>
      <c r="G422" s="18">
        <v>5.9287330770000004</v>
      </c>
    </row>
    <row r="423" spans="2:7" x14ac:dyDescent="0.3">
      <c r="B423" s="60">
        <v>420</v>
      </c>
      <c r="C423" s="58">
        <v>48001</v>
      </c>
      <c r="D423" s="57">
        <v>4950</v>
      </c>
      <c r="E423" s="58">
        <v>7781</v>
      </c>
      <c r="F423" s="59">
        <v>405</v>
      </c>
      <c r="G423" s="18">
        <v>4.1828731479999997</v>
      </c>
    </row>
    <row r="424" spans="2:7" x14ac:dyDescent="0.3">
      <c r="B424" s="60">
        <v>421</v>
      </c>
      <c r="C424" s="58">
        <v>60054</v>
      </c>
      <c r="D424" s="57">
        <v>5928</v>
      </c>
      <c r="E424" s="58">
        <v>5825</v>
      </c>
      <c r="F424" s="59">
        <v>430</v>
      </c>
      <c r="G424" s="18">
        <v>5.7197329520000002</v>
      </c>
    </row>
    <row r="425" spans="2:7" x14ac:dyDescent="0.3">
      <c r="B425" s="60">
        <v>422</v>
      </c>
      <c r="C425" s="58">
        <v>43771</v>
      </c>
      <c r="D425" s="57">
        <v>4815</v>
      </c>
      <c r="E425" s="58">
        <v>8052</v>
      </c>
      <c r="F425" s="59">
        <v>397</v>
      </c>
      <c r="G425" s="18">
        <v>4.2127222409999998</v>
      </c>
    </row>
    <row r="426" spans="2:7" x14ac:dyDescent="0.3">
      <c r="B426" s="60">
        <v>423</v>
      </c>
      <c r="C426" s="58">
        <v>51541</v>
      </c>
      <c r="D426" s="57">
        <v>4350</v>
      </c>
      <c r="E426" s="58">
        <v>8982</v>
      </c>
      <c r="F426" s="59">
        <v>414</v>
      </c>
      <c r="G426" s="18">
        <v>4.6098884529999999</v>
      </c>
    </row>
    <row r="427" spans="2:7" x14ac:dyDescent="0.3">
      <c r="B427" s="60">
        <v>424</v>
      </c>
      <c r="C427" s="58">
        <v>49568</v>
      </c>
      <c r="D427" s="57">
        <v>4307</v>
      </c>
      <c r="E427" s="58">
        <v>9067</v>
      </c>
      <c r="F427" s="59">
        <v>405</v>
      </c>
      <c r="G427" s="18">
        <v>6.6504877540000003</v>
      </c>
    </row>
    <row r="428" spans="2:7" x14ac:dyDescent="0.3">
      <c r="B428" s="60">
        <v>425</v>
      </c>
      <c r="C428" s="58">
        <v>70480</v>
      </c>
      <c r="D428" s="57">
        <v>6713</v>
      </c>
      <c r="E428" s="58">
        <v>4254</v>
      </c>
      <c r="F428" s="59">
        <v>452</v>
      </c>
      <c r="G428" s="18">
        <v>4.0586082689999996</v>
      </c>
    </row>
    <row r="429" spans="2:7" x14ac:dyDescent="0.3">
      <c r="B429" s="60">
        <v>426</v>
      </c>
      <c r="C429" s="58">
        <v>52561</v>
      </c>
      <c r="D429" s="57">
        <v>5370</v>
      </c>
      <c r="E429" s="58">
        <v>6940</v>
      </c>
      <c r="F429" s="59">
        <v>411</v>
      </c>
      <c r="G429" s="18">
        <v>6.795982049</v>
      </c>
    </row>
    <row r="430" spans="2:7" x14ac:dyDescent="0.3">
      <c r="B430" s="60">
        <v>427</v>
      </c>
      <c r="C430" s="58">
        <v>52123</v>
      </c>
      <c r="D430" s="57">
        <v>6344</v>
      </c>
      <c r="E430" s="58">
        <v>4992</v>
      </c>
      <c r="F430" s="59">
        <v>409</v>
      </c>
      <c r="G430" s="18">
        <v>5.1899990489999999</v>
      </c>
    </row>
    <row r="431" spans="2:7" x14ac:dyDescent="0.3">
      <c r="B431" s="60">
        <v>428</v>
      </c>
      <c r="C431" s="58">
        <v>58852</v>
      </c>
      <c r="D431" s="57">
        <v>6163</v>
      </c>
      <c r="E431" s="58">
        <v>5355</v>
      </c>
      <c r="F431" s="59">
        <v>428</v>
      </c>
      <c r="G431" s="18">
        <v>4.9530722699999998</v>
      </c>
    </row>
    <row r="432" spans="2:7" x14ac:dyDescent="0.3">
      <c r="B432" s="60">
        <v>429</v>
      </c>
      <c r="C432" s="58">
        <v>56602</v>
      </c>
      <c r="D432" s="57">
        <v>5841</v>
      </c>
      <c r="E432" s="58">
        <v>5999</v>
      </c>
      <c r="F432" s="59">
        <v>425</v>
      </c>
      <c r="G432" s="18">
        <v>5.1331639569999998</v>
      </c>
    </row>
    <row r="433" spans="2:7" x14ac:dyDescent="0.3">
      <c r="B433" s="60">
        <v>430</v>
      </c>
      <c r="C433" s="58">
        <v>41289</v>
      </c>
      <c r="D433" s="57">
        <v>2968</v>
      </c>
      <c r="E433" s="58">
        <v>11745</v>
      </c>
      <c r="F433" s="59">
        <v>387</v>
      </c>
      <c r="G433" s="18">
        <v>3.6375238740000002</v>
      </c>
    </row>
    <row r="434" spans="2:7" x14ac:dyDescent="0.3">
      <c r="B434" s="60">
        <v>431</v>
      </c>
      <c r="C434" s="58">
        <v>52554</v>
      </c>
      <c r="D434" s="57">
        <v>5239</v>
      </c>
      <c r="E434" s="58">
        <v>7203</v>
      </c>
      <c r="F434" s="59">
        <v>414</v>
      </c>
      <c r="G434" s="18">
        <v>4.8275244260000001</v>
      </c>
    </row>
    <row r="435" spans="2:7" x14ac:dyDescent="0.3">
      <c r="B435" s="60">
        <v>432</v>
      </c>
      <c r="C435" s="58">
        <v>46502</v>
      </c>
      <c r="D435" s="57">
        <v>5195</v>
      </c>
      <c r="E435" s="58">
        <v>7292</v>
      </c>
      <c r="F435" s="59">
        <v>402</v>
      </c>
      <c r="G435" s="18">
        <v>4.4206941359999998</v>
      </c>
    </row>
    <row r="436" spans="2:7" x14ac:dyDescent="0.3">
      <c r="B436" s="60">
        <v>433</v>
      </c>
      <c r="C436" s="58">
        <v>57779</v>
      </c>
      <c r="D436" s="57">
        <v>5872</v>
      </c>
      <c r="E436" s="58">
        <v>5937</v>
      </c>
      <c r="F436" s="59">
        <v>415</v>
      </c>
      <c r="G436" s="18">
        <v>5.7414983550000001</v>
      </c>
    </row>
    <row r="437" spans="2:7" x14ac:dyDescent="0.3">
      <c r="B437" s="60">
        <v>434</v>
      </c>
      <c r="C437" s="58">
        <v>38458</v>
      </c>
      <c r="D437" s="57">
        <v>4450</v>
      </c>
      <c r="E437" s="58">
        <v>8780</v>
      </c>
      <c r="F437" s="59">
        <v>380</v>
      </c>
      <c r="G437" s="18">
        <v>4.8994477270000001</v>
      </c>
    </row>
    <row r="438" spans="2:7" x14ac:dyDescent="0.3">
      <c r="B438" s="60">
        <v>435</v>
      </c>
      <c r="C438" s="58">
        <v>54030</v>
      </c>
      <c r="D438" s="57">
        <v>5925</v>
      </c>
      <c r="E438" s="58">
        <v>5831</v>
      </c>
      <c r="F438" s="59">
        <v>416</v>
      </c>
      <c r="G438" s="18">
        <v>6.1730458019999999</v>
      </c>
    </row>
    <row r="439" spans="2:7" x14ac:dyDescent="0.3">
      <c r="B439" s="60">
        <v>436</v>
      </c>
      <c r="C439" s="58">
        <v>50347</v>
      </c>
      <c r="D439" s="57">
        <v>5038</v>
      </c>
      <c r="E439" s="58">
        <v>7605</v>
      </c>
      <c r="F439" s="59">
        <v>410</v>
      </c>
      <c r="G439" s="18">
        <v>3.8491808980000002</v>
      </c>
    </row>
    <row r="440" spans="2:7" x14ac:dyDescent="0.3">
      <c r="B440" s="60">
        <v>437</v>
      </c>
      <c r="C440" s="58">
        <v>45210</v>
      </c>
      <c r="D440" s="57">
        <v>5246</v>
      </c>
      <c r="E440" s="58">
        <v>7188</v>
      </c>
      <c r="F440" s="59">
        <v>405</v>
      </c>
      <c r="G440" s="18">
        <v>4.3726563690000004</v>
      </c>
    </row>
    <row r="441" spans="2:7" x14ac:dyDescent="0.3">
      <c r="B441" s="60">
        <v>438</v>
      </c>
      <c r="C441" s="58">
        <v>43611</v>
      </c>
      <c r="D441" s="57">
        <v>4237</v>
      </c>
      <c r="E441" s="58">
        <v>9206</v>
      </c>
      <c r="F441" s="59">
        <v>399</v>
      </c>
      <c r="G441" s="18">
        <v>4.9408417130000002</v>
      </c>
    </row>
    <row r="442" spans="2:7" x14ac:dyDescent="0.3">
      <c r="B442" s="60">
        <v>439</v>
      </c>
      <c r="C442" s="58">
        <v>55918</v>
      </c>
      <c r="D442" s="57">
        <v>5972</v>
      </c>
      <c r="E442" s="58">
        <v>5736</v>
      </c>
      <c r="F442" s="59">
        <v>418</v>
      </c>
      <c r="G442" s="18">
        <v>4.5525100030000001</v>
      </c>
    </row>
    <row r="443" spans="2:7" x14ac:dyDescent="0.3">
      <c r="B443" s="60">
        <v>440</v>
      </c>
      <c r="C443" s="58">
        <v>66685</v>
      </c>
      <c r="D443" s="57">
        <v>6779</v>
      </c>
      <c r="E443" s="58">
        <v>4123</v>
      </c>
      <c r="F443" s="59">
        <v>441</v>
      </c>
      <c r="G443" s="18">
        <v>5.1674475480000002</v>
      </c>
    </row>
    <row r="444" spans="2:7" x14ac:dyDescent="0.3">
      <c r="B444" s="60">
        <v>441</v>
      </c>
      <c r="C444" s="58">
        <v>53045</v>
      </c>
      <c r="D444" s="57">
        <v>5778</v>
      </c>
      <c r="E444" s="58">
        <v>6126</v>
      </c>
      <c r="F444" s="59">
        <v>423</v>
      </c>
      <c r="G444" s="18">
        <v>5.3446691240000002</v>
      </c>
    </row>
    <row r="445" spans="2:7" x14ac:dyDescent="0.3">
      <c r="B445" s="60">
        <v>442</v>
      </c>
      <c r="C445" s="58">
        <v>26391</v>
      </c>
      <c r="D445" s="57">
        <v>3258</v>
      </c>
      <c r="E445" s="58">
        <v>11165</v>
      </c>
      <c r="F445" s="59">
        <v>345</v>
      </c>
      <c r="G445" s="18">
        <v>4.6855131480000001</v>
      </c>
    </row>
    <row r="446" spans="2:7" x14ac:dyDescent="0.3">
      <c r="B446" s="60">
        <v>443</v>
      </c>
      <c r="C446" s="58">
        <v>71028</v>
      </c>
      <c r="D446" s="57">
        <v>6976</v>
      </c>
      <c r="E446" s="58">
        <v>3728</v>
      </c>
      <c r="F446" s="59">
        <v>443</v>
      </c>
      <c r="G446" s="18">
        <v>4.597580088</v>
      </c>
    </row>
    <row r="447" spans="2:7" x14ac:dyDescent="0.3">
      <c r="B447" s="60">
        <v>444</v>
      </c>
      <c r="C447" s="58">
        <v>56914</v>
      </c>
      <c r="D447" s="57">
        <v>5393</v>
      </c>
      <c r="E447" s="58">
        <v>6895</v>
      </c>
      <c r="F447" s="59">
        <v>425</v>
      </c>
      <c r="G447" s="18">
        <v>5.6788251799999996</v>
      </c>
    </row>
    <row r="448" spans="2:7" x14ac:dyDescent="0.3">
      <c r="B448" s="60">
        <v>445</v>
      </c>
      <c r="C448" s="58">
        <v>41227</v>
      </c>
      <c r="D448" s="57">
        <v>3755</v>
      </c>
      <c r="E448" s="58">
        <v>10171</v>
      </c>
      <c r="F448" s="59">
        <v>396</v>
      </c>
      <c r="G448" s="18">
        <v>6.0577930750000002</v>
      </c>
    </row>
    <row r="449" spans="2:7" x14ac:dyDescent="0.3">
      <c r="B449" s="60">
        <v>446</v>
      </c>
      <c r="C449" s="58">
        <v>56736</v>
      </c>
      <c r="D449" s="57">
        <v>6224</v>
      </c>
      <c r="E449" s="58">
        <v>5234</v>
      </c>
      <c r="F449" s="59">
        <v>429</v>
      </c>
      <c r="G449" s="18">
        <v>5.328306446</v>
      </c>
    </row>
    <row r="450" spans="2:7" x14ac:dyDescent="0.3">
      <c r="B450" s="60">
        <v>447</v>
      </c>
      <c r="C450" s="58">
        <v>50832</v>
      </c>
      <c r="D450" s="57">
        <v>5123</v>
      </c>
      <c r="E450" s="58">
        <v>7435</v>
      </c>
      <c r="F450" s="59">
        <v>413</v>
      </c>
      <c r="G450" s="18">
        <v>4.8489596070000003</v>
      </c>
    </row>
    <row r="451" spans="2:7" x14ac:dyDescent="0.3">
      <c r="B451" s="60">
        <v>448</v>
      </c>
      <c r="C451" s="58">
        <v>50977</v>
      </c>
      <c r="D451" s="57">
        <v>4780</v>
      </c>
      <c r="E451" s="58">
        <v>8121</v>
      </c>
      <c r="F451" s="59">
        <v>415</v>
      </c>
      <c r="G451" s="18">
        <v>5.5988141430000002</v>
      </c>
    </row>
    <row r="452" spans="2:7" x14ac:dyDescent="0.3">
      <c r="B452" s="60">
        <v>449</v>
      </c>
      <c r="C452" s="58">
        <v>63948</v>
      </c>
      <c r="D452" s="57">
        <v>6409</v>
      </c>
      <c r="E452" s="58">
        <v>4863</v>
      </c>
      <c r="F452" s="59">
        <v>433</v>
      </c>
      <c r="G452" s="18">
        <v>3.9409955349999999</v>
      </c>
    </row>
    <row r="453" spans="2:7" x14ac:dyDescent="0.3">
      <c r="B453" s="60">
        <v>450</v>
      </c>
      <c r="C453" s="58">
        <v>47746</v>
      </c>
      <c r="D453" s="57">
        <v>5360</v>
      </c>
      <c r="E453" s="58">
        <v>6961</v>
      </c>
      <c r="F453" s="59">
        <v>413</v>
      </c>
      <c r="G453" s="18">
        <v>6.5856514300000004</v>
      </c>
    </row>
    <row r="454" spans="2:7" x14ac:dyDescent="0.3">
      <c r="B454" s="60">
        <v>451</v>
      </c>
      <c r="C454" s="58">
        <v>63457</v>
      </c>
      <c r="D454" s="57">
        <v>6882</v>
      </c>
      <c r="E454" s="58">
        <v>3917</v>
      </c>
      <c r="F454" s="59">
        <v>438</v>
      </c>
      <c r="G454" s="18">
        <v>3.8648754009999999</v>
      </c>
    </row>
    <row r="455" spans="2:7" x14ac:dyDescent="0.3">
      <c r="B455" s="60">
        <v>452</v>
      </c>
      <c r="C455" s="58">
        <v>34237</v>
      </c>
      <c r="D455" s="57">
        <v>2939</v>
      </c>
      <c r="E455" s="58">
        <v>11803</v>
      </c>
      <c r="F455" s="59">
        <v>380</v>
      </c>
      <c r="G455" s="18">
        <v>5.7324392040000003</v>
      </c>
    </row>
    <row r="456" spans="2:7" x14ac:dyDescent="0.3">
      <c r="B456" s="60">
        <v>453</v>
      </c>
      <c r="C456" s="58">
        <v>47542</v>
      </c>
      <c r="D456" s="57">
        <v>4649</v>
      </c>
      <c r="E456" s="58">
        <v>8384</v>
      </c>
      <c r="F456" s="59">
        <v>413</v>
      </c>
      <c r="G456" s="18">
        <v>3.5854250749999999</v>
      </c>
    </row>
    <row r="457" spans="2:7" x14ac:dyDescent="0.3">
      <c r="B457" s="60">
        <v>454</v>
      </c>
      <c r="C457" s="58">
        <v>62848</v>
      </c>
      <c r="D457" s="57">
        <v>5861</v>
      </c>
      <c r="E457" s="58">
        <v>5960</v>
      </c>
      <c r="F457" s="59">
        <v>432</v>
      </c>
      <c r="G457" s="18">
        <v>4.2834915809999998</v>
      </c>
    </row>
    <row r="458" spans="2:7" x14ac:dyDescent="0.3">
      <c r="B458" s="60">
        <v>455</v>
      </c>
      <c r="C458" s="58">
        <v>41670</v>
      </c>
      <c r="D458" s="57">
        <v>4120</v>
      </c>
      <c r="E458" s="58">
        <v>9441</v>
      </c>
      <c r="F458" s="59">
        <v>386</v>
      </c>
      <c r="G458" s="18">
        <v>4.9363319389999996</v>
      </c>
    </row>
    <row r="459" spans="2:7" x14ac:dyDescent="0.3">
      <c r="B459" s="60">
        <v>456</v>
      </c>
      <c r="C459" s="58">
        <v>43114</v>
      </c>
      <c r="D459" s="57">
        <v>4060</v>
      </c>
      <c r="E459" s="58">
        <v>9561</v>
      </c>
      <c r="F459" s="59">
        <v>396</v>
      </c>
      <c r="G459" s="18">
        <v>4.8388530249999997</v>
      </c>
    </row>
    <row r="460" spans="2:7" x14ac:dyDescent="0.3">
      <c r="B460" s="60">
        <v>457</v>
      </c>
      <c r="C460" s="58">
        <v>40434</v>
      </c>
      <c r="D460" s="57">
        <v>3847</v>
      </c>
      <c r="E460" s="58">
        <v>9988</v>
      </c>
      <c r="F460" s="59">
        <v>387</v>
      </c>
      <c r="G460" s="18">
        <v>5.8928895810000004</v>
      </c>
    </row>
    <row r="461" spans="2:7" x14ac:dyDescent="0.3">
      <c r="B461" s="60">
        <v>458</v>
      </c>
      <c r="C461" s="58">
        <v>29216</v>
      </c>
      <c r="D461" s="57">
        <v>2549</v>
      </c>
      <c r="E461" s="58">
        <v>12584</v>
      </c>
      <c r="F461" s="59">
        <v>365</v>
      </c>
      <c r="G461" s="18">
        <v>5.2529137260000001</v>
      </c>
    </row>
    <row r="462" spans="2:7" x14ac:dyDescent="0.3">
      <c r="B462" s="60">
        <v>459</v>
      </c>
      <c r="C462" s="58">
        <v>37391</v>
      </c>
      <c r="D462" s="57">
        <v>3364</v>
      </c>
      <c r="E462" s="58">
        <v>10952</v>
      </c>
      <c r="F462" s="59">
        <v>380</v>
      </c>
      <c r="G462" s="18">
        <v>5.1256736549999999</v>
      </c>
    </row>
    <row r="463" spans="2:7" x14ac:dyDescent="0.3">
      <c r="B463" s="60">
        <v>460</v>
      </c>
      <c r="C463" s="58">
        <v>56727</v>
      </c>
      <c r="D463" s="57">
        <v>5362</v>
      </c>
      <c r="E463" s="58">
        <v>6958</v>
      </c>
      <c r="F463" s="59">
        <v>423</v>
      </c>
      <c r="G463" s="18">
        <v>5.2649367549999999</v>
      </c>
    </row>
    <row r="464" spans="2:7" x14ac:dyDescent="0.3">
      <c r="B464" s="60">
        <v>461</v>
      </c>
      <c r="C464" s="58">
        <v>54572</v>
      </c>
      <c r="D464" s="57">
        <v>4929</v>
      </c>
      <c r="E464" s="58">
        <v>7822</v>
      </c>
      <c r="F464" s="59">
        <v>422</v>
      </c>
      <c r="G464" s="18">
        <v>5.2650879379999997</v>
      </c>
    </row>
    <row r="465" spans="2:7" x14ac:dyDescent="0.3">
      <c r="B465" s="60">
        <v>462</v>
      </c>
      <c r="C465" s="58">
        <v>31225</v>
      </c>
      <c r="D465" s="57">
        <v>3403</v>
      </c>
      <c r="E465" s="58">
        <v>10875</v>
      </c>
      <c r="F465" s="59">
        <v>367</v>
      </c>
      <c r="G465" s="18">
        <v>5.4087564549999998</v>
      </c>
    </row>
    <row r="466" spans="2:7" x14ac:dyDescent="0.3">
      <c r="B466" s="60">
        <v>463</v>
      </c>
      <c r="C466" s="58">
        <v>58883</v>
      </c>
      <c r="D466" s="57">
        <v>5430</v>
      </c>
      <c r="E466" s="58">
        <v>6822</v>
      </c>
      <c r="F466" s="59">
        <v>425</v>
      </c>
      <c r="G466" s="18">
        <v>3.7417212069999999</v>
      </c>
    </row>
    <row r="467" spans="2:7" x14ac:dyDescent="0.3">
      <c r="B467" s="60">
        <v>464</v>
      </c>
      <c r="C467" s="58">
        <v>34004</v>
      </c>
      <c r="D467" s="57">
        <v>3021</v>
      </c>
      <c r="E467" s="58">
        <v>11639</v>
      </c>
      <c r="F467" s="59">
        <v>372</v>
      </c>
      <c r="G467" s="18">
        <v>3.8506143399999999</v>
      </c>
    </row>
    <row r="468" spans="2:7" x14ac:dyDescent="0.3">
      <c r="B468" s="60">
        <v>465</v>
      </c>
      <c r="C468" s="58">
        <v>45337</v>
      </c>
      <c r="D468" s="57">
        <v>4809</v>
      </c>
      <c r="E468" s="58">
        <v>8063</v>
      </c>
      <c r="F468" s="59">
        <v>394</v>
      </c>
      <c r="G468" s="18">
        <v>4.3381708080000001</v>
      </c>
    </row>
    <row r="469" spans="2:7" x14ac:dyDescent="0.3">
      <c r="B469" s="60">
        <v>466</v>
      </c>
      <c r="C469" s="58">
        <v>51520</v>
      </c>
      <c r="D469" s="57">
        <v>5494</v>
      </c>
      <c r="E469" s="58">
        <v>6692</v>
      </c>
      <c r="F469" s="59">
        <v>412</v>
      </c>
      <c r="G469" s="18">
        <v>4.3527090680000002</v>
      </c>
    </row>
    <row r="470" spans="2:7" x14ac:dyDescent="0.3">
      <c r="B470" s="60">
        <v>467</v>
      </c>
      <c r="C470" s="58">
        <v>49332</v>
      </c>
      <c r="D470" s="57">
        <v>4627</v>
      </c>
      <c r="E470" s="58">
        <v>8426</v>
      </c>
      <c r="F470" s="59">
        <v>415</v>
      </c>
      <c r="G470" s="18">
        <v>5.562539868</v>
      </c>
    </row>
    <row r="471" spans="2:7" x14ac:dyDescent="0.3">
      <c r="B471" s="60">
        <v>468</v>
      </c>
      <c r="C471" s="58">
        <v>46760</v>
      </c>
      <c r="D471" s="57">
        <v>4835</v>
      </c>
      <c r="E471" s="58">
        <v>8011</v>
      </c>
      <c r="F471" s="59">
        <v>402</v>
      </c>
      <c r="G471" s="18">
        <v>4.4095274099999999</v>
      </c>
    </row>
    <row r="472" spans="2:7" x14ac:dyDescent="0.3">
      <c r="B472" s="60">
        <v>469</v>
      </c>
      <c r="C472" s="58">
        <v>64640</v>
      </c>
      <c r="D472" s="57">
        <v>6779</v>
      </c>
      <c r="E472" s="58">
        <v>4124</v>
      </c>
      <c r="F472" s="59">
        <v>431</v>
      </c>
      <c r="G472" s="18">
        <v>4.2507422579999998</v>
      </c>
    </row>
    <row r="473" spans="2:7" x14ac:dyDescent="0.3">
      <c r="B473" s="60">
        <v>470</v>
      </c>
      <c r="C473" s="58">
        <v>52341</v>
      </c>
      <c r="D473" s="57">
        <v>5413</v>
      </c>
      <c r="E473" s="58">
        <v>6855</v>
      </c>
      <c r="F473" s="59">
        <v>420</v>
      </c>
      <c r="G473" s="18">
        <v>5.4362397739999997</v>
      </c>
    </row>
    <row r="474" spans="2:7" x14ac:dyDescent="0.3">
      <c r="B474" s="60">
        <v>471</v>
      </c>
      <c r="C474" s="58">
        <v>39689</v>
      </c>
      <c r="D474" s="57">
        <v>3882</v>
      </c>
      <c r="E474" s="58">
        <v>9918</v>
      </c>
      <c r="F474" s="59">
        <v>388</v>
      </c>
      <c r="G474" s="18">
        <v>6.4170840760000001</v>
      </c>
    </row>
    <row r="475" spans="2:7" x14ac:dyDescent="0.3">
      <c r="B475" s="60">
        <v>472</v>
      </c>
      <c r="C475" s="58">
        <v>30495</v>
      </c>
      <c r="D475" s="57">
        <v>3076</v>
      </c>
      <c r="E475" s="58">
        <v>11529</v>
      </c>
      <c r="F475" s="59">
        <v>365</v>
      </c>
      <c r="G475" s="18">
        <v>4.1975389229999998</v>
      </c>
    </row>
    <row r="476" spans="2:7" x14ac:dyDescent="0.3">
      <c r="B476" s="60">
        <v>473</v>
      </c>
      <c r="C476" s="58">
        <v>36686</v>
      </c>
      <c r="D476" s="57">
        <v>3383</v>
      </c>
      <c r="E476" s="58">
        <v>10915</v>
      </c>
      <c r="F476" s="59">
        <v>376</v>
      </c>
      <c r="G476" s="18">
        <v>4.7967610909999996</v>
      </c>
    </row>
    <row r="477" spans="2:7" x14ac:dyDescent="0.3">
      <c r="B477" s="60">
        <v>474</v>
      </c>
      <c r="C477" s="58">
        <v>70426</v>
      </c>
      <c r="D477" s="57">
        <v>6747</v>
      </c>
      <c r="E477" s="58">
        <v>4187</v>
      </c>
      <c r="F477" s="59">
        <v>445</v>
      </c>
      <c r="G477" s="18">
        <v>5.7833725940000003</v>
      </c>
    </row>
    <row r="478" spans="2:7" x14ac:dyDescent="0.3">
      <c r="B478" s="60">
        <v>475</v>
      </c>
      <c r="C478" s="58">
        <v>70305</v>
      </c>
      <c r="D478" s="57">
        <v>7159</v>
      </c>
      <c r="E478" s="58">
        <v>3363</v>
      </c>
      <c r="F478" s="59">
        <v>435</v>
      </c>
      <c r="G478" s="18">
        <v>5.0534540029999997</v>
      </c>
    </row>
    <row r="479" spans="2:7" x14ac:dyDescent="0.3">
      <c r="B479" s="60">
        <v>476</v>
      </c>
      <c r="C479" s="58">
        <v>41677</v>
      </c>
      <c r="D479" s="57">
        <v>3255</v>
      </c>
      <c r="E479" s="58">
        <v>11171</v>
      </c>
      <c r="F479" s="59">
        <v>390</v>
      </c>
      <c r="G479" s="18">
        <v>5.3735812879999996</v>
      </c>
    </row>
    <row r="480" spans="2:7" x14ac:dyDescent="0.3">
      <c r="B480" s="60">
        <v>477</v>
      </c>
      <c r="C480" s="58">
        <v>32060</v>
      </c>
      <c r="D480" s="57">
        <v>3350</v>
      </c>
      <c r="E480" s="58">
        <v>10981</v>
      </c>
      <c r="F480" s="59">
        <v>372</v>
      </c>
      <c r="G480" s="18">
        <v>4.8191832999999997</v>
      </c>
    </row>
    <row r="481" spans="2:7" x14ac:dyDescent="0.3">
      <c r="B481" s="60">
        <v>478</v>
      </c>
      <c r="C481" s="58">
        <v>51147</v>
      </c>
      <c r="D481" s="57">
        <v>4773</v>
      </c>
      <c r="E481" s="58">
        <v>8135</v>
      </c>
      <c r="F481" s="59">
        <v>412</v>
      </c>
      <c r="G481" s="18">
        <v>4.4937967529999998</v>
      </c>
    </row>
    <row r="482" spans="2:7" x14ac:dyDescent="0.3">
      <c r="B482" s="60">
        <v>479</v>
      </c>
      <c r="C482" s="58">
        <v>58783</v>
      </c>
      <c r="D482" s="57">
        <v>5749</v>
      </c>
      <c r="E482" s="58">
        <v>6184</v>
      </c>
      <c r="F482" s="59">
        <v>438</v>
      </c>
      <c r="G482" s="18">
        <v>4.9659311199999996</v>
      </c>
    </row>
    <row r="483" spans="2:7" x14ac:dyDescent="0.3">
      <c r="B483" s="60">
        <v>480</v>
      </c>
      <c r="C483" s="58">
        <v>45346</v>
      </c>
      <c r="D483" s="57">
        <v>4862</v>
      </c>
      <c r="E483" s="58">
        <v>7957</v>
      </c>
      <c r="F483" s="59">
        <v>401</v>
      </c>
      <c r="G483" s="18">
        <v>4.6654503329999999</v>
      </c>
    </row>
    <row r="484" spans="2:7" x14ac:dyDescent="0.3">
      <c r="B484" s="60">
        <v>481</v>
      </c>
      <c r="C484" s="58">
        <v>53366</v>
      </c>
      <c r="D484" s="57">
        <v>5109</v>
      </c>
      <c r="E484" s="58">
        <v>7463</v>
      </c>
      <c r="F484" s="59">
        <v>417</v>
      </c>
      <c r="G484" s="18">
        <v>4.1273304639999999</v>
      </c>
    </row>
    <row r="485" spans="2:7" x14ac:dyDescent="0.3">
      <c r="B485" s="60">
        <v>482</v>
      </c>
      <c r="C485" s="58">
        <v>63935</v>
      </c>
      <c r="D485" s="57">
        <v>6687</v>
      </c>
      <c r="E485" s="58">
        <v>4306</v>
      </c>
      <c r="F485" s="59">
        <v>434</v>
      </c>
      <c r="G485" s="18">
        <v>5.3688954899999999</v>
      </c>
    </row>
    <row r="486" spans="2:7" x14ac:dyDescent="0.3">
      <c r="B486" s="60">
        <v>483</v>
      </c>
      <c r="C486" s="58">
        <v>33321</v>
      </c>
      <c r="D486" s="57">
        <v>2737</v>
      </c>
      <c r="E486" s="58">
        <v>12208</v>
      </c>
      <c r="F486" s="59">
        <v>369</v>
      </c>
      <c r="G486" s="18">
        <v>4.7173676440000003</v>
      </c>
    </row>
    <row r="487" spans="2:7" x14ac:dyDescent="0.3">
      <c r="B487" s="60">
        <v>484</v>
      </c>
      <c r="C487" s="58">
        <v>42445</v>
      </c>
      <c r="D487" s="57">
        <v>5023</v>
      </c>
      <c r="E487" s="58">
        <v>7634</v>
      </c>
      <c r="F487" s="59">
        <v>407</v>
      </c>
      <c r="G487" s="18">
        <v>4.8740417410000001</v>
      </c>
    </row>
    <row r="488" spans="2:7" x14ac:dyDescent="0.3">
      <c r="B488" s="60">
        <v>485</v>
      </c>
      <c r="C488" s="58">
        <v>69803</v>
      </c>
      <c r="D488" s="57">
        <v>6300</v>
      </c>
      <c r="E488" s="58">
        <v>5081</v>
      </c>
      <c r="F488" s="59">
        <v>448</v>
      </c>
      <c r="G488" s="18">
        <v>4.7576169459999997</v>
      </c>
    </row>
    <row r="489" spans="2:7" x14ac:dyDescent="0.3">
      <c r="B489" s="60">
        <v>486</v>
      </c>
      <c r="C489" s="58">
        <v>31335</v>
      </c>
      <c r="D489" s="57">
        <v>4128</v>
      </c>
      <c r="E489" s="58">
        <v>9425</v>
      </c>
      <c r="F489" s="59">
        <v>363</v>
      </c>
      <c r="G489" s="18">
        <v>4.5960671450000001</v>
      </c>
    </row>
    <row r="490" spans="2:7" x14ac:dyDescent="0.3">
      <c r="B490" s="60">
        <v>487</v>
      </c>
      <c r="C490" s="58">
        <v>53694</v>
      </c>
      <c r="D490" s="57">
        <v>5417</v>
      </c>
      <c r="E490" s="58">
        <v>6848</v>
      </c>
      <c r="F490" s="59">
        <v>418</v>
      </c>
      <c r="G490" s="18">
        <v>9.2136565770000001</v>
      </c>
    </row>
    <row r="491" spans="2:7" x14ac:dyDescent="0.3">
      <c r="B491" s="60">
        <v>488</v>
      </c>
      <c r="C491" s="58">
        <v>50171</v>
      </c>
      <c r="D491" s="57">
        <v>5721</v>
      </c>
      <c r="E491" s="58">
        <v>6240</v>
      </c>
      <c r="F491" s="59">
        <v>409</v>
      </c>
      <c r="G491" s="18">
        <v>4.5090200930000002</v>
      </c>
    </row>
    <row r="492" spans="2:7" x14ac:dyDescent="0.3">
      <c r="B492" s="60">
        <v>489</v>
      </c>
      <c r="C492" s="58">
        <v>63505</v>
      </c>
      <c r="D492" s="57">
        <v>7032</v>
      </c>
      <c r="E492" s="58">
        <v>3617</v>
      </c>
      <c r="F492" s="59">
        <v>428</v>
      </c>
      <c r="G492" s="18">
        <v>6.1094131479999998</v>
      </c>
    </row>
    <row r="493" spans="2:7" x14ac:dyDescent="0.3">
      <c r="B493" s="60">
        <v>490</v>
      </c>
      <c r="C493" s="58">
        <v>57488</v>
      </c>
      <c r="D493" s="57">
        <v>6081</v>
      </c>
      <c r="E493" s="58">
        <v>5520</v>
      </c>
      <c r="F493" s="59">
        <v>423</v>
      </c>
      <c r="G493" s="18">
        <v>4.1872834599999997</v>
      </c>
    </row>
    <row r="494" spans="2:7" x14ac:dyDescent="0.3">
      <c r="B494" s="60">
        <v>491</v>
      </c>
      <c r="C494" s="58">
        <v>40657</v>
      </c>
      <c r="D494" s="57">
        <v>4637</v>
      </c>
      <c r="E494" s="58">
        <v>8407</v>
      </c>
      <c r="F494" s="59">
        <v>392</v>
      </c>
      <c r="G494" s="18">
        <v>4.6364143289999999</v>
      </c>
    </row>
    <row r="495" spans="2:7" x14ac:dyDescent="0.3">
      <c r="B495" s="60">
        <v>492</v>
      </c>
      <c r="C495" s="58">
        <v>43272</v>
      </c>
      <c r="D495" s="57">
        <v>3970</v>
      </c>
      <c r="E495" s="58">
        <v>9742</v>
      </c>
      <c r="F495" s="59">
        <v>402</v>
      </c>
      <c r="G495" s="18">
        <v>4.5315864550000002</v>
      </c>
    </row>
    <row r="496" spans="2:7" x14ac:dyDescent="0.3">
      <c r="B496" s="60">
        <v>493</v>
      </c>
      <c r="C496" s="58">
        <v>46415</v>
      </c>
      <c r="D496" s="57">
        <v>4922</v>
      </c>
      <c r="E496" s="58">
        <v>7838</v>
      </c>
      <c r="F496" s="59">
        <v>410</v>
      </c>
      <c r="G496" s="18">
        <v>5.3278267799999997</v>
      </c>
    </row>
    <row r="497" spans="2:7" x14ac:dyDescent="0.3">
      <c r="B497" s="60">
        <v>494</v>
      </c>
      <c r="C497" s="58">
        <v>44392</v>
      </c>
      <c r="D497" s="57">
        <v>4687</v>
      </c>
      <c r="E497" s="58">
        <v>8306</v>
      </c>
      <c r="F497" s="59">
        <v>402</v>
      </c>
      <c r="G497" s="18">
        <v>5.100317284</v>
      </c>
    </row>
    <row r="498" spans="2:7" x14ac:dyDescent="0.3">
      <c r="B498" s="60">
        <v>495</v>
      </c>
      <c r="C498" s="58">
        <v>55205</v>
      </c>
      <c r="D498" s="57">
        <v>6557</v>
      </c>
      <c r="E498" s="58">
        <v>4566</v>
      </c>
      <c r="F498" s="59">
        <v>421</v>
      </c>
      <c r="G498" s="18">
        <v>3.329076557</v>
      </c>
    </row>
    <row r="499" spans="2:7" x14ac:dyDescent="0.3">
      <c r="B499" s="60">
        <v>496</v>
      </c>
      <c r="C499" s="58">
        <v>65104</v>
      </c>
      <c r="D499" s="57">
        <v>5931</v>
      </c>
      <c r="E499" s="58">
        <v>5819</v>
      </c>
      <c r="F499" s="59">
        <v>440</v>
      </c>
      <c r="G499" s="18">
        <v>4.985777487</v>
      </c>
    </row>
    <row r="500" spans="2:7" x14ac:dyDescent="0.3">
      <c r="B500" s="60">
        <v>497</v>
      </c>
      <c r="C500" s="58">
        <v>51671</v>
      </c>
      <c r="D500" s="57">
        <v>4887</v>
      </c>
      <c r="E500" s="58">
        <v>7907</v>
      </c>
      <c r="F500" s="59">
        <v>411</v>
      </c>
      <c r="G500" s="18">
        <v>4.3935345119999996</v>
      </c>
    </row>
    <row r="501" spans="2:7" x14ac:dyDescent="0.3">
      <c r="B501" s="60">
        <v>498</v>
      </c>
      <c r="C501" s="58">
        <v>44359</v>
      </c>
      <c r="D501" s="57">
        <v>4301</v>
      </c>
      <c r="E501" s="58">
        <v>9079</v>
      </c>
      <c r="F501" s="59">
        <v>408</v>
      </c>
      <c r="G501" s="18">
        <v>4.2679483630000004</v>
      </c>
    </row>
    <row r="502" spans="2:7" x14ac:dyDescent="0.3">
      <c r="B502" s="60">
        <v>499</v>
      </c>
      <c r="C502" s="58">
        <v>51025</v>
      </c>
      <c r="D502" s="57">
        <v>5058</v>
      </c>
      <c r="E502" s="58">
        <v>7565</v>
      </c>
      <c r="F502" s="59">
        <v>411</v>
      </c>
      <c r="G502" s="18">
        <v>4.3787224269999996</v>
      </c>
    </row>
    <row r="503" spans="2:7" x14ac:dyDescent="0.3">
      <c r="B503" s="60">
        <v>500</v>
      </c>
      <c r="C503" s="58">
        <v>46814</v>
      </c>
      <c r="D503" s="57">
        <v>4903</v>
      </c>
      <c r="E503" s="58">
        <v>7876</v>
      </c>
      <c r="F503" s="59">
        <v>399</v>
      </c>
      <c r="G503" s="18">
        <v>5.9462483710000003</v>
      </c>
    </row>
    <row r="504" spans="2:7" x14ac:dyDescent="0.3">
      <c r="B504" s="60">
        <v>501</v>
      </c>
      <c r="C504" s="58">
        <v>59545</v>
      </c>
      <c r="D504" s="57">
        <v>6186</v>
      </c>
      <c r="E504" s="58">
        <v>5309</v>
      </c>
      <c r="F504" s="59">
        <v>431</v>
      </c>
      <c r="G504" s="18">
        <v>5.4605282319999997</v>
      </c>
    </row>
    <row r="505" spans="2:7" x14ac:dyDescent="0.3">
      <c r="B505" s="60">
        <v>502</v>
      </c>
      <c r="C505" s="58">
        <v>39055</v>
      </c>
      <c r="D505" s="57">
        <v>4326</v>
      </c>
      <c r="E505" s="58">
        <v>9030</v>
      </c>
      <c r="F505" s="59">
        <v>383</v>
      </c>
      <c r="G505" s="18">
        <v>5.8636476420000001</v>
      </c>
    </row>
    <row r="506" spans="2:7" x14ac:dyDescent="0.3">
      <c r="B506" s="60">
        <v>503</v>
      </c>
      <c r="C506" s="58">
        <v>66773</v>
      </c>
      <c r="D506" s="57">
        <v>6783</v>
      </c>
      <c r="E506" s="58">
        <v>4115</v>
      </c>
      <c r="F506" s="59">
        <v>444</v>
      </c>
      <c r="G506" s="18">
        <v>4.8959848170000004</v>
      </c>
    </row>
    <row r="507" spans="2:7" x14ac:dyDescent="0.3">
      <c r="B507" s="60">
        <v>504</v>
      </c>
      <c r="C507" s="58">
        <v>72764</v>
      </c>
      <c r="D507" s="57">
        <v>7244</v>
      </c>
      <c r="E507" s="58">
        <v>3194</v>
      </c>
      <c r="F507" s="59">
        <v>447</v>
      </c>
      <c r="G507" s="18">
        <v>4.2051860139999997</v>
      </c>
    </row>
    <row r="508" spans="2:7" x14ac:dyDescent="0.3">
      <c r="B508" s="60">
        <v>505</v>
      </c>
      <c r="C508" s="58">
        <v>65751</v>
      </c>
      <c r="D508" s="57">
        <v>7370</v>
      </c>
      <c r="E508" s="58">
        <v>2941</v>
      </c>
      <c r="F508" s="59">
        <v>436</v>
      </c>
      <c r="G508" s="18">
        <v>5.162924093</v>
      </c>
    </row>
    <row r="509" spans="2:7" x14ac:dyDescent="0.3">
      <c r="B509" s="60">
        <v>506</v>
      </c>
      <c r="C509" s="58">
        <v>52893</v>
      </c>
      <c r="D509" s="57">
        <v>5037</v>
      </c>
      <c r="E509" s="58">
        <v>7606</v>
      </c>
      <c r="F509" s="59">
        <v>415</v>
      </c>
      <c r="G509" s="18">
        <v>5.2213336689999998</v>
      </c>
    </row>
    <row r="510" spans="2:7" x14ac:dyDescent="0.3">
      <c r="B510" s="60">
        <v>507</v>
      </c>
      <c r="C510" s="58">
        <v>28807</v>
      </c>
      <c r="D510" s="57">
        <v>3147</v>
      </c>
      <c r="E510" s="58">
        <v>11387</v>
      </c>
      <c r="F510" s="59">
        <v>350</v>
      </c>
      <c r="G510" s="18">
        <v>3.0796251360000002</v>
      </c>
    </row>
    <row r="511" spans="2:7" x14ac:dyDescent="0.3">
      <c r="B511" s="60">
        <v>508</v>
      </c>
      <c r="C511" s="58">
        <v>46179</v>
      </c>
      <c r="D511" s="57">
        <v>4323</v>
      </c>
      <c r="E511" s="58">
        <v>9035</v>
      </c>
      <c r="F511" s="59">
        <v>404</v>
      </c>
      <c r="G511" s="18">
        <v>5.7612000070000002</v>
      </c>
    </row>
    <row r="512" spans="2:7" x14ac:dyDescent="0.3">
      <c r="B512" s="60">
        <v>509</v>
      </c>
      <c r="C512" s="58">
        <v>62596</v>
      </c>
      <c r="D512" s="57">
        <v>6219</v>
      </c>
      <c r="E512" s="58">
        <v>5244</v>
      </c>
      <c r="F512" s="59">
        <v>425</v>
      </c>
      <c r="G512" s="18">
        <v>4.603083625</v>
      </c>
    </row>
    <row r="513" spans="2:7" x14ac:dyDescent="0.3">
      <c r="B513" s="60">
        <v>510</v>
      </c>
      <c r="C513" s="58">
        <v>39409</v>
      </c>
      <c r="D513" s="57">
        <v>3679</v>
      </c>
      <c r="E513" s="58">
        <v>10323</v>
      </c>
      <c r="F513" s="59">
        <v>388</v>
      </c>
      <c r="G513" s="18">
        <v>6.6275430699999998</v>
      </c>
    </row>
    <row r="514" spans="2:7" x14ac:dyDescent="0.3">
      <c r="B514" s="60">
        <v>511</v>
      </c>
      <c r="C514" s="58">
        <v>48021</v>
      </c>
      <c r="D514" s="57">
        <v>4547</v>
      </c>
      <c r="E514" s="58">
        <v>8587</v>
      </c>
      <c r="F514" s="59">
        <v>414</v>
      </c>
      <c r="G514" s="18">
        <v>5.0353486609999996</v>
      </c>
    </row>
    <row r="515" spans="2:7" x14ac:dyDescent="0.3">
      <c r="B515" s="60">
        <v>512</v>
      </c>
      <c r="C515" s="58">
        <v>70304</v>
      </c>
      <c r="D515" s="57">
        <v>7163</v>
      </c>
      <c r="E515" s="58">
        <v>3354</v>
      </c>
      <c r="F515" s="59">
        <v>445</v>
      </c>
      <c r="G515" s="18">
        <v>6.6637526239999998</v>
      </c>
    </row>
    <row r="516" spans="2:7" x14ac:dyDescent="0.3">
      <c r="B516" s="60">
        <v>513</v>
      </c>
      <c r="C516" s="58">
        <v>57518</v>
      </c>
      <c r="D516" s="57">
        <v>5225</v>
      </c>
      <c r="E516" s="58">
        <v>7231</v>
      </c>
      <c r="F516" s="59">
        <v>422</v>
      </c>
      <c r="G516" s="18">
        <v>3.5682103980000002</v>
      </c>
    </row>
    <row r="517" spans="2:7" x14ac:dyDescent="0.3">
      <c r="B517" s="60">
        <v>514</v>
      </c>
      <c r="C517" s="58">
        <v>65083</v>
      </c>
      <c r="D517" s="57">
        <v>6082</v>
      </c>
      <c r="E517" s="58">
        <v>5517</v>
      </c>
      <c r="F517" s="59">
        <v>437</v>
      </c>
      <c r="G517" s="18">
        <v>4.6888442809999997</v>
      </c>
    </row>
    <row r="518" spans="2:7" x14ac:dyDescent="0.3">
      <c r="B518" s="60">
        <v>515</v>
      </c>
      <c r="C518" s="58">
        <v>24619</v>
      </c>
      <c r="D518" s="57">
        <v>1366</v>
      </c>
      <c r="E518" s="58">
        <v>14948</v>
      </c>
      <c r="F518" s="59">
        <v>345</v>
      </c>
      <c r="G518" s="18">
        <v>5.5382566449999997</v>
      </c>
    </row>
    <row r="519" spans="2:7" x14ac:dyDescent="0.3">
      <c r="B519" s="60">
        <v>516</v>
      </c>
      <c r="C519" s="58">
        <v>37558</v>
      </c>
      <c r="D519" s="57">
        <v>4083</v>
      </c>
      <c r="E519" s="58">
        <v>9514</v>
      </c>
      <c r="F519" s="59">
        <v>383</v>
      </c>
      <c r="G519" s="18">
        <v>4.2912516119999999</v>
      </c>
    </row>
    <row r="520" spans="2:7" x14ac:dyDescent="0.3">
      <c r="B520" s="60">
        <v>517</v>
      </c>
      <c r="C520" s="58">
        <v>47570</v>
      </c>
      <c r="D520" s="57">
        <v>4728</v>
      </c>
      <c r="E520" s="58">
        <v>8225</v>
      </c>
      <c r="F520" s="59">
        <v>412</v>
      </c>
      <c r="G520" s="18">
        <v>6.0889060969999997</v>
      </c>
    </row>
    <row r="521" spans="2:7" x14ac:dyDescent="0.3">
      <c r="B521" s="60">
        <v>518</v>
      </c>
      <c r="C521" s="58">
        <v>36490</v>
      </c>
      <c r="D521" s="57">
        <v>3290</v>
      </c>
      <c r="E521" s="58">
        <v>11101</v>
      </c>
      <c r="F521" s="59">
        <v>379</v>
      </c>
      <c r="G521" s="18">
        <v>4.8097867809999997</v>
      </c>
    </row>
    <row r="522" spans="2:7" x14ac:dyDescent="0.3">
      <c r="B522" s="60">
        <v>519</v>
      </c>
      <c r="C522" s="58">
        <v>40389</v>
      </c>
      <c r="D522" s="57">
        <v>5571</v>
      </c>
      <c r="E522" s="58">
        <v>6540</v>
      </c>
      <c r="F522" s="59">
        <v>393</v>
      </c>
      <c r="G522" s="18">
        <v>4.9429705500000001</v>
      </c>
    </row>
    <row r="523" spans="2:7" x14ac:dyDescent="0.3">
      <c r="B523" s="60">
        <v>520</v>
      </c>
      <c r="C523" s="58">
        <v>38332</v>
      </c>
      <c r="D523" s="57">
        <v>3029</v>
      </c>
      <c r="E523" s="58">
        <v>11622</v>
      </c>
      <c r="F523" s="59">
        <v>401</v>
      </c>
      <c r="G523" s="18">
        <v>6.005858581</v>
      </c>
    </row>
    <row r="524" spans="2:7" x14ac:dyDescent="0.3">
      <c r="B524" s="60">
        <v>521</v>
      </c>
      <c r="C524" s="58">
        <v>57056</v>
      </c>
      <c r="D524" s="57">
        <v>6068</v>
      </c>
      <c r="E524" s="58">
        <v>5545</v>
      </c>
      <c r="F524" s="59">
        <v>420</v>
      </c>
      <c r="G524" s="18">
        <v>6.5586332690000004</v>
      </c>
    </row>
    <row r="525" spans="2:7" x14ac:dyDescent="0.3">
      <c r="B525" s="60">
        <v>522</v>
      </c>
      <c r="C525" s="58">
        <v>70754</v>
      </c>
      <c r="D525" s="57">
        <v>6853</v>
      </c>
      <c r="E525" s="58">
        <v>3974</v>
      </c>
      <c r="F525" s="59">
        <v>446</v>
      </c>
      <c r="G525" s="18">
        <v>5.4709454419999997</v>
      </c>
    </row>
    <row r="526" spans="2:7" x14ac:dyDescent="0.3">
      <c r="B526" s="60">
        <v>523</v>
      </c>
      <c r="C526" s="58">
        <v>16651</v>
      </c>
      <c r="D526" s="57">
        <v>2080</v>
      </c>
      <c r="E526" s="58">
        <v>13522</v>
      </c>
      <c r="F526" s="59">
        <v>301</v>
      </c>
      <c r="G526" s="18">
        <v>5.7684353220000002</v>
      </c>
    </row>
    <row r="527" spans="2:7" x14ac:dyDescent="0.3">
      <c r="B527" s="60">
        <v>524</v>
      </c>
      <c r="C527" s="58">
        <v>51994</v>
      </c>
      <c r="D527" s="57">
        <v>5870</v>
      </c>
      <c r="E527" s="58">
        <v>5942</v>
      </c>
      <c r="F527" s="59">
        <v>409</v>
      </c>
      <c r="G527" s="18">
        <v>4.0004563900000001</v>
      </c>
    </row>
    <row r="528" spans="2:7" x14ac:dyDescent="0.3">
      <c r="B528" s="60">
        <v>525</v>
      </c>
      <c r="C528" s="58">
        <v>43035</v>
      </c>
      <c r="D528" s="57">
        <v>3928</v>
      </c>
      <c r="E528" s="58">
        <v>9824</v>
      </c>
      <c r="F528" s="59">
        <v>394</v>
      </c>
      <c r="G528" s="18">
        <v>5.9252964800000001</v>
      </c>
    </row>
    <row r="529" spans="2:7" x14ac:dyDescent="0.3">
      <c r="B529" s="60">
        <v>526</v>
      </c>
      <c r="C529" s="58">
        <v>59023</v>
      </c>
      <c r="D529" s="57">
        <v>5570</v>
      </c>
      <c r="E529" s="58">
        <v>6540</v>
      </c>
      <c r="F529" s="59">
        <v>424</v>
      </c>
      <c r="G529" s="18">
        <v>2.8326978390000002</v>
      </c>
    </row>
    <row r="530" spans="2:7" x14ac:dyDescent="0.3">
      <c r="B530" s="60">
        <v>527</v>
      </c>
      <c r="C530" s="58">
        <v>51850</v>
      </c>
      <c r="D530" s="57">
        <v>5577</v>
      </c>
      <c r="E530" s="58">
        <v>6526</v>
      </c>
      <c r="F530" s="59">
        <v>409</v>
      </c>
      <c r="G530" s="18">
        <v>4.5554882640000001</v>
      </c>
    </row>
    <row r="531" spans="2:7" x14ac:dyDescent="0.3">
      <c r="B531" s="60">
        <v>528</v>
      </c>
      <c r="C531" s="58">
        <v>51817</v>
      </c>
      <c r="D531" s="57">
        <v>5043</v>
      </c>
      <c r="E531" s="58">
        <v>7594</v>
      </c>
      <c r="F531" s="59">
        <v>405</v>
      </c>
      <c r="G531" s="18">
        <v>3.947171897</v>
      </c>
    </row>
    <row r="532" spans="2:7" x14ac:dyDescent="0.3">
      <c r="B532" s="60">
        <v>529</v>
      </c>
      <c r="C532" s="58">
        <v>44920</v>
      </c>
      <c r="D532" s="57">
        <v>3897</v>
      </c>
      <c r="E532" s="58">
        <v>9887</v>
      </c>
      <c r="F532" s="59">
        <v>402</v>
      </c>
      <c r="G532" s="18">
        <v>4.1630466769999996</v>
      </c>
    </row>
    <row r="533" spans="2:7" x14ac:dyDescent="0.3">
      <c r="B533" s="60">
        <v>530</v>
      </c>
      <c r="C533" s="58">
        <v>49489</v>
      </c>
      <c r="D533" s="57">
        <v>5575</v>
      </c>
      <c r="E533" s="58">
        <v>6531</v>
      </c>
      <c r="F533" s="59">
        <v>412</v>
      </c>
      <c r="G533" s="18">
        <v>5.4313258190000004</v>
      </c>
    </row>
    <row r="534" spans="2:7" x14ac:dyDescent="0.3">
      <c r="B534" s="60">
        <v>531</v>
      </c>
      <c r="C534" s="58">
        <v>46720</v>
      </c>
      <c r="D534" s="57">
        <v>5096</v>
      </c>
      <c r="E534" s="58">
        <v>7488</v>
      </c>
      <c r="F534" s="59">
        <v>406</v>
      </c>
      <c r="G534" s="18">
        <v>5.721114171</v>
      </c>
    </row>
    <row r="535" spans="2:7" x14ac:dyDescent="0.3">
      <c r="B535" s="60">
        <v>532</v>
      </c>
      <c r="C535" s="58">
        <v>38716</v>
      </c>
      <c r="D535" s="57">
        <v>2851</v>
      </c>
      <c r="E535" s="58">
        <v>11980</v>
      </c>
      <c r="F535" s="59">
        <v>381</v>
      </c>
      <c r="G535" s="18">
        <v>6.4656001620000003</v>
      </c>
    </row>
    <row r="536" spans="2:7" x14ac:dyDescent="0.3">
      <c r="B536" s="60">
        <v>533</v>
      </c>
      <c r="C536" s="58">
        <v>44358</v>
      </c>
      <c r="D536" s="57">
        <v>3947</v>
      </c>
      <c r="E536" s="58">
        <v>9787</v>
      </c>
      <c r="F536" s="59">
        <v>398</v>
      </c>
      <c r="G536" s="18">
        <v>5.1134218499999999</v>
      </c>
    </row>
    <row r="537" spans="2:7" x14ac:dyDescent="0.3">
      <c r="B537" s="60">
        <v>534</v>
      </c>
      <c r="C537" s="58">
        <v>28022</v>
      </c>
      <c r="D537" s="57">
        <v>2299</v>
      </c>
      <c r="E537" s="58">
        <v>13082</v>
      </c>
      <c r="F537" s="59">
        <v>364</v>
      </c>
      <c r="G537" s="18">
        <v>5.9279485259999998</v>
      </c>
    </row>
    <row r="538" spans="2:7" x14ac:dyDescent="0.3">
      <c r="B538" s="60">
        <v>535</v>
      </c>
      <c r="C538" s="58">
        <v>58267</v>
      </c>
      <c r="D538" s="57">
        <v>4906</v>
      </c>
      <c r="E538" s="58">
        <v>7869</v>
      </c>
      <c r="F538" s="59">
        <v>427</v>
      </c>
      <c r="G538" s="18">
        <v>5.5425148440000003</v>
      </c>
    </row>
    <row r="539" spans="2:7" x14ac:dyDescent="0.3">
      <c r="B539" s="60">
        <v>536</v>
      </c>
      <c r="C539" s="58">
        <v>47539</v>
      </c>
      <c r="D539" s="57">
        <v>5914</v>
      </c>
      <c r="E539" s="58">
        <v>5853</v>
      </c>
      <c r="F539" s="59">
        <v>399</v>
      </c>
      <c r="G539" s="18">
        <v>5.3450377260000002</v>
      </c>
    </row>
    <row r="540" spans="2:7" x14ac:dyDescent="0.3">
      <c r="B540" s="60">
        <v>537</v>
      </c>
      <c r="C540" s="58">
        <v>48724</v>
      </c>
      <c r="D540" s="57">
        <v>4863</v>
      </c>
      <c r="E540" s="58">
        <v>7955</v>
      </c>
      <c r="F540" s="59">
        <v>407</v>
      </c>
      <c r="G540" s="18">
        <v>4.469666825</v>
      </c>
    </row>
    <row r="541" spans="2:7" x14ac:dyDescent="0.3">
      <c r="B541" s="60">
        <v>538</v>
      </c>
      <c r="C541" s="58">
        <v>44076</v>
      </c>
      <c r="D541" s="57">
        <v>5012</v>
      </c>
      <c r="E541" s="58">
        <v>7657</v>
      </c>
      <c r="F541" s="59">
        <v>396</v>
      </c>
      <c r="G541" s="18">
        <v>5.4045452159999998</v>
      </c>
    </row>
    <row r="542" spans="2:7" x14ac:dyDescent="0.3">
      <c r="B542" s="60">
        <v>539</v>
      </c>
      <c r="C542" s="58">
        <v>47220</v>
      </c>
      <c r="D542" s="57">
        <v>4443</v>
      </c>
      <c r="E542" s="58">
        <v>8795</v>
      </c>
      <c r="F542" s="59">
        <v>405</v>
      </c>
      <c r="G542" s="18">
        <v>5.3576397</v>
      </c>
    </row>
    <row r="543" spans="2:7" x14ac:dyDescent="0.3">
      <c r="B543" s="60">
        <v>540</v>
      </c>
      <c r="C543" s="58">
        <v>54640</v>
      </c>
      <c r="D543" s="57">
        <v>5043</v>
      </c>
      <c r="E543" s="58">
        <v>7596</v>
      </c>
      <c r="F543" s="59">
        <v>434</v>
      </c>
      <c r="G543" s="18">
        <v>5.5880149540000001</v>
      </c>
    </row>
    <row r="544" spans="2:7" x14ac:dyDescent="0.3">
      <c r="B544" s="60">
        <v>541</v>
      </c>
      <c r="C544" s="58">
        <v>54513</v>
      </c>
      <c r="D544" s="57">
        <v>5871</v>
      </c>
      <c r="E544" s="58">
        <v>5939</v>
      </c>
      <c r="F544" s="59">
        <v>423</v>
      </c>
      <c r="G544" s="18">
        <v>4.7364327829999997</v>
      </c>
    </row>
    <row r="545" spans="2:7" x14ac:dyDescent="0.3">
      <c r="B545" s="60">
        <v>542</v>
      </c>
      <c r="C545" s="58">
        <v>53409</v>
      </c>
      <c r="D545" s="57">
        <v>4341</v>
      </c>
      <c r="E545" s="58">
        <v>8999</v>
      </c>
      <c r="F545" s="59">
        <v>422</v>
      </c>
      <c r="G545" s="18">
        <v>5.8226624620000003</v>
      </c>
    </row>
    <row r="546" spans="2:7" x14ac:dyDescent="0.3">
      <c r="B546" s="60">
        <v>543</v>
      </c>
      <c r="C546" s="58">
        <v>45410</v>
      </c>
      <c r="D546" s="57">
        <v>4297</v>
      </c>
      <c r="E546" s="58">
        <v>9087</v>
      </c>
      <c r="F546" s="59">
        <v>396</v>
      </c>
      <c r="G546" s="18">
        <v>3.7946472060000001</v>
      </c>
    </row>
    <row r="547" spans="2:7" x14ac:dyDescent="0.3">
      <c r="B547" s="60">
        <v>544</v>
      </c>
      <c r="C547" s="58">
        <v>44964</v>
      </c>
      <c r="D547" s="57">
        <v>4297</v>
      </c>
      <c r="E547" s="58">
        <v>9088</v>
      </c>
      <c r="F547" s="59">
        <v>411</v>
      </c>
      <c r="G547" s="18">
        <v>4.0062085989999998</v>
      </c>
    </row>
    <row r="548" spans="2:7" x14ac:dyDescent="0.3">
      <c r="B548" s="60">
        <v>545</v>
      </c>
      <c r="C548" s="58">
        <v>47837</v>
      </c>
      <c r="D548" s="57">
        <v>4456</v>
      </c>
      <c r="E548" s="58">
        <v>8769</v>
      </c>
      <c r="F548" s="59">
        <v>403</v>
      </c>
      <c r="G548" s="18">
        <v>3.3589279959999998</v>
      </c>
    </row>
    <row r="549" spans="2:7" x14ac:dyDescent="0.3">
      <c r="B549" s="60">
        <v>546</v>
      </c>
      <c r="C549" s="58">
        <v>48201</v>
      </c>
      <c r="D549" s="57">
        <v>5637</v>
      </c>
      <c r="E549" s="58">
        <v>6407</v>
      </c>
      <c r="F549" s="59">
        <v>408</v>
      </c>
      <c r="G549" s="18">
        <v>4.5265633430000003</v>
      </c>
    </row>
    <row r="550" spans="2:7" x14ac:dyDescent="0.3">
      <c r="B550" s="60">
        <v>547</v>
      </c>
      <c r="C550" s="58">
        <v>44988</v>
      </c>
      <c r="D550" s="57">
        <v>5705</v>
      </c>
      <c r="E550" s="58">
        <v>6271</v>
      </c>
      <c r="F550" s="59">
        <v>392</v>
      </c>
      <c r="G550" s="18">
        <v>5.7069049810000001</v>
      </c>
    </row>
    <row r="551" spans="2:7" x14ac:dyDescent="0.3">
      <c r="B551" s="60">
        <v>548</v>
      </c>
      <c r="C551" s="58">
        <v>56918</v>
      </c>
      <c r="D551" s="57">
        <v>4886</v>
      </c>
      <c r="E551" s="58">
        <v>7908</v>
      </c>
      <c r="F551" s="59">
        <v>422</v>
      </c>
      <c r="G551" s="18">
        <v>4.0314370720000001</v>
      </c>
    </row>
    <row r="552" spans="2:7" x14ac:dyDescent="0.3">
      <c r="B552" s="60">
        <v>549</v>
      </c>
      <c r="C552" s="58">
        <v>37733</v>
      </c>
      <c r="D552" s="57">
        <v>3559</v>
      </c>
      <c r="E552" s="58">
        <v>10564</v>
      </c>
      <c r="F552" s="59">
        <v>390</v>
      </c>
      <c r="G552" s="18">
        <v>5.3106804609999996</v>
      </c>
    </row>
    <row r="553" spans="2:7" x14ac:dyDescent="0.3">
      <c r="B553" s="60">
        <v>550</v>
      </c>
      <c r="C553" s="58">
        <v>62332</v>
      </c>
      <c r="D553" s="57">
        <v>5642</v>
      </c>
      <c r="E553" s="58">
        <v>6398</v>
      </c>
      <c r="F553" s="59">
        <v>426</v>
      </c>
      <c r="G553" s="18">
        <v>5.4206318209999997</v>
      </c>
    </row>
    <row r="554" spans="2:7" x14ac:dyDescent="0.3">
      <c r="B554" s="60">
        <v>551</v>
      </c>
      <c r="C554" s="58">
        <v>49412</v>
      </c>
      <c r="D554" s="57">
        <v>4765</v>
      </c>
      <c r="E554" s="58">
        <v>8151</v>
      </c>
      <c r="F554" s="59">
        <v>411</v>
      </c>
      <c r="G554" s="18">
        <v>6.2534726940000001</v>
      </c>
    </row>
    <row r="555" spans="2:7" x14ac:dyDescent="0.3">
      <c r="B555" s="60">
        <v>552</v>
      </c>
      <c r="C555" s="58">
        <v>58112</v>
      </c>
      <c r="D555" s="57">
        <v>6178</v>
      </c>
      <c r="E555" s="58">
        <v>5324</v>
      </c>
      <c r="F555" s="59">
        <v>430</v>
      </c>
      <c r="G555" s="18">
        <v>5.0710098429999997</v>
      </c>
    </row>
    <row r="556" spans="2:7" x14ac:dyDescent="0.3">
      <c r="B556" s="60">
        <v>553</v>
      </c>
      <c r="C556" s="58">
        <v>52959</v>
      </c>
      <c r="D556" s="57">
        <v>4343</v>
      </c>
      <c r="E556" s="58">
        <v>8994</v>
      </c>
      <c r="F556" s="59">
        <v>413</v>
      </c>
      <c r="G556" s="18">
        <v>6.9843294870000001</v>
      </c>
    </row>
    <row r="557" spans="2:7" x14ac:dyDescent="0.3">
      <c r="B557" s="60">
        <v>554</v>
      </c>
      <c r="C557" s="58">
        <v>43609</v>
      </c>
      <c r="D557" s="57">
        <v>4800</v>
      </c>
      <c r="E557" s="58">
        <v>8082</v>
      </c>
      <c r="F557" s="59">
        <v>407</v>
      </c>
      <c r="G557" s="18">
        <v>4.8843227369999997</v>
      </c>
    </row>
    <row r="558" spans="2:7" x14ac:dyDescent="0.3">
      <c r="B558" s="60">
        <v>555</v>
      </c>
      <c r="C558" s="58">
        <v>42054</v>
      </c>
      <c r="D558" s="57">
        <v>4470</v>
      </c>
      <c r="E558" s="58">
        <v>8742</v>
      </c>
      <c r="F558" s="59">
        <v>389</v>
      </c>
      <c r="G558" s="18">
        <v>3.7614525240000001</v>
      </c>
    </row>
    <row r="559" spans="2:7" x14ac:dyDescent="0.3">
      <c r="B559" s="60">
        <v>556</v>
      </c>
      <c r="C559" s="58">
        <v>44295</v>
      </c>
      <c r="D559" s="57">
        <v>5783</v>
      </c>
      <c r="E559" s="58">
        <v>6116</v>
      </c>
      <c r="F559" s="59">
        <v>394</v>
      </c>
      <c r="G559" s="18">
        <v>5.2018212970000004</v>
      </c>
    </row>
    <row r="560" spans="2:7" x14ac:dyDescent="0.3">
      <c r="B560" s="60">
        <v>557</v>
      </c>
      <c r="C560" s="58">
        <v>40543</v>
      </c>
      <c r="D560" s="57">
        <v>4969</v>
      </c>
      <c r="E560" s="58">
        <v>7742</v>
      </c>
      <c r="F560" s="59">
        <v>383</v>
      </c>
      <c r="G560" s="18">
        <v>5.3146372319999999</v>
      </c>
    </row>
    <row r="561" spans="2:7" x14ac:dyDescent="0.3">
      <c r="B561" s="60">
        <v>558</v>
      </c>
      <c r="C561" s="58">
        <v>58525</v>
      </c>
      <c r="D561" s="57">
        <v>5723</v>
      </c>
      <c r="E561" s="58">
        <v>6236</v>
      </c>
      <c r="F561" s="59">
        <v>420</v>
      </c>
      <c r="G561" s="18">
        <v>6.3381408959999996</v>
      </c>
    </row>
    <row r="562" spans="2:7" x14ac:dyDescent="0.3">
      <c r="B562" s="60">
        <v>559</v>
      </c>
      <c r="C562" s="58">
        <v>57661</v>
      </c>
      <c r="D562" s="57">
        <v>6081</v>
      </c>
      <c r="E562" s="58">
        <v>5520</v>
      </c>
      <c r="F562" s="59">
        <v>435</v>
      </c>
      <c r="G562" s="18">
        <v>5.7020480999999998</v>
      </c>
    </row>
    <row r="563" spans="2:7" x14ac:dyDescent="0.3">
      <c r="B563" s="60">
        <v>560</v>
      </c>
      <c r="C563" s="58">
        <v>43695</v>
      </c>
      <c r="D563" s="57">
        <v>5671</v>
      </c>
      <c r="E563" s="58">
        <v>6339</v>
      </c>
      <c r="F563" s="59">
        <v>396</v>
      </c>
      <c r="G563" s="18">
        <v>4.5736810209999996</v>
      </c>
    </row>
    <row r="564" spans="2:7" x14ac:dyDescent="0.3">
      <c r="B564" s="60">
        <v>561</v>
      </c>
      <c r="C564" s="58">
        <v>51225</v>
      </c>
      <c r="D564" s="57">
        <v>4765</v>
      </c>
      <c r="E564" s="58">
        <v>8150</v>
      </c>
      <c r="F564" s="59">
        <v>414</v>
      </c>
      <c r="G564" s="18">
        <v>2.8472365399999999</v>
      </c>
    </row>
    <row r="565" spans="2:7" x14ac:dyDescent="0.3">
      <c r="B565" s="60">
        <v>562</v>
      </c>
      <c r="C565" s="58">
        <v>55219</v>
      </c>
      <c r="D565" s="57">
        <v>5009</v>
      </c>
      <c r="E565" s="58">
        <v>7663</v>
      </c>
      <c r="F565" s="59">
        <v>420</v>
      </c>
      <c r="G565" s="18">
        <v>6.3051379680000004</v>
      </c>
    </row>
    <row r="566" spans="2:7" x14ac:dyDescent="0.3">
      <c r="B566" s="60">
        <v>563</v>
      </c>
      <c r="C566" s="58">
        <v>49337</v>
      </c>
      <c r="D566" s="57">
        <v>4418</v>
      </c>
      <c r="E566" s="58">
        <v>8846</v>
      </c>
      <c r="F566" s="59">
        <v>412</v>
      </c>
      <c r="G566" s="18">
        <v>6.5426884699999999</v>
      </c>
    </row>
    <row r="567" spans="2:7" x14ac:dyDescent="0.3">
      <c r="B567" s="60">
        <v>564</v>
      </c>
      <c r="C567" s="58">
        <v>62285</v>
      </c>
      <c r="D567" s="57">
        <v>6105</v>
      </c>
      <c r="E567" s="58">
        <v>5471</v>
      </c>
      <c r="F567" s="59">
        <v>440</v>
      </c>
      <c r="G567" s="18">
        <v>2.8269557449999998</v>
      </c>
    </row>
    <row r="568" spans="2:7" x14ac:dyDescent="0.3">
      <c r="B568" s="60">
        <v>565</v>
      </c>
      <c r="C568" s="58">
        <v>42206</v>
      </c>
      <c r="D568" s="57">
        <v>4154</v>
      </c>
      <c r="E568" s="58">
        <v>9373</v>
      </c>
      <c r="F568" s="59">
        <v>384</v>
      </c>
      <c r="G568" s="18">
        <v>5.7042505739999996</v>
      </c>
    </row>
    <row r="569" spans="2:7" x14ac:dyDescent="0.3">
      <c r="B569" s="60">
        <v>566</v>
      </c>
      <c r="C569" s="58">
        <v>53284</v>
      </c>
      <c r="D569" s="57">
        <v>4821</v>
      </c>
      <c r="E569" s="58">
        <v>8038</v>
      </c>
      <c r="F569" s="59">
        <v>416</v>
      </c>
      <c r="G569" s="18">
        <v>5.3723399399999998</v>
      </c>
    </row>
    <row r="570" spans="2:7" x14ac:dyDescent="0.3">
      <c r="B570" s="60">
        <v>567</v>
      </c>
      <c r="C570" s="58">
        <v>43589</v>
      </c>
      <c r="D570" s="57">
        <v>4507</v>
      </c>
      <c r="E570" s="58">
        <v>8668</v>
      </c>
      <c r="F570" s="59">
        <v>406</v>
      </c>
      <c r="G570" s="18">
        <v>5.81691599</v>
      </c>
    </row>
    <row r="571" spans="2:7" x14ac:dyDescent="0.3">
      <c r="B571" s="60">
        <v>568</v>
      </c>
      <c r="C571" s="58">
        <v>65819</v>
      </c>
      <c r="D571" s="57">
        <v>6442</v>
      </c>
      <c r="E571" s="58">
        <v>4797</v>
      </c>
      <c r="F571" s="59">
        <v>435</v>
      </c>
      <c r="G571" s="18">
        <v>4.0788360590000003</v>
      </c>
    </row>
    <row r="572" spans="2:7" x14ac:dyDescent="0.3">
      <c r="B572" s="60">
        <v>569</v>
      </c>
      <c r="C572" s="58">
        <v>40730</v>
      </c>
      <c r="D572" s="57">
        <v>4180</v>
      </c>
      <c r="E572" s="58">
        <v>9320</v>
      </c>
      <c r="F572" s="59">
        <v>393</v>
      </c>
      <c r="G572" s="18">
        <v>3.8015615010000001</v>
      </c>
    </row>
    <row r="573" spans="2:7" x14ac:dyDescent="0.3">
      <c r="B573" s="60">
        <v>570</v>
      </c>
      <c r="C573" s="58">
        <v>64935</v>
      </c>
      <c r="D573" s="57">
        <v>6712</v>
      </c>
      <c r="E573" s="58">
        <v>4258</v>
      </c>
      <c r="F573" s="59">
        <v>443</v>
      </c>
      <c r="G573" s="18">
        <v>5.1501998100000002</v>
      </c>
    </row>
    <row r="574" spans="2:7" x14ac:dyDescent="0.3">
      <c r="B574" s="60">
        <v>571</v>
      </c>
      <c r="C574" s="58">
        <v>61955</v>
      </c>
      <c r="D574" s="57">
        <v>6416</v>
      </c>
      <c r="E574" s="58">
        <v>4849</v>
      </c>
      <c r="F574" s="59">
        <v>431</v>
      </c>
      <c r="G574" s="18">
        <v>4.6363430179999998</v>
      </c>
    </row>
    <row r="575" spans="2:7" x14ac:dyDescent="0.3">
      <c r="B575" s="60">
        <v>572</v>
      </c>
      <c r="C575" s="58">
        <v>56376</v>
      </c>
      <c r="D575" s="57">
        <v>5363</v>
      </c>
      <c r="E575" s="58">
        <v>6956</v>
      </c>
      <c r="F575" s="59">
        <v>423</v>
      </c>
      <c r="G575" s="18">
        <v>4.7793122229999998</v>
      </c>
    </row>
    <row r="576" spans="2:7" x14ac:dyDescent="0.3">
      <c r="B576" s="60">
        <v>573</v>
      </c>
      <c r="C576" s="58">
        <v>41488</v>
      </c>
      <c r="D576" s="57">
        <v>3311</v>
      </c>
      <c r="E576" s="58">
        <v>11059</v>
      </c>
      <c r="F576" s="59">
        <v>401</v>
      </c>
      <c r="G576" s="18">
        <v>5.6464121120000001</v>
      </c>
    </row>
    <row r="577" spans="2:7" x14ac:dyDescent="0.3">
      <c r="B577" s="60">
        <v>574</v>
      </c>
      <c r="C577" s="58">
        <v>45495</v>
      </c>
      <c r="D577" s="57">
        <v>4949</v>
      </c>
      <c r="E577" s="58">
        <v>7783</v>
      </c>
      <c r="F577" s="59">
        <v>393</v>
      </c>
      <c r="G577" s="18">
        <v>5.7457226779999999</v>
      </c>
    </row>
    <row r="578" spans="2:7" x14ac:dyDescent="0.3">
      <c r="B578" s="60">
        <v>575</v>
      </c>
      <c r="C578" s="58">
        <v>38869</v>
      </c>
      <c r="D578" s="57">
        <v>4632</v>
      </c>
      <c r="E578" s="58">
        <v>8417</v>
      </c>
      <c r="F578" s="59">
        <v>386</v>
      </c>
      <c r="G578" s="18">
        <v>4.6799098600000004</v>
      </c>
    </row>
    <row r="579" spans="2:7" x14ac:dyDescent="0.3">
      <c r="B579" s="60">
        <v>576</v>
      </c>
      <c r="C579" s="58">
        <v>53348</v>
      </c>
      <c r="D579" s="57">
        <v>6229</v>
      </c>
      <c r="E579" s="58">
        <v>5223</v>
      </c>
      <c r="F579" s="59">
        <v>417</v>
      </c>
      <c r="G579" s="18">
        <v>4.485887044</v>
      </c>
    </row>
    <row r="580" spans="2:7" x14ac:dyDescent="0.3">
      <c r="B580" s="60">
        <v>577</v>
      </c>
      <c r="C580" s="58">
        <v>53702</v>
      </c>
      <c r="D580" s="57">
        <v>6055</v>
      </c>
      <c r="E580" s="58">
        <v>5572</v>
      </c>
      <c r="F580" s="59">
        <v>422</v>
      </c>
      <c r="G580" s="18">
        <v>3.6538573809999999</v>
      </c>
    </row>
    <row r="581" spans="2:7" x14ac:dyDescent="0.3">
      <c r="B581" s="60">
        <v>578</v>
      </c>
      <c r="C581" s="58">
        <v>53484</v>
      </c>
      <c r="D581" s="57">
        <v>6089</v>
      </c>
      <c r="E581" s="58">
        <v>5503</v>
      </c>
      <c r="F581" s="59">
        <v>416</v>
      </c>
      <c r="G581" s="18">
        <v>5.4521114309999996</v>
      </c>
    </row>
    <row r="582" spans="2:7" x14ac:dyDescent="0.3">
      <c r="B582" s="60">
        <v>579</v>
      </c>
      <c r="C582" s="58">
        <v>60053</v>
      </c>
      <c r="D582" s="57">
        <v>6820</v>
      </c>
      <c r="E582" s="58">
        <v>4040</v>
      </c>
      <c r="F582" s="59">
        <v>416</v>
      </c>
      <c r="G582" s="18">
        <v>5.9833272830000004</v>
      </c>
    </row>
    <row r="583" spans="2:7" x14ac:dyDescent="0.3">
      <c r="B583" s="60">
        <v>580</v>
      </c>
      <c r="C583" s="58">
        <v>46650</v>
      </c>
      <c r="D583" s="57">
        <v>4461</v>
      </c>
      <c r="E583" s="58">
        <v>8760</v>
      </c>
      <c r="F583" s="59">
        <v>403</v>
      </c>
      <c r="G583" s="18">
        <v>4.6717514290000004</v>
      </c>
    </row>
    <row r="584" spans="2:7" x14ac:dyDescent="0.3">
      <c r="B584" s="60">
        <v>581</v>
      </c>
      <c r="C584" s="58">
        <v>71199</v>
      </c>
      <c r="D584" s="57">
        <v>7132</v>
      </c>
      <c r="E584" s="58">
        <v>3416</v>
      </c>
      <c r="F584" s="59">
        <v>446</v>
      </c>
      <c r="G584" s="18">
        <v>4.7866870380000002</v>
      </c>
    </row>
    <row r="585" spans="2:7" x14ac:dyDescent="0.3">
      <c r="B585" s="60">
        <v>582</v>
      </c>
      <c r="C585" s="58">
        <v>38366</v>
      </c>
      <c r="D585" s="57">
        <v>3795</v>
      </c>
      <c r="E585" s="58">
        <v>10090</v>
      </c>
      <c r="F585" s="59">
        <v>385</v>
      </c>
      <c r="G585" s="18">
        <v>3.4981660489999999</v>
      </c>
    </row>
    <row r="586" spans="2:7" x14ac:dyDescent="0.3">
      <c r="B586" s="60">
        <v>583</v>
      </c>
      <c r="C586" s="58">
        <v>69600</v>
      </c>
      <c r="D586" s="57">
        <v>7303</v>
      </c>
      <c r="E586" s="58">
        <v>3074</v>
      </c>
      <c r="F586" s="59">
        <v>437</v>
      </c>
      <c r="G586" s="18">
        <v>4.6135333789999997</v>
      </c>
    </row>
    <row r="587" spans="2:7" x14ac:dyDescent="0.3">
      <c r="B587" s="60">
        <v>584</v>
      </c>
      <c r="C587" s="58">
        <v>40311</v>
      </c>
      <c r="D587" s="57">
        <v>4487</v>
      </c>
      <c r="E587" s="58">
        <v>8707</v>
      </c>
      <c r="F587" s="59">
        <v>398</v>
      </c>
      <c r="G587" s="18">
        <v>5.5090435180000004</v>
      </c>
    </row>
    <row r="588" spans="2:7" x14ac:dyDescent="0.3">
      <c r="B588" s="60">
        <v>585</v>
      </c>
      <c r="C588" s="58">
        <v>64413</v>
      </c>
      <c r="D588" s="57">
        <v>6420</v>
      </c>
      <c r="E588" s="58">
        <v>4840</v>
      </c>
      <c r="F588" s="59">
        <v>436</v>
      </c>
      <c r="G588" s="18">
        <v>7.8077995160000002</v>
      </c>
    </row>
    <row r="589" spans="2:7" x14ac:dyDescent="0.3">
      <c r="B589" s="60">
        <v>586</v>
      </c>
      <c r="C589" s="58">
        <v>48894</v>
      </c>
      <c r="D589" s="57">
        <v>4818</v>
      </c>
      <c r="E589" s="58">
        <v>8044</v>
      </c>
      <c r="F589" s="59">
        <v>411</v>
      </c>
      <c r="G589" s="18">
        <v>7.2796896970000002</v>
      </c>
    </row>
    <row r="590" spans="2:7" x14ac:dyDescent="0.3">
      <c r="B590" s="60">
        <v>587</v>
      </c>
      <c r="C590" s="58">
        <v>58181</v>
      </c>
      <c r="D590" s="57">
        <v>4950</v>
      </c>
      <c r="E590" s="58">
        <v>7781</v>
      </c>
      <c r="F590" s="59">
        <v>428</v>
      </c>
      <c r="G590" s="18">
        <v>3.7924626990000001</v>
      </c>
    </row>
    <row r="591" spans="2:7" x14ac:dyDescent="0.3">
      <c r="B591" s="60">
        <v>588</v>
      </c>
      <c r="C591" s="58">
        <v>42603</v>
      </c>
      <c r="D591" s="57">
        <v>4662</v>
      </c>
      <c r="E591" s="58">
        <v>8357</v>
      </c>
      <c r="F591" s="59">
        <v>396</v>
      </c>
      <c r="G591" s="18">
        <v>4.3912071040000002</v>
      </c>
    </row>
    <row r="592" spans="2:7" x14ac:dyDescent="0.3">
      <c r="B592" s="60">
        <v>589</v>
      </c>
      <c r="C592" s="58">
        <v>75365</v>
      </c>
      <c r="D592" s="57">
        <v>7925</v>
      </c>
      <c r="E592" s="58">
        <v>1830</v>
      </c>
      <c r="F592" s="59">
        <v>450</v>
      </c>
      <c r="G592" s="18">
        <v>5.6746606489999998</v>
      </c>
    </row>
    <row r="593" spans="2:7" x14ac:dyDescent="0.3">
      <c r="B593" s="60">
        <v>590</v>
      </c>
      <c r="C593" s="58">
        <v>52102</v>
      </c>
      <c r="D593" s="57">
        <v>5260</v>
      </c>
      <c r="E593" s="58">
        <v>7161</v>
      </c>
      <c r="F593" s="59">
        <v>411</v>
      </c>
      <c r="G593" s="18">
        <v>6.4137196559999996</v>
      </c>
    </row>
    <row r="594" spans="2:7" x14ac:dyDescent="0.3">
      <c r="B594" s="60">
        <v>591</v>
      </c>
      <c r="C594" s="58">
        <v>61528</v>
      </c>
      <c r="D594" s="57">
        <v>6937</v>
      </c>
      <c r="E594" s="58">
        <v>3807</v>
      </c>
      <c r="F594" s="59">
        <v>429</v>
      </c>
      <c r="G594" s="18">
        <v>3.795631202</v>
      </c>
    </row>
    <row r="595" spans="2:7" x14ac:dyDescent="0.3">
      <c r="B595" s="60">
        <v>592</v>
      </c>
      <c r="C595" s="58">
        <v>49306</v>
      </c>
      <c r="D595" s="57">
        <v>4810</v>
      </c>
      <c r="E595" s="58">
        <v>8061</v>
      </c>
      <c r="F595" s="59">
        <v>413</v>
      </c>
      <c r="G595" s="18">
        <v>4.0085417870000004</v>
      </c>
    </row>
    <row r="596" spans="2:7" x14ac:dyDescent="0.3">
      <c r="B596" s="60">
        <v>593</v>
      </c>
      <c r="C596" s="58">
        <v>54579</v>
      </c>
      <c r="D596" s="57">
        <v>4569</v>
      </c>
      <c r="E596" s="58">
        <v>8543</v>
      </c>
      <c r="F596" s="59">
        <v>423</v>
      </c>
      <c r="G596" s="18">
        <v>5.822394085</v>
      </c>
    </row>
    <row r="597" spans="2:7" x14ac:dyDescent="0.3">
      <c r="B597" s="60">
        <v>594</v>
      </c>
      <c r="C597" s="58">
        <v>42089</v>
      </c>
      <c r="D597" s="57">
        <v>3448</v>
      </c>
      <c r="E597" s="58">
        <v>10785</v>
      </c>
      <c r="F597" s="59">
        <v>389</v>
      </c>
      <c r="G597" s="18">
        <v>5.177818555</v>
      </c>
    </row>
    <row r="598" spans="2:7" x14ac:dyDescent="0.3">
      <c r="B598" s="60">
        <v>595</v>
      </c>
      <c r="C598" s="58">
        <v>39077</v>
      </c>
      <c r="D598" s="57">
        <v>4352</v>
      </c>
      <c r="E598" s="58">
        <v>8977</v>
      </c>
      <c r="F598" s="59">
        <v>389</v>
      </c>
      <c r="G598" s="18">
        <v>5.4217586239999997</v>
      </c>
    </row>
    <row r="599" spans="2:7" x14ac:dyDescent="0.3">
      <c r="B599" s="60">
        <v>596</v>
      </c>
      <c r="C599" s="58">
        <v>39502</v>
      </c>
      <c r="D599" s="57">
        <v>3047</v>
      </c>
      <c r="E599" s="58">
        <v>11588</v>
      </c>
      <c r="F599" s="59">
        <v>384</v>
      </c>
      <c r="G599" s="18">
        <v>3.6540733059999999</v>
      </c>
    </row>
    <row r="600" spans="2:7" x14ac:dyDescent="0.3">
      <c r="B600" s="60">
        <v>597</v>
      </c>
      <c r="C600" s="58">
        <v>43597</v>
      </c>
      <c r="D600" s="57">
        <v>3698</v>
      </c>
      <c r="E600" s="58">
        <v>10285</v>
      </c>
      <c r="F600" s="59">
        <v>402</v>
      </c>
      <c r="G600" s="18">
        <v>5.2690428870000003</v>
      </c>
    </row>
    <row r="601" spans="2:7" x14ac:dyDescent="0.3">
      <c r="B601" s="60">
        <v>598</v>
      </c>
      <c r="C601" s="58">
        <v>55497</v>
      </c>
      <c r="D601" s="57">
        <v>6128</v>
      </c>
      <c r="E601" s="58">
        <v>5425</v>
      </c>
      <c r="F601" s="59">
        <v>420</v>
      </c>
      <c r="G601" s="18">
        <v>5.573766301</v>
      </c>
    </row>
    <row r="602" spans="2:7" x14ac:dyDescent="0.3">
      <c r="B602" s="60">
        <v>599</v>
      </c>
      <c r="C602" s="58">
        <v>54972</v>
      </c>
      <c r="D602" s="57">
        <v>5322</v>
      </c>
      <c r="E602" s="58">
        <v>7038</v>
      </c>
      <c r="F602" s="59">
        <v>421</v>
      </c>
      <c r="G602" s="18">
        <v>5.3752798869999996</v>
      </c>
    </row>
    <row r="603" spans="2:7" x14ac:dyDescent="0.3">
      <c r="B603" s="60">
        <v>600</v>
      </c>
      <c r="C603" s="58">
        <v>50450</v>
      </c>
      <c r="D603" s="57">
        <v>5621</v>
      </c>
      <c r="E603" s="58">
        <v>6439</v>
      </c>
      <c r="F603" s="59">
        <v>410</v>
      </c>
      <c r="G603" s="18">
        <v>4.9005589269999996</v>
      </c>
    </row>
    <row r="604" spans="2:7" x14ac:dyDescent="0.3">
      <c r="B604" s="60">
        <v>601</v>
      </c>
      <c r="C604" s="58">
        <v>25850</v>
      </c>
      <c r="D604" s="57">
        <v>2273</v>
      </c>
      <c r="E604" s="58">
        <v>13135</v>
      </c>
      <c r="F604" s="59">
        <v>344</v>
      </c>
      <c r="G604" s="18">
        <v>5.3031213360000002</v>
      </c>
    </row>
    <row r="605" spans="2:7" x14ac:dyDescent="0.3">
      <c r="B605" s="60">
        <v>602</v>
      </c>
      <c r="C605" s="58">
        <v>36701</v>
      </c>
      <c r="D605" s="57">
        <v>3933</v>
      </c>
      <c r="E605" s="58">
        <v>9814</v>
      </c>
      <c r="F605" s="59">
        <v>382</v>
      </c>
      <c r="G605" s="18">
        <v>3.9275354629999999</v>
      </c>
    </row>
    <row r="606" spans="2:7" x14ac:dyDescent="0.3">
      <c r="B606" s="60">
        <v>603</v>
      </c>
      <c r="C606" s="58">
        <v>62159</v>
      </c>
      <c r="D606" s="57">
        <v>6623</v>
      </c>
      <c r="E606" s="58">
        <v>4434</v>
      </c>
      <c r="F606" s="59">
        <v>425</v>
      </c>
      <c r="G606" s="18">
        <v>4.6545657179999997</v>
      </c>
    </row>
    <row r="607" spans="2:7" x14ac:dyDescent="0.3">
      <c r="B607" s="60">
        <v>604</v>
      </c>
      <c r="C607" s="58">
        <v>48242</v>
      </c>
      <c r="D607" s="57">
        <v>5655</v>
      </c>
      <c r="E607" s="58">
        <v>6371</v>
      </c>
      <c r="F607" s="59">
        <v>410</v>
      </c>
      <c r="G607" s="18">
        <v>4.911158865</v>
      </c>
    </row>
    <row r="608" spans="2:7" x14ac:dyDescent="0.3">
      <c r="B608" s="60">
        <v>605</v>
      </c>
      <c r="C608" s="58">
        <v>37424</v>
      </c>
      <c r="D608" s="57">
        <v>3881</v>
      </c>
      <c r="E608" s="58">
        <v>9918</v>
      </c>
      <c r="F608" s="59">
        <v>382</v>
      </c>
      <c r="G608" s="18">
        <v>5.0337304730000003</v>
      </c>
    </row>
    <row r="609" spans="2:7" x14ac:dyDescent="0.3">
      <c r="B609" s="60">
        <v>606</v>
      </c>
      <c r="C609" s="58">
        <v>59398</v>
      </c>
      <c r="D609" s="57">
        <v>6714</v>
      </c>
      <c r="E609" s="58">
        <v>4253</v>
      </c>
      <c r="F609" s="59">
        <v>443</v>
      </c>
      <c r="G609" s="18">
        <v>5.5766604920000002</v>
      </c>
    </row>
    <row r="610" spans="2:7" x14ac:dyDescent="0.3">
      <c r="B610" s="60">
        <v>607</v>
      </c>
      <c r="C610" s="58">
        <v>51589</v>
      </c>
      <c r="D610" s="57">
        <v>5527</v>
      </c>
      <c r="E610" s="58">
        <v>6626</v>
      </c>
      <c r="F610" s="59">
        <v>404</v>
      </c>
      <c r="G610" s="18">
        <v>4.9584815229999997</v>
      </c>
    </row>
    <row r="611" spans="2:7" x14ac:dyDescent="0.3">
      <c r="B611" s="60">
        <v>608</v>
      </c>
      <c r="C611" s="58">
        <v>72211</v>
      </c>
      <c r="D611" s="57">
        <v>7475</v>
      </c>
      <c r="E611" s="58">
        <v>2732</v>
      </c>
      <c r="F611" s="59">
        <v>452</v>
      </c>
      <c r="G611" s="18">
        <v>6.1538675820000002</v>
      </c>
    </row>
    <row r="612" spans="2:7" x14ac:dyDescent="0.3">
      <c r="B612" s="60">
        <v>609</v>
      </c>
      <c r="C612" s="58">
        <v>44452</v>
      </c>
      <c r="D612" s="57">
        <v>4323</v>
      </c>
      <c r="E612" s="58">
        <v>9035</v>
      </c>
      <c r="F612" s="59">
        <v>396</v>
      </c>
      <c r="G612" s="18">
        <v>4.4684319730000004</v>
      </c>
    </row>
    <row r="613" spans="2:7" x14ac:dyDescent="0.3">
      <c r="B613" s="60">
        <v>610</v>
      </c>
      <c r="C613" s="58">
        <v>41443</v>
      </c>
      <c r="D613" s="57">
        <v>4712</v>
      </c>
      <c r="E613" s="58">
        <v>8257</v>
      </c>
      <c r="F613" s="59">
        <v>390</v>
      </c>
      <c r="G613" s="18">
        <v>6.019324406</v>
      </c>
    </row>
    <row r="614" spans="2:7" x14ac:dyDescent="0.3">
      <c r="B614" s="60">
        <v>611</v>
      </c>
      <c r="C614" s="58">
        <v>47556</v>
      </c>
      <c r="D614" s="57">
        <v>5108</v>
      </c>
      <c r="E614" s="58">
        <v>7465</v>
      </c>
      <c r="F614" s="59">
        <v>404</v>
      </c>
      <c r="G614" s="18">
        <v>7.4563495380000004</v>
      </c>
    </row>
    <row r="615" spans="2:7" x14ac:dyDescent="0.3">
      <c r="B615" s="60">
        <v>612</v>
      </c>
      <c r="C615" s="58">
        <v>64686</v>
      </c>
      <c r="D615" s="57">
        <v>6652</v>
      </c>
      <c r="E615" s="58">
        <v>4376</v>
      </c>
      <c r="F615" s="59">
        <v>430</v>
      </c>
      <c r="G615" s="18">
        <v>5.3304741890000003</v>
      </c>
    </row>
    <row r="616" spans="2:7" x14ac:dyDescent="0.3">
      <c r="B616" s="60">
        <v>613</v>
      </c>
      <c r="C616" s="58">
        <v>53316</v>
      </c>
      <c r="D616" s="57">
        <v>4783</v>
      </c>
      <c r="E616" s="58">
        <v>8114</v>
      </c>
      <c r="F616" s="59">
        <v>415</v>
      </c>
      <c r="G616" s="18">
        <v>5.1690429729999998</v>
      </c>
    </row>
    <row r="617" spans="2:7" x14ac:dyDescent="0.3">
      <c r="B617" s="60">
        <v>614</v>
      </c>
      <c r="C617" s="58">
        <v>23169</v>
      </c>
      <c r="D617" s="57">
        <v>2585</v>
      </c>
      <c r="E617" s="58">
        <v>12512</v>
      </c>
      <c r="F617" s="59">
        <v>336</v>
      </c>
      <c r="G617" s="18">
        <v>6.1469343619999997</v>
      </c>
    </row>
    <row r="618" spans="2:7" x14ac:dyDescent="0.3">
      <c r="B618" s="60">
        <v>615</v>
      </c>
      <c r="C618" s="58">
        <v>28215</v>
      </c>
      <c r="D618" s="57">
        <v>2910</v>
      </c>
      <c r="E618" s="58">
        <v>11861</v>
      </c>
      <c r="F618" s="59">
        <v>344</v>
      </c>
      <c r="G618" s="18">
        <v>6.8640898860000004</v>
      </c>
    </row>
    <row r="619" spans="2:7" x14ac:dyDescent="0.3">
      <c r="B619" s="60">
        <v>616</v>
      </c>
      <c r="C619" s="58">
        <v>56702</v>
      </c>
      <c r="D619" s="57">
        <v>6411</v>
      </c>
      <c r="E619" s="58">
        <v>4859</v>
      </c>
      <c r="F619" s="59">
        <v>414</v>
      </c>
      <c r="G619" s="18">
        <v>6.0692378759999999</v>
      </c>
    </row>
    <row r="620" spans="2:7" x14ac:dyDescent="0.3">
      <c r="B620" s="60">
        <v>617</v>
      </c>
      <c r="C620" s="58">
        <v>52142</v>
      </c>
      <c r="D620" s="57">
        <v>5483</v>
      </c>
      <c r="E620" s="58">
        <v>6715</v>
      </c>
      <c r="F620" s="59">
        <v>418</v>
      </c>
      <c r="G620" s="18">
        <v>4.3718701619999996</v>
      </c>
    </row>
    <row r="621" spans="2:7" x14ac:dyDescent="0.3">
      <c r="B621" s="60">
        <v>618</v>
      </c>
      <c r="C621" s="58">
        <v>58375</v>
      </c>
      <c r="D621" s="57">
        <v>5357</v>
      </c>
      <c r="E621" s="58">
        <v>6966</v>
      </c>
      <c r="F621" s="59">
        <v>420</v>
      </c>
      <c r="G621" s="18">
        <v>4.4439685710000001</v>
      </c>
    </row>
    <row r="622" spans="2:7" x14ac:dyDescent="0.3">
      <c r="B622" s="60">
        <v>619</v>
      </c>
      <c r="C622" s="58">
        <v>55516</v>
      </c>
      <c r="D622" s="57">
        <v>5274</v>
      </c>
      <c r="E622" s="58">
        <v>7132</v>
      </c>
      <c r="F622" s="59">
        <v>416</v>
      </c>
      <c r="G622" s="18">
        <v>3.3151525730000002</v>
      </c>
    </row>
    <row r="623" spans="2:7" x14ac:dyDescent="0.3">
      <c r="B623" s="60">
        <v>620</v>
      </c>
      <c r="C623" s="58">
        <v>56556</v>
      </c>
      <c r="D623" s="57">
        <v>5376</v>
      </c>
      <c r="E623" s="58">
        <v>6928</v>
      </c>
      <c r="F623" s="59">
        <v>429</v>
      </c>
      <c r="G623" s="18">
        <v>4.3820626660000004</v>
      </c>
    </row>
    <row r="624" spans="2:7" x14ac:dyDescent="0.3">
      <c r="B624" s="60">
        <v>621</v>
      </c>
      <c r="C624" s="58">
        <v>38439</v>
      </c>
      <c r="D624" s="57">
        <v>4140</v>
      </c>
      <c r="E624" s="58">
        <v>9400</v>
      </c>
      <c r="F624" s="59">
        <v>389</v>
      </c>
      <c r="G624" s="18">
        <v>5.0708966780000004</v>
      </c>
    </row>
    <row r="625" spans="2:7" x14ac:dyDescent="0.3">
      <c r="B625" s="60">
        <v>622</v>
      </c>
      <c r="C625" s="58">
        <v>65547</v>
      </c>
      <c r="D625" s="57">
        <v>5592</v>
      </c>
      <c r="E625" s="58">
        <v>6497</v>
      </c>
      <c r="F625" s="59">
        <v>442</v>
      </c>
      <c r="G625" s="18">
        <v>5.8646510940000001</v>
      </c>
    </row>
    <row r="626" spans="2:7" x14ac:dyDescent="0.3">
      <c r="B626" s="60">
        <v>623</v>
      </c>
      <c r="C626" s="58">
        <v>43049</v>
      </c>
      <c r="D626" s="57">
        <v>3915</v>
      </c>
      <c r="E626" s="58">
        <v>9851</v>
      </c>
      <c r="F626" s="59">
        <v>392</v>
      </c>
      <c r="G626" s="18">
        <v>6.6659945580000004</v>
      </c>
    </row>
    <row r="627" spans="2:7" x14ac:dyDescent="0.3">
      <c r="B627" s="60">
        <v>624</v>
      </c>
      <c r="C627" s="58">
        <v>46782</v>
      </c>
      <c r="D627" s="57">
        <v>3797</v>
      </c>
      <c r="E627" s="58">
        <v>10088</v>
      </c>
      <c r="F627" s="59">
        <v>403</v>
      </c>
      <c r="G627" s="18">
        <v>5.3993797939999997</v>
      </c>
    </row>
    <row r="628" spans="2:7" x14ac:dyDescent="0.3">
      <c r="B628" s="60">
        <v>625</v>
      </c>
      <c r="C628" s="58">
        <v>71726</v>
      </c>
      <c r="D628" s="57">
        <v>7456</v>
      </c>
      <c r="E628" s="58">
        <v>2769</v>
      </c>
      <c r="F628" s="59">
        <v>457</v>
      </c>
      <c r="G628" s="18">
        <v>5.1178803750000004</v>
      </c>
    </row>
    <row r="629" spans="2:7" x14ac:dyDescent="0.3">
      <c r="B629" s="60">
        <v>626</v>
      </c>
      <c r="C629" s="58">
        <v>50606</v>
      </c>
      <c r="D629" s="57">
        <v>4920</v>
      </c>
      <c r="E629" s="58">
        <v>7841</v>
      </c>
      <c r="F629" s="59">
        <v>412</v>
      </c>
      <c r="G629" s="18">
        <v>3.7637089929999998</v>
      </c>
    </row>
    <row r="630" spans="2:7" x14ac:dyDescent="0.3">
      <c r="B630" s="60">
        <v>627</v>
      </c>
      <c r="C630" s="58">
        <v>50704</v>
      </c>
      <c r="D630" s="57">
        <v>3875</v>
      </c>
      <c r="E630" s="58">
        <v>9931</v>
      </c>
      <c r="F630" s="59">
        <v>404</v>
      </c>
      <c r="G630" s="18">
        <v>5.5352410340000002</v>
      </c>
    </row>
    <row r="631" spans="2:7" x14ac:dyDescent="0.3">
      <c r="B631" s="60">
        <v>628</v>
      </c>
      <c r="C631" s="58">
        <v>45391</v>
      </c>
      <c r="D631" s="57">
        <v>4434</v>
      </c>
      <c r="E631" s="58">
        <v>8814</v>
      </c>
      <c r="F631" s="59">
        <v>412</v>
      </c>
      <c r="G631" s="18">
        <v>5.5252854789999999</v>
      </c>
    </row>
    <row r="632" spans="2:7" x14ac:dyDescent="0.3">
      <c r="B632" s="60">
        <v>629</v>
      </c>
      <c r="C632" s="58">
        <v>63416</v>
      </c>
      <c r="D632" s="57">
        <v>6739</v>
      </c>
      <c r="E632" s="58">
        <v>4203</v>
      </c>
      <c r="F632" s="59">
        <v>440</v>
      </c>
      <c r="G632" s="18">
        <v>2.7441717240000001</v>
      </c>
    </row>
    <row r="633" spans="2:7" x14ac:dyDescent="0.3">
      <c r="B633" s="60">
        <v>630</v>
      </c>
      <c r="C633" s="58">
        <v>40226</v>
      </c>
      <c r="D633" s="57">
        <v>4368</v>
      </c>
      <c r="E633" s="58">
        <v>8945</v>
      </c>
      <c r="F633" s="59">
        <v>386</v>
      </c>
      <c r="G633" s="18">
        <v>6.5663862249999996</v>
      </c>
    </row>
    <row r="634" spans="2:7" x14ac:dyDescent="0.3">
      <c r="B634" s="60">
        <v>631</v>
      </c>
      <c r="C634" s="58">
        <v>51924</v>
      </c>
      <c r="D634" s="57">
        <v>5183</v>
      </c>
      <c r="E634" s="58">
        <v>7315</v>
      </c>
      <c r="F634" s="59">
        <v>409</v>
      </c>
      <c r="G634" s="18">
        <v>4.3331756940000004</v>
      </c>
    </row>
    <row r="635" spans="2:7" x14ac:dyDescent="0.3">
      <c r="B635" s="60">
        <v>632</v>
      </c>
      <c r="C635" s="58">
        <v>49157</v>
      </c>
      <c r="D635" s="57">
        <v>4529</v>
      </c>
      <c r="E635" s="58">
        <v>8622</v>
      </c>
      <c r="F635" s="59">
        <v>414</v>
      </c>
      <c r="G635" s="18">
        <v>4.8613522140000001</v>
      </c>
    </row>
    <row r="636" spans="2:7" x14ac:dyDescent="0.3">
      <c r="B636" s="60">
        <v>633</v>
      </c>
      <c r="C636" s="58">
        <v>52534</v>
      </c>
      <c r="D636" s="57">
        <v>4783</v>
      </c>
      <c r="E636" s="58">
        <v>8114</v>
      </c>
      <c r="F636" s="59">
        <v>413</v>
      </c>
      <c r="G636" s="18">
        <v>5.8380717019999997</v>
      </c>
    </row>
    <row r="637" spans="2:7" x14ac:dyDescent="0.3">
      <c r="B637" s="60">
        <v>634</v>
      </c>
      <c r="C637" s="58">
        <v>65601</v>
      </c>
      <c r="D637" s="57">
        <v>5588</v>
      </c>
      <c r="E637" s="58">
        <v>6505</v>
      </c>
      <c r="F637" s="59">
        <v>432</v>
      </c>
      <c r="G637" s="18">
        <v>5.7723250559999997</v>
      </c>
    </row>
    <row r="638" spans="2:7" x14ac:dyDescent="0.3">
      <c r="B638" s="60">
        <v>635</v>
      </c>
      <c r="C638" s="58">
        <v>52916</v>
      </c>
      <c r="D638" s="57">
        <v>4845</v>
      </c>
      <c r="E638" s="58">
        <v>7992</v>
      </c>
      <c r="F638" s="59">
        <v>421</v>
      </c>
      <c r="G638" s="18">
        <v>5.8598648630000003</v>
      </c>
    </row>
    <row r="639" spans="2:7" x14ac:dyDescent="0.3">
      <c r="B639" s="60">
        <v>636</v>
      </c>
      <c r="C639" s="58">
        <v>53615</v>
      </c>
      <c r="D639" s="57">
        <v>5944</v>
      </c>
      <c r="E639" s="58">
        <v>5793</v>
      </c>
      <c r="F639" s="59">
        <v>420</v>
      </c>
      <c r="G639" s="18">
        <v>3.0237062739999998</v>
      </c>
    </row>
    <row r="640" spans="2:7" x14ac:dyDescent="0.3">
      <c r="B640" s="60">
        <v>637</v>
      </c>
      <c r="C640" s="58">
        <v>53108</v>
      </c>
      <c r="D640" s="57">
        <v>5524</v>
      </c>
      <c r="E640" s="58">
        <v>6633</v>
      </c>
      <c r="F640" s="59">
        <v>410</v>
      </c>
      <c r="G640" s="18">
        <v>5.667974708</v>
      </c>
    </row>
    <row r="641" spans="2:7" x14ac:dyDescent="0.3">
      <c r="B641" s="60">
        <v>638</v>
      </c>
      <c r="C641" s="58">
        <v>62564</v>
      </c>
      <c r="D641" s="57">
        <v>5679</v>
      </c>
      <c r="E641" s="58">
        <v>6324</v>
      </c>
      <c r="F641" s="59">
        <v>440</v>
      </c>
      <c r="G641" s="18">
        <v>5.948950892</v>
      </c>
    </row>
    <row r="642" spans="2:7" x14ac:dyDescent="0.3">
      <c r="B642" s="60">
        <v>639</v>
      </c>
      <c r="C642" s="58">
        <v>71824</v>
      </c>
      <c r="D642" s="57">
        <v>6995</v>
      </c>
      <c r="E642" s="58">
        <v>3692</v>
      </c>
      <c r="F642" s="59">
        <v>445</v>
      </c>
      <c r="G642" s="18">
        <v>3.6767188160000002</v>
      </c>
    </row>
    <row r="643" spans="2:7" x14ac:dyDescent="0.3">
      <c r="B643" s="60">
        <v>640</v>
      </c>
      <c r="C643" s="58">
        <v>42386</v>
      </c>
      <c r="D643" s="57">
        <v>4719</v>
      </c>
      <c r="E643" s="58">
        <v>8243</v>
      </c>
      <c r="F643" s="59">
        <v>391</v>
      </c>
      <c r="G643" s="18">
        <v>4.9467387089999999</v>
      </c>
    </row>
    <row r="644" spans="2:7" x14ac:dyDescent="0.3">
      <c r="B644" s="60">
        <v>641</v>
      </c>
      <c r="C644" s="58">
        <v>51520</v>
      </c>
      <c r="D644" s="57">
        <v>5402</v>
      </c>
      <c r="E644" s="58">
        <v>6877</v>
      </c>
      <c r="F644" s="59">
        <v>419</v>
      </c>
      <c r="G644" s="18">
        <v>5.3621818680000004</v>
      </c>
    </row>
    <row r="645" spans="2:7" x14ac:dyDescent="0.3">
      <c r="B645" s="60">
        <v>642</v>
      </c>
      <c r="C645" s="58">
        <v>63141</v>
      </c>
      <c r="D645" s="57">
        <v>6691</v>
      </c>
      <c r="E645" s="58">
        <v>4298</v>
      </c>
      <c r="F645" s="59">
        <v>441</v>
      </c>
      <c r="G645" s="18">
        <v>5.3908332620000001</v>
      </c>
    </row>
    <row r="646" spans="2:7" x14ac:dyDescent="0.3">
      <c r="B646" s="60">
        <v>643</v>
      </c>
      <c r="C646" s="58">
        <v>42082</v>
      </c>
      <c r="D646" s="57">
        <v>3788</v>
      </c>
      <c r="E646" s="58">
        <v>10105</v>
      </c>
      <c r="F646" s="59">
        <v>388</v>
      </c>
      <c r="G646" s="18">
        <v>3.9776636929999998</v>
      </c>
    </row>
    <row r="647" spans="2:7" x14ac:dyDescent="0.3">
      <c r="B647" s="60">
        <v>644</v>
      </c>
      <c r="C647" s="58">
        <v>54176</v>
      </c>
      <c r="D647" s="57">
        <v>4708</v>
      </c>
      <c r="E647" s="58">
        <v>8265</v>
      </c>
      <c r="F647" s="59">
        <v>415</v>
      </c>
      <c r="G647" s="18">
        <v>4.8873318430000001</v>
      </c>
    </row>
    <row r="648" spans="2:7" x14ac:dyDescent="0.3">
      <c r="B648" s="60">
        <v>645</v>
      </c>
      <c r="C648" s="58">
        <v>45350</v>
      </c>
      <c r="D648" s="57">
        <v>4501</v>
      </c>
      <c r="E648" s="58">
        <v>8679</v>
      </c>
      <c r="F648" s="59">
        <v>389</v>
      </c>
      <c r="G648" s="18">
        <v>3.9919920549999999</v>
      </c>
    </row>
    <row r="649" spans="2:7" x14ac:dyDescent="0.3">
      <c r="B649" s="60">
        <v>646</v>
      </c>
      <c r="C649" s="58">
        <v>42024</v>
      </c>
      <c r="D649" s="57">
        <v>3995</v>
      </c>
      <c r="E649" s="58">
        <v>9692</v>
      </c>
      <c r="F649" s="59">
        <v>390</v>
      </c>
      <c r="G649" s="18">
        <v>5.7351359579999999</v>
      </c>
    </row>
    <row r="650" spans="2:7" x14ac:dyDescent="0.3">
      <c r="B650" s="60">
        <v>647</v>
      </c>
      <c r="C650" s="58">
        <v>50566</v>
      </c>
      <c r="D650" s="57">
        <v>5445</v>
      </c>
      <c r="E650" s="58">
        <v>6792</v>
      </c>
      <c r="F650" s="59">
        <v>413</v>
      </c>
      <c r="G650" s="18">
        <v>6.0445992799999999</v>
      </c>
    </row>
    <row r="651" spans="2:7" x14ac:dyDescent="0.3">
      <c r="B651" s="60">
        <v>648</v>
      </c>
      <c r="C651" s="58">
        <v>54602</v>
      </c>
      <c r="D651" s="57">
        <v>6072</v>
      </c>
      <c r="E651" s="58">
        <v>5536</v>
      </c>
      <c r="F651" s="59">
        <v>416</v>
      </c>
      <c r="G651" s="18">
        <v>5.0222821099999999</v>
      </c>
    </row>
    <row r="652" spans="2:7" x14ac:dyDescent="0.3">
      <c r="B652" s="60">
        <v>649</v>
      </c>
      <c r="C652" s="58">
        <v>53845</v>
      </c>
      <c r="D652" s="57">
        <v>5096</v>
      </c>
      <c r="E652" s="58">
        <v>7489</v>
      </c>
      <c r="F652" s="59">
        <v>416</v>
      </c>
      <c r="G652" s="18">
        <v>5.01639152</v>
      </c>
    </row>
    <row r="653" spans="2:7" x14ac:dyDescent="0.3">
      <c r="B653" s="60">
        <v>650</v>
      </c>
      <c r="C653" s="58">
        <v>46306</v>
      </c>
      <c r="D653" s="57">
        <v>4735</v>
      </c>
      <c r="E653" s="58">
        <v>8211</v>
      </c>
      <c r="F653" s="59">
        <v>398</v>
      </c>
      <c r="G653" s="18">
        <v>5.7007245229999999</v>
      </c>
    </row>
    <row r="654" spans="2:7" x14ac:dyDescent="0.3">
      <c r="B654" s="60">
        <v>651</v>
      </c>
      <c r="C654" s="58">
        <v>59769</v>
      </c>
      <c r="D654" s="57">
        <v>6206</v>
      </c>
      <c r="E654" s="58">
        <v>5269</v>
      </c>
      <c r="F654" s="59">
        <v>421</v>
      </c>
      <c r="G654" s="18">
        <v>5.8982056439999999</v>
      </c>
    </row>
    <row r="655" spans="2:7" x14ac:dyDescent="0.3">
      <c r="B655" s="60">
        <v>652</v>
      </c>
      <c r="C655" s="58">
        <v>56298</v>
      </c>
      <c r="D655" s="57">
        <v>4755</v>
      </c>
      <c r="E655" s="58">
        <v>8171</v>
      </c>
      <c r="F655" s="59">
        <v>426</v>
      </c>
      <c r="G655" s="18">
        <v>3.6774100820000002</v>
      </c>
    </row>
    <row r="656" spans="2:7" x14ac:dyDescent="0.3">
      <c r="B656" s="60">
        <v>653</v>
      </c>
      <c r="C656" s="58">
        <v>66471</v>
      </c>
      <c r="D656" s="57">
        <v>5707</v>
      </c>
      <c r="E656" s="58">
        <v>6267</v>
      </c>
      <c r="F656" s="59">
        <v>446</v>
      </c>
      <c r="G656" s="18">
        <v>6.2615097759999996</v>
      </c>
    </row>
    <row r="657" spans="2:7" x14ac:dyDescent="0.3">
      <c r="B657" s="60">
        <v>654</v>
      </c>
      <c r="C657" s="58">
        <v>45029</v>
      </c>
      <c r="D657" s="57">
        <v>5274</v>
      </c>
      <c r="E657" s="58">
        <v>7133</v>
      </c>
      <c r="F657" s="59">
        <v>403</v>
      </c>
      <c r="G657" s="18">
        <v>4.0967486109999998</v>
      </c>
    </row>
    <row r="658" spans="2:7" x14ac:dyDescent="0.3">
      <c r="B658" s="60">
        <v>655</v>
      </c>
      <c r="C658" s="58">
        <v>43273</v>
      </c>
      <c r="D658" s="57">
        <v>5084</v>
      </c>
      <c r="E658" s="58">
        <v>7513</v>
      </c>
      <c r="F658" s="59">
        <v>402</v>
      </c>
      <c r="G658" s="18">
        <v>5.2719243840000001</v>
      </c>
    </row>
    <row r="659" spans="2:7" x14ac:dyDescent="0.3">
      <c r="B659" s="60">
        <v>656</v>
      </c>
      <c r="C659" s="58">
        <v>62433</v>
      </c>
      <c r="D659" s="57">
        <v>5854</v>
      </c>
      <c r="E659" s="58">
        <v>5972</v>
      </c>
      <c r="F659" s="59">
        <v>444</v>
      </c>
      <c r="G659" s="18">
        <v>5.423910577</v>
      </c>
    </row>
    <row r="660" spans="2:7" x14ac:dyDescent="0.3">
      <c r="B660" s="60">
        <v>657</v>
      </c>
      <c r="C660" s="58">
        <v>60093</v>
      </c>
      <c r="D660" s="57">
        <v>5769</v>
      </c>
      <c r="E660" s="58">
        <v>6143</v>
      </c>
      <c r="F660" s="59">
        <v>418</v>
      </c>
      <c r="G660" s="18">
        <v>3.7803922139999999</v>
      </c>
    </row>
    <row r="661" spans="2:7" x14ac:dyDescent="0.3">
      <c r="B661" s="60">
        <v>658</v>
      </c>
      <c r="C661" s="58">
        <v>55717</v>
      </c>
      <c r="D661" s="57">
        <v>5953</v>
      </c>
      <c r="E661" s="58">
        <v>5775</v>
      </c>
      <c r="F661" s="59">
        <v>422</v>
      </c>
      <c r="G661" s="18">
        <v>3.3463930799999999</v>
      </c>
    </row>
    <row r="662" spans="2:7" x14ac:dyDescent="0.3">
      <c r="B662" s="60">
        <v>659</v>
      </c>
      <c r="C662" s="58">
        <v>59983</v>
      </c>
      <c r="D662" s="57">
        <v>6713</v>
      </c>
      <c r="E662" s="58">
        <v>4254</v>
      </c>
      <c r="F662" s="59">
        <v>424</v>
      </c>
      <c r="G662" s="18">
        <v>5.3667631379999996</v>
      </c>
    </row>
    <row r="663" spans="2:7" x14ac:dyDescent="0.3">
      <c r="B663" s="60">
        <v>660</v>
      </c>
      <c r="C663" s="58">
        <v>39104</v>
      </c>
      <c r="D663" s="57">
        <v>3531</v>
      </c>
      <c r="E663" s="58">
        <v>10619</v>
      </c>
      <c r="F663" s="59">
        <v>384</v>
      </c>
      <c r="G663" s="18">
        <v>6.589951857</v>
      </c>
    </row>
    <row r="664" spans="2:7" x14ac:dyDescent="0.3">
      <c r="B664" s="60">
        <v>661</v>
      </c>
      <c r="C664" s="58">
        <v>52748</v>
      </c>
      <c r="D664" s="57">
        <v>4458</v>
      </c>
      <c r="E664" s="58">
        <v>8765</v>
      </c>
      <c r="F664" s="59">
        <v>416</v>
      </c>
      <c r="G664" s="18">
        <v>5.880375398</v>
      </c>
    </row>
    <row r="665" spans="2:7" x14ac:dyDescent="0.3">
      <c r="B665" s="60">
        <v>662</v>
      </c>
      <c r="C665" s="58">
        <v>68420</v>
      </c>
      <c r="D665" s="57">
        <v>6800</v>
      </c>
      <c r="E665" s="58">
        <v>4080</v>
      </c>
      <c r="F665" s="59">
        <v>443</v>
      </c>
      <c r="G665" s="18">
        <v>4.8950752030000002</v>
      </c>
    </row>
    <row r="666" spans="2:7" x14ac:dyDescent="0.3">
      <c r="B666" s="60">
        <v>663</v>
      </c>
      <c r="C666" s="58">
        <v>59934</v>
      </c>
      <c r="D666" s="57">
        <v>6346</v>
      </c>
      <c r="E666" s="58">
        <v>4988</v>
      </c>
      <c r="F666" s="59">
        <v>426</v>
      </c>
      <c r="G666" s="18">
        <v>5.8123088459999996</v>
      </c>
    </row>
    <row r="667" spans="2:7" x14ac:dyDescent="0.3">
      <c r="B667" s="60">
        <v>664</v>
      </c>
      <c r="C667" s="58">
        <v>56716</v>
      </c>
      <c r="D667" s="57">
        <v>6593</v>
      </c>
      <c r="E667" s="58">
        <v>4495</v>
      </c>
      <c r="F667" s="59">
        <v>419</v>
      </c>
      <c r="G667" s="18">
        <v>2.7456220409999998</v>
      </c>
    </row>
    <row r="668" spans="2:7" x14ac:dyDescent="0.3">
      <c r="B668" s="60">
        <v>665</v>
      </c>
      <c r="C668" s="58">
        <v>47690</v>
      </c>
      <c r="D668" s="57">
        <v>4983</v>
      </c>
      <c r="E668" s="58">
        <v>7716</v>
      </c>
      <c r="F668" s="59">
        <v>407</v>
      </c>
      <c r="G668" s="18">
        <v>4.093018861</v>
      </c>
    </row>
    <row r="669" spans="2:7" x14ac:dyDescent="0.3">
      <c r="B669" s="60">
        <v>666</v>
      </c>
      <c r="C669" s="58">
        <v>49370</v>
      </c>
      <c r="D669" s="57">
        <v>3875</v>
      </c>
      <c r="E669" s="58">
        <v>9932</v>
      </c>
      <c r="F669" s="59">
        <v>413</v>
      </c>
      <c r="G669" s="18">
        <v>4.5277663649999997</v>
      </c>
    </row>
    <row r="670" spans="2:7" x14ac:dyDescent="0.3">
      <c r="B670" s="60">
        <v>667</v>
      </c>
      <c r="C670" s="58">
        <v>63029</v>
      </c>
      <c r="D670" s="57">
        <v>5368</v>
      </c>
      <c r="E670" s="58">
        <v>6945</v>
      </c>
      <c r="F670" s="59">
        <v>435</v>
      </c>
      <c r="G670" s="18">
        <v>5.3611488410000003</v>
      </c>
    </row>
    <row r="671" spans="2:7" x14ac:dyDescent="0.3">
      <c r="B671" s="60">
        <v>668</v>
      </c>
      <c r="C671" s="58">
        <v>54552</v>
      </c>
      <c r="D671" s="57">
        <v>5823</v>
      </c>
      <c r="E671" s="58">
        <v>6036</v>
      </c>
      <c r="F671" s="59">
        <v>412</v>
      </c>
      <c r="G671" s="18">
        <v>6.0191958510000001</v>
      </c>
    </row>
    <row r="672" spans="2:7" x14ac:dyDescent="0.3">
      <c r="B672" s="60">
        <v>669</v>
      </c>
      <c r="C672" s="58">
        <v>54023</v>
      </c>
      <c r="D672" s="57">
        <v>4901</v>
      </c>
      <c r="E672" s="58">
        <v>7879</v>
      </c>
      <c r="F672" s="59">
        <v>419</v>
      </c>
      <c r="G672" s="18">
        <v>5.9260496800000002</v>
      </c>
    </row>
    <row r="673" spans="2:7" x14ac:dyDescent="0.3">
      <c r="B673" s="60">
        <v>670</v>
      </c>
      <c r="C673" s="58">
        <v>58861</v>
      </c>
      <c r="D673" s="57">
        <v>5412</v>
      </c>
      <c r="E673" s="58">
        <v>6856</v>
      </c>
      <c r="F673" s="59">
        <v>434</v>
      </c>
      <c r="G673" s="18">
        <v>4.3977671779999996</v>
      </c>
    </row>
    <row r="674" spans="2:7" x14ac:dyDescent="0.3">
      <c r="B674" s="60">
        <v>671</v>
      </c>
      <c r="C674" s="58">
        <v>31725</v>
      </c>
      <c r="D674" s="57">
        <v>3640</v>
      </c>
      <c r="E674" s="58">
        <v>10402</v>
      </c>
      <c r="F674" s="59">
        <v>372</v>
      </c>
      <c r="G674" s="18">
        <v>5.1972399029999998</v>
      </c>
    </row>
    <row r="675" spans="2:7" x14ac:dyDescent="0.3">
      <c r="B675" s="60">
        <v>672</v>
      </c>
      <c r="C675" s="58">
        <v>33733</v>
      </c>
      <c r="D675" s="57">
        <v>4063</v>
      </c>
      <c r="E675" s="58">
        <v>9554</v>
      </c>
      <c r="F675" s="59">
        <v>367</v>
      </c>
      <c r="G675" s="18">
        <v>4.2392543209999998</v>
      </c>
    </row>
    <row r="676" spans="2:7" x14ac:dyDescent="0.3">
      <c r="B676" s="60">
        <v>673</v>
      </c>
      <c r="C676" s="58">
        <v>51671</v>
      </c>
      <c r="D676" s="57">
        <v>5035</v>
      </c>
      <c r="E676" s="58">
        <v>7611</v>
      </c>
      <c r="F676" s="59">
        <v>418</v>
      </c>
      <c r="G676" s="18">
        <v>2.457496812</v>
      </c>
    </row>
    <row r="677" spans="2:7" x14ac:dyDescent="0.3">
      <c r="B677" s="60">
        <v>674</v>
      </c>
      <c r="C677" s="58">
        <v>31977</v>
      </c>
      <c r="D677" s="57">
        <v>3767</v>
      </c>
      <c r="E677" s="58">
        <v>10147</v>
      </c>
      <c r="F677" s="59">
        <v>372</v>
      </c>
      <c r="G677" s="18">
        <v>6.784353801</v>
      </c>
    </row>
    <row r="678" spans="2:7" x14ac:dyDescent="0.3">
      <c r="B678" s="60">
        <v>675</v>
      </c>
      <c r="C678" s="58">
        <v>45686</v>
      </c>
      <c r="D678" s="57">
        <v>4635</v>
      </c>
      <c r="E678" s="58">
        <v>8411</v>
      </c>
      <c r="F678" s="59">
        <v>403</v>
      </c>
      <c r="G678" s="18">
        <v>5.5623342640000004</v>
      </c>
    </row>
    <row r="679" spans="2:7" x14ac:dyDescent="0.3">
      <c r="B679" s="60">
        <v>676</v>
      </c>
      <c r="C679" s="58">
        <v>45443</v>
      </c>
      <c r="D679" s="57">
        <v>5437</v>
      </c>
      <c r="E679" s="58">
        <v>6806</v>
      </c>
      <c r="F679" s="59">
        <v>402</v>
      </c>
      <c r="G679" s="18">
        <v>5.3818090639999996</v>
      </c>
    </row>
    <row r="680" spans="2:7" x14ac:dyDescent="0.3">
      <c r="B680" s="60">
        <v>677</v>
      </c>
      <c r="C680" s="58">
        <v>55918</v>
      </c>
      <c r="D680" s="57">
        <v>5582</v>
      </c>
      <c r="E680" s="58">
        <v>6518</v>
      </c>
      <c r="F680" s="59">
        <v>420</v>
      </c>
      <c r="G680" s="18">
        <v>5.7865487299999998</v>
      </c>
    </row>
    <row r="681" spans="2:7" x14ac:dyDescent="0.3">
      <c r="B681" s="60">
        <v>678</v>
      </c>
      <c r="C681" s="58">
        <v>53106</v>
      </c>
      <c r="D681" s="57">
        <v>5118</v>
      </c>
      <c r="E681" s="58">
        <v>7445</v>
      </c>
      <c r="F681" s="59">
        <v>413</v>
      </c>
      <c r="G681" s="18">
        <v>5.0408372110000004</v>
      </c>
    </row>
    <row r="682" spans="2:7" x14ac:dyDescent="0.3">
      <c r="B682" s="60">
        <v>679</v>
      </c>
      <c r="C682" s="58">
        <v>31641</v>
      </c>
      <c r="D682" s="57">
        <v>2611</v>
      </c>
      <c r="E682" s="58">
        <v>12458</v>
      </c>
      <c r="F682" s="59">
        <v>370</v>
      </c>
      <c r="G682" s="18">
        <v>3.9347701210000001</v>
      </c>
    </row>
    <row r="683" spans="2:7" x14ac:dyDescent="0.3">
      <c r="B683" s="60">
        <v>680</v>
      </c>
      <c r="C683" s="58">
        <v>53859</v>
      </c>
      <c r="D683" s="57">
        <v>4882</v>
      </c>
      <c r="E683" s="58">
        <v>7918</v>
      </c>
      <c r="F683" s="59">
        <v>411</v>
      </c>
      <c r="G683" s="18">
        <v>5.0371923069999998</v>
      </c>
    </row>
    <row r="684" spans="2:7" x14ac:dyDescent="0.3">
      <c r="B684" s="60">
        <v>681</v>
      </c>
      <c r="C684" s="58">
        <v>53522</v>
      </c>
      <c r="D684" s="57">
        <v>4947</v>
      </c>
      <c r="E684" s="58">
        <v>7787</v>
      </c>
      <c r="F684" s="59">
        <v>413</v>
      </c>
      <c r="G684" s="18">
        <v>6.1009418929999999</v>
      </c>
    </row>
    <row r="685" spans="2:7" x14ac:dyDescent="0.3">
      <c r="B685" s="60">
        <v>682</v>
      </c>
      <c r="C685" s="58">
        <v>45476</v>
      </c>
      <c r="D685" s="57">
        <v>4660</v>
      </c>
      <c r="E685" s="58">
        <v>8360</v>
      </c>
      <c r="F685" s="59">
        <v>402</v>
      </c>
      <c r="G685" s="18">
        <v>4.3749095750000002</v>
      </c>
    </row>
    <row r="686" spans="2:7" x14ac:dyDescent="0.3">
      <c r="B686" s="60">
        <v>683</v>
      </c>
      <c r="C686" s="58">
        <v>51548</v>
      </c>
      <c r="D686" s="57">
        <v>5480</v>
      </c>
      <c r="E686" s="58">
        <v>6720</v>
      </c>
      <c r="F686" s="59">
        <v>424</v>
      </c>
      <c r="G686" s="18">
        <v>5.1014413379999999</v>
      </c>
    </row>
    <row r="687" spans="2:7" x14ac:dyDescent="0.3">
      <c r="B687" s="60">
        <v>684</v>
      </c>
      <c r="C687" s="58">
        <v>37698</v>
      </c>
      <c r="D687" s="57">
        <v>4024</v>
      </c>
      <c r="E687" s="58">
        <v>9633</v>
      </c>
      <c r="F687" s="59">
        <v>391</v>
      </c>
      <c r="G687" s="18">
        <v>7.2683019059999996</v>
      </c>
    </row>
    <row r="688" spans="2:7" x14ac:dyDescent="0.3">
      <c r="B688" s="60">
        <v>685</v>
      </c>
      <c r="C688" s="58">
        <v>56211</v>
      </c>
      <c r="D688" s="57">
        <v>5787</v>
      </c>
      <c r="E688" s="58">
        <v>6106</v>
      </c>
      <c r="F688" s="59">
        <v>420</v>
      </c>
      <c r="G688" s="18">
        <v>4.3312120920000003</v>
      </c>
    </row>
    <row r="689" spans="2:7" x14ac:dyDescent="0.3">
      <c r="B689" s="60">
        <v>686</v>
      </c>
      <c r="C689" s="58">
        <v>38894</v>
      </c>
      <c r="D689" s="57">
        <v>2967</v>
      </c>
      <c r="E689" s="58">
        <v>11747</v>
      </c>
      <c r="F689" s="59">
        <v>386</v>
      </c>
      <c r="G689" s="18">
        <v>5.2318684299999996</v>
      </c>
    </row>
    <row r="690" spans="2:7" x14ac:dyDescent="0.3">
      <c r="B690" s="60">
        <v>687</v>
      </c>
      <c r="C690" s="58">
        <v>54898</v>
      </c>
      <c r="D690" s="57">
        <v>5213</v>
      </c>
      <c r="E690" s="58">
        <v>7254</v>
      </c>
      <c r="F690" s="59">
        <v>413</v>
      </c>
      <c r="G690" s="18">
        <v>4.5781394979999996</v>
      </c>
    </row>
    <row r="691" spans="2:7" x14ac:dyDescent="0.3">
      <c r="B691" s="60">
        <v>688</v>
      </c>
      <c r="C691" s="58">
        <v>41385</v>
      </c>
      <c r="D691" s="57">
        <v>3613</v>
      </c>
      <c r="E691" s="58">
        <v>10455</v>
      </c>
      <c r="F691" s="59">
        <v>389</v>
      </c>
      <c r="G691" s="18">
        <v>4.8615183269999998</v>
      </c>
    </row>
    <row r="692" spans="2:7" x14ac:dyDescent="0.3">
      <c r="B692" s="60">
        <v>689</v>
      </c>
      <c r="C692" s="58">
        <v>34050</v>
      </c>
      <c r="D692" s="57">
        <v>3242</v>
      </c>
      <c r="E692" s="58">
        <v>11198</v>
      </c>
      <c r="F692" s="59">
        <v>372</v>
      </c>
      <c r="G692" s="18">
        <v>4.3253943169999998</v>
      </c>
    </row>
    <row r="693" spans="2:7" x14ac:dyDescent="0.3">
      <c r="B693" s="60">
        <v>690</v>
      </c>
      <c r="C693" s="58">
        <v>42027</v>
      </c>
      <c r="D693" s="57">
        <v>3848</v>
      </c>
      <c r="E693" s="58">
        <v>9984</v>
      </c>
      <c r="F693" s="59">
        <v>392</v>
      </c>
      <c r="G693" s="18">
        <v>5.4833747109999997</v>
      </c>
    </row>
    <row r="694" spans="2:7" x14ac:dyDescent="0.3">
      <c r="B694" s="60">
        <v>691</v>
      </c>
      <c r="C694" s="58">
        <v>41400</v>
      </c>
      <c r="D694" s="57">
        <v>4328</v>
      </c>
      <c r="E694" s="58">
        <v>9026</v>
      </c>
      <c r="F694" s="59">
        <v>389</v>
      </c>
      <c r="G694" s="18">
        <v>5.8991470970000002</v>
      </c>
    </row>
    <row r="695" spans="2:7" x14ac:dyDescent="0.3">
      <c r="B695" s="60">
        <v>692</v>
      </c>
      <c r="C695" s="58">
        <v>37025</v>
      </c>
      <c r="D695" s="57">
        <v>3483</v>
      </c>
      <c r="E695" s="58">
        <v>10715</v>
      </c>
      <c r="F695" s="59">
        <v>375</v>
      </c>
      <c r="G695" s="18">
        <v>4.9524948970000002</v>
      </c>
    </row>
    <row r="696" spans="2:7" x14ac:dyDescent="0.3">
      <c r="B696" s="60">
        <v>693</v>
      </c>
      <c r="C696" s="58">
        <v>59188</v>
      </c>
      <c r="D696" s="57">
        <v>6112</v>
      </c>
      <c r="E696" s="58">
        <v>5457</v>
      </c>
      <c r="F696" s="59">
        <v>429</v>
      </c>
      <c r="G696" s="18">
        <v>4.6999104899999997</v>
      </c>
    </row>
    <row r="697" spans="2:7" x14ac:dyDescent="0.3">
      <c r="B697" s="60">
        <v>694</v>
      </c>
      <c r="C697" s="58">
        <v>66390</v>
      </c>
      <c r="D697" s="57">
        <v>6827</v>
      </c>
      <c r="E697" s="58">
        <v>4027</v>
      </c>
      <c r="F697" s="59">
        <v>435</v>
      </c>
      <c r="G697" s="18">
        <v>5.8881980580000004</v>
      </c>
    </row>
    <row r="698" spans="2:7" x14ac:dyDescent="0.3">
      <c r="B698" s="60">
        <v>695</v>
      </c>
      <c r="C698" s="58">
        <v>33532</v>
      </c>
      <c r="D698" s="57">
        <v>3445</v>
      </c>
      <c r="E698" s="58">
        <v>10791</v>
      </c>
      <c r="F698" s="59">
        <v>370</v>
      </c>
      <c r="G698" s="18">
        <v>4.3411994739999997</v>
      </c>
    </row>
    <row r="699" spans="2:7" x14ac:dyDescent="0.3">
      <c r="B699" s="60">
        <v>696</v>
      </c>
      <c r="C699" s="58">
        <v>66497</v>
      </c>
      <c r="D699" s="57">
        <v>5720</v>
      </c>
      <c r="E699" s="58">
        <v>6241</v>
      </c>
      <c r="F699" s="59">
        <v>440</v>
      </c>
      <c r="G699" s="18">
        <v>5.2773707779999999</v>
      </c>
    </row>
    <row r="700" spans="2:7" x14ac:dyDescent="0.3">
      <c r="B700" s="60">
        <v>697</v>
      </c>
      <c r="C700" s="58">
        <v>47912</v>
      </c>
      <c r="D700" s="57">
        <v>4873</v>
      </c>
      <c r="E700" s="58">
        <v>7935</v>
      </c>
      <c r="F700" s="59">
        <v>414</v>
      </c>
      <c r="G700" s="18">
        <v>6.5594594190000004</v>
      </c>
    </row>
    <row r="701" spans="2:7" x14ac:dyDescent="0.3">
      <c r="B701" s="60">
        <v>698</v>
      </c>
      <c r="C701" s="58">
        <v>52825</v>
      </c>
      <c r="D701" s="57">
        <v>5193</v>
      </c>
      <c r="E701" s="58">
        <v>7295</v>
      </c>
      <c r="F701" s="59">
        <v>410</v>
      </c>
      <c r="G701" s="18">
        <v>5.7933293389999996</v>
      </c>
    </row>
    <row r="702" spans="2:7" x14ac:dyDescent="0.3">
      <c r="B702" s="60">
        <v>699</v>
      </c>
      <c r="C702" s="58">
        <v>55185</v>
      </c>
      <c r="D702" s="57">
        <v>4771</v>
      </c>
      <c r="E702" s="58">
        <v>8140</v>
      </c>
      <c r="F702" s="59">
        <v>419</v>
      </c>
      <c r="G702" s="18">
        <v>6.3008039140000003</v>
      </c>
    </row>
    <row r="703" spans="2:7" x14ac:dyDescent="0.3">
      <c r="B703" s="60">
        <v>700</v>
      </c>
      <c r="C703" s="58">
        <v>45680</v>
      </c>
      <c r="D703" s="57">
        <v>4476</v>
      </c>
      <c r="E703" s="58">
        <v>8728</v>
      </c>
      <c r="F703" s="59">
        <v>416</v>
      </c>
      <c r="G703" s="18">
        <v>4.4235351549999997</v>
      </c>
    </row>
    <row r="704" spans="2:7" x14ac:dyDescent="0.3">
      <c r="B704" s="60">
        <v>701</v>
      </c>
      <c r="C704" s="58">
        <v>46599</v>
      </c>
      <c r="D704" s="57">
        <v>3741</v>
      </c>
      <c r="E704" s="58">
        <v>10199</v>
      </c>
      <c r="F704" s="59">
        <v>401</v>
      </c>
      <c r="G704" s="18">
        <v>5.724873433</v>
      </c>
    </row>
    <row r="705" spans="2:7" x14ac:dyDescent="0.3">
      <c r="B705" s="60">
        <v>702</v>
      </c>
      <c r="C705" s="58">
        <v>55248</v>
      </c>
      <c r="D705" s="57">
        <v>4612</v>
      </c>
      <c r="E705" s="58">
        <v>8457</v>
      </c>
      <c r="F705" s="59">
        <v>421</v>
      </c>
      <c r="G705" s="18">
        <v>6.7993017690000004</v>
      </c>
    </row>
    <row r="706" spans="2:7" x14ac:dyDescent="0.3">
      <c r="B706" s="60">
        <v>703</v>
      </c>
      <c r="C706" s="58">
        <v>34692</v>
      </c>
      <c r="D706" s="57">
        <v>2994</v>
      </c>
      <c r="E706" s="58">
        <v>11693</v>
      </c>
      <c r="F706" s="59">
        <v>368</v>
      </c>
      <c r="G706" s="18">
        <v>5.6096760659999996</v>
      </c>
    </row>
    <row r="707" spans="2:7" x14ac:dyDescent="0.3">
      <c r="B707" s="60">
        <v>704</v>
      </c>
      <c r="C707" s="58">
        <v>74012</v>
      </c>
      <c r="D707" s="57">
        <v>7814</v>
      </c>
      <c r="E707" s="58">
        <v>2053</v>
      </c>
      <c r="F707" s="59">
        <v>448</v>
      </c>
      <c r="G707" s="18">
        <v>4.4752362520000002</v>
      </c>
    </row>
    <row r="708" spans="2:7" x14ac:dyDescent="0.3">
      <c r="B708" s="60">
        <v>705</v>
      </c>
      <c r="C708" s="58">
        <v>40800</v>
      </c>
      <c r="D708" s="57">
        <v>4856</v>
      </c>
      <c r="E708" s="58">
        <v>7969</v>
      </c>
      <c r="F708" s="59">
        <v>399</v>
      </c>
      <c r="G708" s="18">
        <v>4.6134713339999998</v>
      </c>
    </row>
    <row r="709" spans="2:7" x14ac:dyDescent="0.3">
      <c r="B709" s="60">
        <v>706</v>
      </c>
      <c r="C709" s="58">
        <v>55045</v>
      </c>
      <c r="D709" s="57">
        <v>5992</v>
      </c>
      <c r="E709" s="58">
        <v>5697</v>
      </c>
      <c r="F709" s="59">
        <v>429</v>
      </c>
      <c r="G709" s="18">
        <v>4.4766825030000001</v>
      </c>
    </row>
    <row r="710" spans="2:7" x14ac:dyDescent="0.3">
      <c r="B710" s="60">
        <v>707</v>
      </c>
      <c r="C710" s="58">
        <v>60883</v>
      </c>
      <c r="D710" s="57">
        <v>5481</v>
      </c>
      <c r="E710" s="58">
        <v>6719</v>
      </c>
      <c r="F710" s="59">
        <v>436</v>
      </c>
      <c r="G710" s="18">
        <v>4.1568931840000003</v>
      </c>
    </row>
    <row r="711" spans="2:7" x14ac:dyDescent="0.3">
      <c r="B711" s="60">
        <v>708</v>
      </c>
      <c r="C711" s="58">
        <v>67150</v>
      </c>
      <c r="D711" s="57">
        <v>6759</v>
      </c>
      <c r="E711" s="58">
        <v>4163</v>
      </c>
      <c r="F711" s="59">
        <v>432</v>
      </c>
      <c r="G711" s="18">
        <v>4.4106459139999998</v>
      </c>
    </row>
    <row r="712" spans="2:7" x14ac:dyDescent="0.3">
      <c r="B712" s="60">
        <v>709</v>
      </c>
      <c r="C712" s="58">
        <v>43985</v>
      </c>
      <c r="D712" s="57">
        <v>4686</v>
      </c>
      <c r="E712" s="58">
        <v>8309</v>
      </c>
      <c r="F712" s="59">
        <v>390</v>
      </c>
      <c r="G712" s="18">
        <v>6.0065578530000003</v>
      </c>
    </row>
    <row r="713" spans="2:7" x14ac:dyDescent="0.3">
      <c r="B713" s="60">
        <v>710</v>
      </c>
      <c r="C713" s="58">
        <v>51354</v>
      </c>
      <c r="D713" s="57">
        <v>5154</v>
      </c>
      <c r="E713" s="58">
        <v>7374</v>
      </c>
      <c r="F713" s="59">
        <v>412</v>
      </c>
      <c r="G713" s="18">
        <v>3.820719875</v>
      </c>
    </row>
    <row r="714" spans="2:7" x14ac:dyDescent="0.3">
      <c r="B714" s="60">
        <v>711</v>
      </c>
      <c r="C714" s="58">
        <v>61258</v>
      </c>
      <c r="D714" s="57">
        <v>6349</v>
      </c>
      <c r="E714" s="58">
        <v>4984</v>
      </c>
      <c r="F714" s="59">
        <v>431</v>
      </c>
      <c r="G714" s="18">
        <v>4.2524774389999997</v>
      </c>
    </row>
    <row r="715" spans="2:7" x14ac:dyDescent="0.3">
      <c r="B715" s="60">
        <v>712</v>
      </c>
      <c r="C715" s="58">
        <v>59252</v>
      </c>
      <c r="D715" s="57">
        <v>6199</v>
      </c>
      <c r="E715" s="58">
        <v>5283</v>
      </c>
      <c r="F715" s="59">
        <v>433</v>
      </c>
      <c r="G715" s="18">
        <v>6.9082731449999999</v>
      </c>
    </row>
    <row r="716" spans="2:7" x14ac:dyDescent="0.3">
      <c r="B716" s="60">
        <v>713</v>
      </c>
      <c r="C716" s="58">
        <v>50735</v>
      </c>
      <c r="D716" s="57">
        <v>4874</v>
      </c>
      <c r="E716" s="58">
        <v>7934</v>
      </c>
      <c r="F716" s="59">
        <v>415</v>
      </c>
      <c r="G716" s="18">
        <v>2.913122547</v>
      </c>
    </row>
    <row r="717" spans="2:7" x14ac:dyDescent="0.3">
      <c r="B717" s="60">
        <v>714</v>
      </c>
      <c r="C717" s="58">
        <v>41814</v>
      </c>
      <c r="D717" s="57">
        <v>4788</v>
      </c>
      <c r="E717" s="58">
        <v>8105</v>
      </c>
      <c r="F717" s="59">
        <v>396</v>
      </c>
      <c r="G717" s="18">
        <v>5.1839711839999998</v>
      </c>
    </row>
    <row r="718" spans="2:7" x14ac:dyDescent="0.3">
      <c r="B718" s="60">
        <v>715</v>
      </c>
      <c r="C718" s="58">
        <v>30583</v>
      </c>
      <c r="D718" s="57">
        <v>3107</v>
      </c>
      <c r="E718" s="58">
        <v>11467</v>
      </c>
      <c r="F718" s="59">
        <v>360</v>
      </c>
      <c r="G718" s="18">
        <v>5.383951819</v>
      </c>
    </row>
    <row r="719" spans="2:7" x14ac:dyDescent="0.3">
      <c r="B719" s="60">
        <v>716</v>
      </c>
      <c r="C719" s="58">
        <v>53288</v>
      </c>
      <c r="D719" s="57">
        <v>5006</v>
      </c>
      <c r="E719" s="58">
        <v>7669</v>
      </c>
      <c r="F719" s="59">
        <v>417</v>
      </c>
      <c r="G719" s="18">
        <v>3.8002305239999998</v>
      </c>
    </row>
    <row r="720" spans="2:7" x14ac:dyDescent="0.3">
      <c r="B720" s="60">
        <v>717</v>
      </c>
      <c r="C720" s="58">
        <v>34824</v>
      </c>
      <c r="D720" s="57">
        <v>3641</v>
      </c>
      <c r="E720" s="58">
        <v>10399</v>
      </c>
      <c r="F720" s="59">
        <v>373</v>
      </c>
      <c r="G720" s="18">
        <v>6.8195399940000003</v>
      </c>
    </row>
    <row r="721" spans="2:7" x14ac:dyDescent="0.3">
      <c r="B721" s="60">
        <v>718</v>
      </c>
      <c r="C721" s="58">
        <v>58994</v>
      </c>
      <c r="D721" s="57">
        <v>7134</v>
      </c>
      <c r="E721" s="58">
        <v>3414</v>
      </c>
      <c r="F721" s="59">
        <v>428</v>
      </c>
      <c r="G721" s="18">
        <v>4.8205532590000004</v>
      </c>
    </row>
    <row r="722" spans="2:7" x14ac:dyDescent="0.3">
      <c r="B722" s="60">
        <v>719</v>
      </c>
      <c r="C722" s="58">
        <v>36405</v>
      </c>
      <c r="D722" s="57">
        <v>3139</v>
      </c>
      <c r="E722" s="58">
        <v>11403</v>
      </c>
      <c r="F722" s="59">
        <v>374</v>
      </c>
      <c r="G722" s="18">
        <v>5.5944028069999998</v>
      </c>
    </row>
    <row r="723" spans="2:7" x14ac:dyDescent="0.3">
      <c r="B723" s="60">
        <v>720</v>
      </c>
      <c r="C723" s="58">
        <v>68039</v>
      </c>
      <c r="D723" s="57">
        <v>6639</v>
      </c>
      <c r="E723" s="58">
        <v>4402</v>
      </c>
      <c r="F723" s="59">
        <v>442</v>
      </c>
      <c r="G723" s="18">
        <v>5.2339228059999998</v>
      </c>
    </row>
    <row r="724" spans="2:7" x14ac:dyDescent="0.3">
      <c r="B724" s="60">
        <v>721</v>
      </c>
      <c r="C724" s="58">
        <v>39365</v>
      </c>
      <c r="D724" s="57">
        <v>3673</v>
      </c>
      <c r="E724" s="58">
        <v>10334</v>
      </c>
      <c r="F724" s="59">
        <v>379</v>
      </c>
      <c r="G724" s="18">
        <v>6.2749177789999999</v>
      </c>
    </row>
    <row r="725" spans="2:7" x14ac:dyDescent="0.3">
      <c r="B725" s="60">
        <v>722</v>
      </c>
      <c r="C725" s="58">
        <v>30545</v>
      </c>
      <c r="D725" s="57">
        <v>4493</v>
      </c>
      <c r="E725" s="58">
        <v>8695</v>
      </c>
      <c r="F725" s="59">
        <v>363</v>
      </c>
      <c r="G725" s="18">
        <v>6.1499396040000001</v>
      </c>
    </row>
    <row r="726" spans="2:7" x14ac:dyDescent="0.3">
      <c r="B726" s="60">
        <v>723</v>
      </c>
      <c r="C726" s="58">
        <v>57413</v>
      </c>
      <c r="D726" s="57">
        <v>5683</v>
      </c>
      <c r="E726" s="58">
        <v>6315</v>
      </c>
      <c r="F726" s="59">
        <v>424</v>
      </c>
      <c r="G726" s="18">
        <v>4.644892542</v>
      </c>
    </row>
    <row r="727" spans="2:7" x14ac:dyDescent="0.3">
      <c r="B727" s="60">
        <v>724</v>
      </c>
      <c r="C727" s="58">
        <v>62318</v>
      </c>
      <c r="D727" s="57">
        <v>5835</v>
      </c>
      <c r="E727" s="58">
        <v>6010</v>
      </c>
      <c r="F727" s="59">
        <v>434</v>
      </c>
      <c r="G727" s="18">
        <v>3.91763028</v>
      </c>
    </row>
    <row r="728" spans="2:7" x14ac:dyDescent="0.3">
      <c r="B728" s="60">
        <v>725</v>
      </c>
      <c r="C728" s="58">
        <v>39248</v>
      </c>
      <c r="D728" s="57">
        <v>3408</v>
      </c>
      <c r="E728" s="58">
        <v>10865</v>
      </c>
      <c r="F728" s="59">
        <v>384</v>
      </c>
      <c r="G728" s="18">
        <v>4.6988789950000003</v>
      </c>
    </row>
    <row r="729" spans="2:7" x14ac:dyDescent="0.3">
      <c r="B729" s="60">
        <v>726</v>
      </c>
      <c r="C729" s="58">
        <v>51210</v>
      </c>
      <c r="D729" s="57">
        <v>5015</v>
      </c>
      <c r="E729" s="58">
        <v>7650</v>
      </c>
      <c r="F729" s="59">
        <v>418</v>
      </c>
      <c r="G729" s="18">
        <v>3.2692193189999998</v>
      </c>
    </row>
    <row r="730" spans="2:7" x14ac:dyDescent="0.3">
      <c r="B730" s="60">
        <v>727</v>
      </c>
      <c r="C730" s="58">
        <v>57432</v>
      </c>
      <c r="D730" s="57">
        <v>6106</v>
      </c>
      <c r="E730" s="58">
        <v>5468</v>
      </c>
      <c r="F730" s="59">
        <v>427</v>
      </c>
      <c r="G730" s="18">
        <v>4.5094960899999998</v>
      </c>
    </row>
    <row r="731" spans="2:7" x14ac:dyDescent="0.3">
      <c r="B731" s="60">
        <v>728</v>
      </c>
      <c r="C731" s="58">
        <v>29158</v>
      </c>
      <c r="D731" s="57">
        <v>2968</v>
      </c>
      <c r="E731" s="58">
        <v>11745</v>
      </c>
      <c r="F731" s="59">
        <v>358</v>
      </c>
      <c r="G731" s="18">
        <v>5.4186926790000003</v>
      </c>
    </row>
    <row r="732" spans="2:7" x14ac:dyDescent="0.3">
      <c r="B732" s="60">
        <v>729</v>
      </c>
      <c r="C732" s="58">
        <v>46420</v>
      </c>
      <c r="D732" s="57">
        <v>4672</v>
      </c>
      <c r="E732" s="58">
        <v>8337</v>
      </c>
      <c r="F732" s="59">
        <v>396</v>
      </c>
      <c r="G732" s="18">
        <v>6.5339858050000004</v>
      </c>
    </row>
    <row r="733" spans="2:7" x14ac:dyDescent="0.3">
      <c r="B733" s="60">
        <v>730</v>
      </c>
      <c r="C733" s="58">
        <v>42580</v>
      </c>
      <c r="D733" s="57">
        <v>3742</v>
      </c>
      <c r="E733" s="58">
        <v>10198</v>
      </c>
      <c r="F733" s="59">
        <v>397</v>
      </c>
      <c r="G733" s="18">
        <v>3.89042362</v>
      </c>
    </row>
    <row r="734" spans="2:7" x14ac:dyDescent="0.3">
      <c r="B734" s="60">
        <v>731</v>
      </c>
      <c r="C734" s="58">
        <v>41932</v>
      </c>
      <c r="D734" s="57">
        <v>3832</v>
      </c>
      <c r="E734" s="58">
        <v>10018</v>
      </c>
      <c r="F734" s="59">
        <v>394</v>
      </c>
      <c r="G734" s="18">
        <v>4.3499692559999996</v>
      </c>
    </row>
    <row r="735" spans="2:7" x14ac:dyDescent="0.3">
      <c r="B735" s="60">
        <v>732</v>
      </c>
      <c r="C735" s="58">
        <v>53917</v>
      </c>
      <c r="D735" s="57">
        <v>5541</v>
      </c>
      <c r="E735" s="58">
        <v>6599</v>
      </c>
      <c r="F735" s="59">
        <v>425</v>
      </c>
      <c r="G735" s="18">
        <v>6.0381781820000002</v>
      </c>
    </row>
    <row r="736" spans="2:7" x14ac:dyDescent="0.3">
      <c r="B736" s="60">
        <v>733</v>
      </c>
      <c r="C736" s="58">
        <v>57285</v>
      </c>
      <c r="D736" s="57">
        <v>6215</v>
      </c>
      <c r="E736" s="58">
        <v>5251</v>
      </c>
      <c r="F736" s="59">
        <v>421</v>
      </c>
      <c r="G736" s="18">
        <v>4.5939564080000004</v>
      </c>
    </row>
    <row r="737" spans="2:7" x14ac:dyDescent="0.3">
      <c r="B737" s="60">
        <v>734</v>
      </c>
      <c r="C737" s="58">
        <v>47188</v>
      </c>
      <c r="D737" s="57">
        <v>5057</v>
      </c>
      <c r="E737" s="58">
        <v>7568</v>
      </c>
      <c r="F737" s="59">
        <v>410</v>
      </c>
      <c r="G737" s="18">
        <v>5.2559632519999999</v>
      </c>
    </row>
    <row r="738" spans="2:7" x14ac:dyDescent="0.3">
      <c r="B738" s="60">
        <v>735</v>
      </c>
      <c r="C738" s="58">
        <v>41572</v>
      </c>
      <c r="D738" s="57">
        <v>3057</v>
      </c>
      <c r="E738" s="58">
        <v>11566</v>
      </c>
      <c r="F738" s="59">
        <v>398</v>
      </c>
      <c r="G738" s="18">
        <v>4.8744906739999996</v>
      </c>
    </row>
    <row r="739" spans="2:7" x14ac:dyDescent="0.3">
      <c r="B739" s="60">
        <v>736</v>
      </c>
      <c r="C739" s="58">
        <v>67101</v>
      </c>
      <c r="D739" s="57">
        <v>7662</v>
      </c>
      <c r="E739" s="58">
        <v>2357</v>
      </c>
      <c r="F739" s="59">
        <v>449</v>
      </c>
      <c r="G739" s="18">
        <v>5.4936358759999999</v>
      </c>
    </row>
    <row r="740" spans="2:7" x14ac:dyDescent="0.3">
      <c r="B740" s="60">
        <v>737</v>
      </c>
      <c r="C740" s="58">
        <v>48707</v>
      </c>
      <c r="D740" s="57">
        <v>4495</v>
      </c>
      <c r="E740" s="58">
        <v>8691</v>
      </c>
      <c r="F740" s="59">
        <v>411</v>
      </c>
      <c r="G740" s="18">
        <v>4.0587041079999997</v>
      </c>
    </row>
    <row r="741" spans="2:7" x14ac:dyDescent="0.3">
      <c r="B741" s="60">
        <v>738</v>
      </c>
      <c r="C741" s="58">
        <v>50908</v>
      </c>
      <c r="D741" s="57">
        <v>5769</v>
      </c>
      <c r="E741" s="58">
        <v>6143</v>
      </c>
      <c r="F741" s="59">
        <v>414</v>
      </c>
      <c r="G741" s="18">
        <v>5.3840542119999997</v>
      </c>
    </row>
    <row r="742" spans="2:7" x14ac:dyDescent="0.3">
      <c r="B742" s="60">
        <v>739</v>
      </c>
      <c r="C742" s="58">
        <v>57114</v>
      </c>
      <c r="D742" s="57">
        <v>4876</v>
      </c>
      <c r="E742" s="58">
        <v>7929</v>
      </c>
      <c r="F742" s="59">
        <v>422</v>
      </c>
      <c r="G742" s="18">
        <v>4.2666292459999999</v>
      </c>
    </row>
    <row r="743" spans="2:7" x14ac:dyDescent="0.3">
      <c r="B743" s="60">
        <v>740</v>
      </c>
      <c r="C743" s="58">
        <v>52070</v>
      </c>
      <c r="D743" s="57">
        <v>5682</v>
      </c>
      <c r="E743" s="58">
        <v>6316</v>
      </c>
      <c r="F743" s="59">
        <v>421</v>
      </c>
      <c r="G743" s="18">
        <v>6.1408978239999996</v>
      </c>
    </row>
    <row r="744" spans="2:7" x14ac:dyDescent="0.3">
      <c r="B744" s="60">
        <v>741</v>
      </c>
      <c r="C744" s="58">
        <v>32776</v>
      </c>
      <c r="D744" s="57">
        <v>2926</v>
      </c>
      <c r="E744" s="58">
        <v>11829</v>
      </c>
      <c r="F744" s="59">
        <v>361</v>
      </c>
      <c r="G744" s="18">
        <v>4.455780785</v>
      </c>
    </row>
    <row r="745" spans="2:7" x14ac:dyDescent="0.3">
      <c r="B745" s="60">
        <v>742</v>
      </c>
      <c r="C745" s="58">
        <v>55568</v>
      </c>
      <c r="D745" s="57">
        <v>6104</v>
      </c>
      <c r="E745" s="58">
        <v>5474</v>
      </c>
      <c r="F745" s="59">
        <v>418</v>
      </c>
      <c r="G745" s="18">
        <v>4.2979300089999999</v>
      </c>
    </row>
    <row r="746" spans="2:7" x14ac:dyDescent="0.3">
      <c r="B746" s="60">
        <v>743</v>
      </c>
      <c r="C746" s="58">
        <v>40282</v>
      </c>
      <c r="D746" s="57">
        <v>3996</v>
      </c>
      <c r="E746" s="58">
        <v>9690</v>
      </c>
      <c r="F746" s="59">
        <v>388</v>
      </c>
      <c r="G746" s="18">
        <v>4.0621927739999997</v>
      </c>
    </row>
    <row r="747" spans="2:7" x14ac:dyDescent="0.3">
      <c r="B747" s="60">
        <v>744</v>
      </c>
      <c r="C747" s="58">
        <v>49629</v>
      </c>
      <c r="D747" s="57">
        <v>4454</v>
      </c>
      <c r="E747" s="58">
        <v>8774</v>
      </c>
      <c r="F747" s="59">
        <v>409</v>
      </c>
      <c r="G747" s="18">
        <v>7.7229006150000004</v>
      </c>
    </row>
    <row r="748" spans="2:7" x14ac:dyDescent="0.3">
      <c r="B748" s="60">
        <v>745</v>
      </c>
      <c r="C748" s="58">
        <v>49186</v>
      </c>
      <c r="D748" s="57">
        <v>4245</v>
      </c>
      <c r="E748" s="58">
        <v>9191</v>
      </c>
      <c r="F748" s="59">
        <v>414</v>
      </c>
      <c r="G748" s="18">
        <v>3.8245754019999998</v>
      </c>
    </row>
    <row r="749" spans="2:7" x14ac:dyDescent="0.3">
      <c r="B749" s="60">
        <v>746</v>
      </c>
      <c r="C749" s="58">
        <v>49199</v>
      </c>
      <c r="D749" s="57">
        <v>3591</v>
      </c>
      <c r="E749" s="58">
        <v>10499</v>
      </c>
      <c r="F749" s="59">
        <v>410</v>
      </c>
      <c r="G749" s="18">
        <v>5.2857429429999998</v>
      </c>
    </row>
    <row r="750" spans="2:7" x14ac:dyDescent="0.3">
      <c r="B750" s="60">
        <v>747</v>
      </c>
      <c r="C750" s="58">
        <v>48228</v>
      </c>
      <c r="D750" s="57">
        <v>4661</v>
      </c>
      <c r="E750" s="58">
        <v>8360</v>
      </c>
      <c r="F750" s="59">
        <v>410</v>
      </c>
      <c r="G750" s="18">
        <v>4.595972401</v>
      </c>
    </row>
    <row r="751" spans="2:7" x14ac:dyDescent="0.3">
      <c r="B751" s="60">
        <v>748</v>
      </c>
      <c r="C751" s="58">
        <v>59116</v>
      </c>
      <c r="D751" s="57">
        <v>5385</v>
      </c>
      <c r="E751" s="58">
        <v>6910</v>
      </c>
      <c r="F751" s="59">
        <v>426</v>
      </c>
      <c r="G751" s="18">
        <v>3.487828307</v>
      </c>
    </row>
    <row r="752" spans="2:7" x14ac:dyDescent="0.3">
      <c r="B752" s="60">
        <v>749</v>
      </c>
      <c r="C752" s="58">
        <v>32590</v>
      </c>
      <c r="D752" s="57">
        <v>2209</v>
      </c>
      <c r="E752" s="58">
        <v>13263</v>
      </c>
      <c r="F752" s="59">
        <v>367</v>
      </c>
      <c r="G752" s="18">
        <v>4.9850831050000002</v>
      </c>
    </row>
    <row r="753" spans="2:7" x14ac:dyDescent="0.3">
      <c r="B753" s="60">
        <v>750</v>
      </c>
      <c r="C753" s="58">
        <v>33635</v>
      </c>
      <c r="D753" s="57">
        <v>3622</v>
      </c>
      <c r="E753" s="58">
        <v>10438</v>
      </c>
      <c r="F753" s="59">
        <v>377</v>
      </c>
      <c r="G753" s="18">
        <v>6.7665768799999997</v>
      </c>
    </row>
    <row r="754" spans="2:7" x14ac:dyDescent="0.3">
      <c r="B754" s="60">
        <v>751</v>
      </c>
      <c r="C754" s="58">
        <v>51067</v>
      </c>
      <c r="D754" s="57">
        <v>4748</v>
      </c>
      <c r="E754" s="58">
        <v>8185</v>
      </c>
      <c r="F754" s="59">
        <v>418</v>
      </c>
      <c r="G754" s="18">
        <v>5.8197877729999998</v>
      </c>
    </row>
    <row r="755" spans="2:7" x14ac:dyDescent="0.3">
      <c r="B755" s="60">
        <v>752</v>
      </c>
      <c r="C755" s="58">
        <v>59262</v>
      </c>
      <c r="D755" s="57">
        <v>6253</v>
      </c>
      <c r="E755" s="58">
        <v>5175</v>
      </c>
      <c r="F755" s="59">
        <v>430</v>
      </c>
      <c r="G755" s="18">
        <v>5.2141757459999996</v>
      </c>
    </row>
    <row r="756" spans="2:7" x14ac:dyDescent="0.3">
      <c r="B756" s="60">
        <v>753</v>
      </c>
      <c r="C756" s="58">
        <v>52561</v>
      </c>
      <c r="D756" s="57">
        <v>6369</v>
      </c>
      <c r="E756" s="58">
        <v>4944</v>
      </c>
      <c r="F756" s="59">
        <v>422</v>
      </c>
      <c r="G756" s="18">
        <v>4.8328812430000001</v>
      </c>
    </row>
    <row r="757" spans="2:7" x14ac:dyDescent="0.3">
      <c r="B757" s="60">
        <v>754</v>
      </c>
      <c r="C757" s="58">
        <v>53692</v>
      </c>
      <c r="D757" s="57">
        <v>5187</v>
      </c>
      <c r="E757" s="58">
        <v>7307</v>
      </c>
      <c r="F757" s="59">
        <v>420</v>
      </c>
      <c r="G757" s="18">
        <v>4.4237469880000004</v>
      </c>
    </row>
    <row r="758" spans="2:7" x14ac:dyDescent="0.3">
      <c r="B758" s="60">
        <v>755</v>
      </c>
      <c r="C758" s="58">
        <v>27359</v>
      </c>
      <c r="D758" s="57">
        <v>2718</v>
      </c>
      <c r="E758" s="58">
        <v>12245</v>
      </c>
      <c r="F758" s="59">
        <v>344</v>
      </c>
      <c r="G758" s="18">
        <v>6.2521154130000003</v>
      </c>
    </row>
    <row r="759" spans="2:7" x14ac:dyDescent="0.3">
      <c r="B759" s="60">
        <v>756</v>
      </c>
      <c r="C759" s="58">
        <v>39838</v>
      </c>
      <c r="D759" s="57">
        <v>3772</v>
      </c>
      <c r="E759" s="58">
        <v>10137</v>
      </c>
      <c r="F759" s="59">
        <v>384</v>
      </c>
      <c r="G759" s="18">
        <v>5.0030311059999999</v>
      </c>
    </row>
    <row r="760" spans="2:7" x14ac:dyDescent="0.3">
      <c r="B760" s="60">
        <v>757</v>
      </c>
      <c r="C760" s="58">
        <v>54140</v>
      </c>
      <c r="D760" s="57">
        <v>5082</v>
      </c>
      <c r="E760" s="58">
        <v>7518</v>
      </c>
      <c r="F760" s="59">
        <v>414</v>
      </c>
      <c r="G760" s="18">
        <v>5.2598120140000004</v>
      </c>
    </row>
    <row r="761" spans="2:7" x14ac:dyDescent="0.3">
      <c r="B761" s="60">
        <v>758</v>
      </c>
      <c r="C761" s="58">
        <v>52995</v>
      </c>
      <c r="D761" s="57">
        <v>4808</v>
      </c>
      <c r="E761" s="58">
        <v>8065</v>
      </c>
      <c r="F761" s="59">
        <v>416</v>
      </c>
      <c r="G761" s="18">
        <v>5.5941048520000001</v>
      </c>
    </row>
    <row r="762" spans="2:7" x14ac:dyDescent="0.3">
      <c r="B762" s="60">
        <v>759</v>
      </c>
      <c r="C762" s="58">
        <v>56197</v>
      </c>
      <c r="D762" s="57">
        <v>4962</v>
      </c>
      <c r="E762" s="58">
        <v>7757</v>
      </c>
      <c r="F762" s="59">
        <v>419</v>
      </c>
      <c r="G762" s="18">
        <v>5.0446507929999997</v>
      </c>
    </row>
    <row r="763" spans="2:7" x14ac:dyDescent="0.3">
      <c r="B763" s="60">
        <v>760</v>
      </c>
      <c r="C763" s="58">
        <v>49580</v>
      </c>
      <c r="D763" s="57">
        <v>4606</v>
      </c>
      <c r="E763" s="58">
        <v>8469</v>
      </c>
      <c r="F763" s="59">
        <v>416</v>
      </c>
      <c r="G763" s="18">
        <v>4.7654571299999997</v>
      </c>
    </row>
    <row r="764" spans="2:7" x14ac:dyDescent="0.3">
      <c r="B764" s="60">
        <v>761</v>
      </c>
      <c r="C764" s="58">
        <v>49842</v>
      </c>
      <c r="D764" s="57">
        <v>4767</v>
      </c>
      <c r="E764" s="58">
        <v>8147</v>
      </c>
      <c r="F764" s="59">
        <v>410</v>
      </c>
      <c r="G764" s="18">
        <v>5.0120146109999997</v>
      </c>
    </row>
    <row r="765" spans="2:7" x14ac:dyDescent="0.3">
      <c r="B765" s="60">
        <v>762</v>
      </c>
      <c r="C765" s="58">
        <v>35294</v>
      </c>
      <c r="D765" s="57">
        <v>3642</v>
      </c>
      <c r="E765" s="58">
        <v>10397</v>
      </c>
      <c r="F765" s="59">
        <v>379</v>
      </c>
      <c r="G765" s="18">
        <v>5.6116860439999998</v>
      </c>
    </row>
    <row r="766" spans="2:7" x14ac:dyDescent="0.3">
      <c r="B766" s="60">
        <v>763</v>
      </c>
      <c r="C766" s="58">
        <v>54685</v>
      </c>
      <c r="D766" s="57">
        <v>5971</v>
      </c>
      <c r="E766" s="58">
        <v>5739</v>
      </c>
      <c r="F766" s="59">
        <v>415</v>
      </c>
      <c r="G766" s="18">
        <v>3.2316147389999998</v>
      </c>
    </row>
    <row r="767" spans="2:7" x14ac:dyDescent="0.3">
      <c r="B767" s="60">
        <v>764</v>
      </c>
      <c r="C767" s="58">
        <v>38306</v>
      </c>
      <c r="D767" s="57">
        <v>4406</v>
      </c>
      <c r="E767" s="58">
        <v>8869</v>
      </c>
      <c r="F767" s="59">
        <v>385</v>
      </c>
      <c r="G767" s="18">
        <v>5.8899123229999999</v>
      </c>
    </row>
    <row r="768" spans="2:7" x14ac:dyDescent="0.3">
      <c r="B768" s="60">
        <v>765</v>
      </c>
      <c r="C768" s="58">
        <v>45763</v>
      </c>
      <c r="D768" s="57">
        <v>4318</v>
      </c>
      <c r="E768" s="58">
        <v>9045</v>
      </c>
      <c r="F768" s="59">
        <v>405</v>
      </c>
      <c r="G768" s="18">
        <v>5.1345098719999998</v>
      </c>
    </row>
    <row r="769" spans="2:7" x14ac:dyDescent="0.3">
      <c r="B769" s="60">
        <v>766</v>
      </c>
      <c r="C769" s="58">
        <v>49712</v>
      </c>
      <c r="D769" s="57">
        <v>5443</v>
      </c>
      <c r="E769" s="58">
        <v>6795</v>
      </c>
      <c r="F769" s="59">
        <v>408</v>
      </c>
      <c r="G769" s="18">
        <v>5.0146627209999997</v>
      </c>
    </row>
    <row r="770" spans="2:7" x14ac:dyDescent="0.3">
      <c r="B770" s="60">
        <v>767</v>
      </c>
      <c r="C770" s="58">
        <v>49702</v>
      </c>
      <c r="D770" s="57">
        <v>5135</v>
      </c>
      <c r="E770" s="58">
        <v>7410</v>
      </c>
      <c r="F770" s="59">
        <v>411</v>
      </c>
      <c r="G770" s="18">
        <v>6.0023757700000004</v>
      </c>
    </row>
    <row r="771" spans="2:7" x14ac:dyDescent="0.3">
      <c r="B771" s="60">
        <v>768</v>
      </c>
      <c r="C771" s="58">
        <v>45657</v>
      </c>
      <c r="D771" s="57">
        <v>4489</v>
      </c>
      <c r="E771" s="58">
        <v>8703</v>
      </c>
      <c r="F771" s="59">
        <v>401</v>
      </c>
      <c r="G771" s="18">
        <v>5.3389785170000001</v>
      </c>
    </row>
    <row r="772" spans="2:7" x14ac:dyDescent="0.3">
      <c r="B772" s="60">
        <v>769</v>
      </c>
      <c r="C772" s="58">
        <v>48960</v>
      </c>
      <c r="D772" s="57">
        <v>5489</v>
      </c>
      <c r="E772" s="58">
        <v>6703</v>
      </c>
      <c r="F772" s="59">
        <v>404</v>
      </c>
      <c r="G772" s="18">
        <v>4.6089775680000002</v>
      </c>
    </row>
    <row r="773" spans="2:7" x14ac:dyDescent="0.3">
      <c r="B773" s="60">
        <v>770</v>
      </c>
      <c r="C773" s="58">
        <v>50706</v>
      </c>
      <c r="D773" s="57">
        <v>6046</v>
      </c>
      <c r="E773" s="58">
        <v>5588</v>
      </c>
      <c r="F773" s="59">
        <v>413</v>
      </c>
      <c r="G773" s="18">
        <v>4.3441852689999996</v>
      </c>
    </row>
    <row r="774" spans="2:7" x14ac:dyDescent="0.3">
      <c r="B774" s="60">
        <v>771</v>
      </c>
      <c r="C774" s="58">
        <v>70157</v>
      </c>
      <c r="D774" s="57">
        <v>6966</v>
      </c>
      <c r="E774" s="58">
        <v>3748</v>
      </c>
      <c r="F774" s="59">
        <v>445</v>
      </c>
      <c r="G774" s="18">
        <v>5.8738464029999999</v>
      </c>
    </row>
    <row r="775" spans="2:7" x14ac:dyDescent="0.3">
      <c r="B775" s="60">
        <v>772</v>
      </c>
      <c r="C775" s="58">
        <v>65190</v>
      </c>
      <c r="D775" s="57">
        <v>5711</v>
      </c>
      <c r="E775" s="58">
        <v>6259</v>
      </c>
      <c r="F775" s="59">
        <v>435</v>
      </c>
      <c r="G775" s="18">
        <v>4.9899172590000003</v>
      </c>
    </row>
    <row r="776" spans="2:7" x14ac:dyDescent="0.3">
      <c r="B776" s="60">
        <v>773</v>
      </c>
      <c r="C776" s="58">
        <v>62220</v>
      </c>
      <c r="D776" s="57">
        <v>6003</v>
      </c>
      <c r="E776" s="58">
        <v>5674</v>
      </c>
      <c r="F776" s="59">
        <v>432</v>
      </c>
      <c r="G776" s="18">
        <v>7.0880546610000001</v>
      </c>
    </row>
    <row r="777" spans="2:7" x14ac:dyDescent="0.3">
      <c r="B777" s="60">
        <v>774</v>
      </c>
      <c r="C777" s="58">
        <v>62807</v>
      </c>
      <c r="D777" s="57">
        <v>5925</v>
      </c>
      <c r="E777" s="58">
        <v>5831</v>
      </c>
      <c r="F777" s="59">
        <v>435</v>
      </c>
      <c r="G777" s="18">
        <v>6.3158160810000004</v>
      </c>
    </row>
    <row r="778" spans="2:7" x14ac:dyDescent="0.3">
      <c r="B778" s="60">
        <v>775</v>
      </c>
      <c r="C778" s="58">
        <v>40947</v>
      </c>
      <c r="D778" s="57">
        <v>3093</v>
      </c>
      <c r="E778" s="58">
        <v>11496</v>
      </c>
      <c r="F778" s="59">
        <v>382</v>
      </c>
      <c r="G778" s="18">
        <v>5.6165685820000002</v>
      </c>
    </row>
    <row r="779" spans="2:7" x14ac:dyDescent="0.3">
      <c r="B779" s="60">
        <v>776</v>
      </c>
      <c r="C779" s="58">
        <v>46323</v>
      </c>
      <c r="D779" s="57">
        <v>4844</v>
      </c>
      <c r="E779" s="58">
        <v>7993</v>
      </c>
      <c r="F779" s="59">
        <v>413</v>
      </c>
      <c r="G779" s="18">
        <v>5.5025882839999998</v>
      </c>
    </row>
    <row r="780" spans="2:7" x14ac:dyDescent="0.3">
      <c r="B780" s="60">
        <v>777</v>
      </c>
      <c r="C780" s="58">
        <v>60716</v>
      </c>
      <c r="D780" s="57">
        <v>6968</v>
      </c>
      <c r="E780" s="58">
        <v>3745</v>
      </c>
      <c r="F780" s="59">
        <v>435</v>
      </c>
      <c r="G780" s="18">
        <v>6.2658772069999999</v>
      </c>
    </row>
    <row r="781" spans="2:7" x14ac:dyDescent="0.3">
      <c r="B781" s="60">
        <v>778</v>
      </c>
      <c r="C781" s="58">
        <v>35146</v>
      </c>
      <c r="D781" s="57">
        <v>3241</v>
      </c>
      <c r="E781" s="58">
        <v>11200</v>
      </c>
      <c r="F781" s="59">
        <v>366</v>
      </c>
      <c r="G781" s="18">
        <v>5.5918872610000001</v>
      </c>
    </row>
    <row r="782" spans="2:7" x14ac:dyDescent="0.3">
      <c r="B782" s="60">
        <v>779</v>
      </c>
      <c r="C782" s="58">
        <v>38059</v>
      </c>
      <c r="D782" s="57">
        <v>3468</v>
      </c>
      <c r="E782" s="58">
        <v>10745</v>
      </c>
      <c r="F782" s="59">
        <v>394</v>
      </c>
      <c r="G782" s="18">
        <v>3.5639589859999998</v>
      </c>
    </row>
    <row r="783" spans="2:7" x14ac:dyDescent="0.3">
      <c r="B783" s="60">
        <v>780</v>
      </c>
      <c r="C783" s="58">
        <v>50792</v>
      </c>
      <c r="D783" s="57">
        <v>5709</v>
      </c>
      <c r="E783" s="58">
        <v>6264</v>
      </c>
      <c r="F783" s="59">
        <v>409</v>
      </c>
      <c r="G783" s="18">
        <v>6.0594151890000001</v>
      </c>
    </row>
    <row r="784" spans="2:7" x14ac:dyDescent="0.3">
      <c r="B784" s="60">
        <v>781</v>
      </c>
      <c r="C784" s="58">
        <v>59258</v>
      </c>
      <c r="D784" s="57">
        <v>5368</v>
      </c>
      <c r="E784" s="58">
        <v>6944</v>
      </c>
      <c r="F784" s="59">
        <v>429</v>
      </c>
      <c r="G784" s="18">
        <v>5.8208757889999996</v>
      </c>
    </row>
    <row r="785" spans="2:7" x14ac:dyDescent="0.3">
      <c r="B785" s="60">
        <v>782</v>
      </c>
      <c r="C785" s="58">
        <v>40654</v>
      </c>
      <c r="D785" s="57">
        <v>3581</v>
      </c>
      <c r="E785" s="58">
        <v>10519</v>
      </c>
      <c r="F785" s="59">
        <v>385</v>
      </c>
      <c r="G785" s="18">
        <v>3.797020759</v>
      </c>
    </row>
    <row r="786" spans="2:7" x14ac:dyDescent="0.3">
      <c r="B786" s="60">
        <v>783</v>
      </c>
      <c r="C786" s="58">
        <v>45955</v>
      </c>
      <c r="D786" s="57">
        <v>4717</v>
      </c>
      <c r="E786" s="58">
        <v>8248</v>
      </c>
      <c r="F786" s="59">
        <v>399</v>
      </c>
      <c r="G786" s="18">
        <v>5.2610893140000003</v>
      </c>
    </row>
    <row r="787" spans="2:7" x14ac:dyDescent="0.3">
      <c r="B787" s="60">
        <v>784</v>
      </c>
      <c r="C787" s="58">
        <v>57342</v>
      </c>
      <c r="D787" s="57">
        <v>5927</v>
      </c>
      <c r="E787" s="58">
        <v>5827</v>
      </c>
      <c r="F787" s="59">
        <v>423</v>
      </c>
      <c r="G787" s="18">
        <v>6.6884593670000001</v>
      </c>
    </row>
    <row r="788" spans="2:7" x14ac:dyDescent="0.3">
      <c r="B788" s="60">
        <v>785</v>
      </c>
      <c r="C788" s="58">
        <v>58167</v>
      </c>
      <c r="D788" s="57">
        <v>5738</v>
      </c>
      <c r="E788" s="58">
        <v>6205</v>
      </c>
      <c r="F788" s="59">
        <v>428</v>
      </c>
      <c r="G788" s="18">
        <v>3.843167083</v>
      </c>
    </row>
    <row r="789" spans="2:7" x14ac:dyDescent="0.3">
      <c r="B789" s="60">
        <v>786</v>
      </c>
      <c r="C789" s="58">
        <v>62086</v>
      </c>
      <c r="D789" s="57">
        <v>5104</v>
      </c>
      <c r="E789" s="58">
        <v>7472</v>
      </c>
      <c r="F789" s="59">
        <v>431</v>
      </c>
      <c r="G789" s="18">
        <v>6.2882468390000001</v>
      </c>
    </row>
    <row r="790" spans="2:7" x14ac:dyDescent="0.3">
      <c r="B790" s="60">
        <v>787</v>
      </c>
      <c r="C790" s="58">
        <v>51918</v>
      </c>
      <c r="D790" s="57">
        <v>5608</v>
      </c>
      <c r="E790" s="58">
        <v>6465</v>
      </c>
      <c r="F790" s="59">
        <v>408</v>
      </c>
      <c r="G790" s="18">
        <v>3.986806718</v>
      </c>
    </row>
    <row r="791" spans="2:7" x14ac:dyDescent="0.3">
      <c r="B791" s="60">
        <v>788</v>
      </c>
      <c r="C791" s="58">
        <v>52734</v>
      </c>
      <c r="D791" s="57">
        <v>6331</v>
      </c>
      <c r="E791" s="58">
        <v>5019</v>
      </c>
      <c r="F791" s="59">
        <v>419</v>
      </c>
      <c r="G791" s="18">
        <v>4.774333886</v>
      </c>
    </row>
    <row r="792" spans="2:7" x14ac:dyDescent="0.3">
      <c r="B792" s="60">
        <v>789</v>
      </c>
      <c r="C792" s="58">
        <v>47503</v>
      </c>
      <c r="D792" s="57">
        <v>4456</v>
      </c>
      <c r="E792" s="58">
        <v>8770</v>
      </c>
      <c r="F792" s="59">
        <v>402</v>
      </c>
      <c r="G792" s="18">
        <v>4.6700809599999999</v>
      </c>
    </row>
    <row r="793" spans="2:7" x14ac:dyDescent="0.3">
      <c r="B793" s="60">
        <v>790</v>
      </c>
      <c r="C793" s="58">
        <v>71002</v>
      </c>
      <c r="D793" s="57">
        <v>7531</v>
      </c>
      <c r="E793" s="58">
        <v>2620</v>
      </c>
      <c r="F793" s="59">
        <v>447</v>
      </c>
      <c r="G793" s="18">
        <v>4.9864469700000003</v>
      </c>
    </row>
    <row r="794" spans="2:7" x14ac:dyDescent="0.3">
      <c r="B794" s="60">
        <v>791</v>
      </c>
      <c r="C794" s="58">
        <v>52102</v>
      </c>
      <c r="D794" s="57">
        <v>5540</v>
      </c>
      <c r="E794" s="58">
        <v>6600</v>
      </c>
      <c r="F794" s="59">
        <v>420</v>
      </c>
      <c r="G794" s="18">
        <v>3.3098306200000001</v>
      </c>
    </row>
    <row r="795" spans="2:7" x14ac:dyDescent="0.3">
      <c r="B795" s="60">
        <v>792</v>
      </c>
      <c r="C795" s="58">
        <v>58327</v>
      </c>
      <c r="D795" s="57">
        <v>5763</v>
      </c>
      <c r="E795" s="58">
        <v>6154</v>
      </c>
      <c r="F795" s="59">
        <v>421</v>
      </c>
      <c r="G795" s="18">
        <v>4.7385124420000002</v>
      </c>
    </row>
    <row r="796" spans="2:7" x14ac:dyDescent="0.3">
      <c r="B796" s="60">
        <v>793</v>
      </c>
      <c r="C796" s="58">
        <v>54337</v>
      </c>
      <c r="D796" s="57">
        <v>4928</v>
      </c>
      <c r="E796" s="58">
        <v>7826</v>
      </c>
      <c r="F796" s="59">
        <v>417</v>
      </c>
      <c r="G796" s="18">
        <v>4.6167144139999996</v>
      </c>
    </row>
    <row r="797" spans="2:7" x14ac:dyDescent="0.3">
      <c r="B797" s="60">
        <v>794</v>
      </c>
      <c r="C797" s="58">
        <v>55255</v>
      </c>
      <c r="D797" s="57">
        <v>5597</v>
      </c>
      <c r="E797" s="58">
        <v>6486</v>
      </c>
      <c r="F797" s="59">
        <v>415</v>
      </c>
      <c r="G797" s="18">
        <v>4.0448685629999996</v>
      </c>
    </row>
    <row r="798" spans="2:7" x14ac:dyDescent="0.3">
      <c r="B798" s="60">
        <v>795</v>
      </c>
      <c r="C798" s="58">
        <v>55688</v>
      </c>
      <c r="D798" s="57">
        <v>5701</v>
      </c>
      <c r="E798" s="58">
        <v>6280</v>
      </c>
      <c r="F798" s="59">
        <v>424</v>
      </c>
      <c r="G798" s="18">
        <v>4.3237641130000002</v>
      </c>
    </row>
    <row r="799" spans="2:7" x14ac:dyDescent="0.3">
      <c r="B799" s="60">
        <v>796</v>
      </c>
      <c r="C799" s="58">
        <v>58402</v>
      </c>
      <c r="D799" s="57">
        <v>6415</v>
      </c>
      <c r="E799" s="58">
        <v>4852</v>
      </c>
      <c r="F799" s="59">
        <v>424</v>
      </c>
      <c r="G799" s="18">
        <v>5.3470940560000004</v>
      </c>
    </row>
    <row r="800" spans="2:7" x14ac:dyDescent="0.3">
      <c r="B800" s="60">
        <v>797</v>
      </c>
      <c r="C800" s="58">
        <v>76461</v>
      </c>
      <c r="D800" s="57">
        <v>7973</v>
      </c>
      <c r="E800" s="58">
        <v>1736</v>
      </c>
      <c r="F800" s="59">
        <v>460</v>
      </c>
      <c r="G800" s="18">
        <v>4.5946191220000001</v>
      </c>
    </row>
    <row r="801" spans="2:7" x14ac:dyDescent="0.3">
      <c r="B801" s="60">
        <v>798</v>
      </c>
      <c r="C801" s="58">
        <v>59004</v>
      </c>
      <c r="D801" s="57">
        <v>6496</v>
      </c>
      <c r="E801" s="58">
        <v>4690</v>
      </c>
      <c r="F801" s="59">
        <v>434</v>
      </c>
      <c r="G801" s="18">
        <v>6.3035862140000001</v>
      </c>
    </row>
    <row r="802" spans="2:7" x14ac:dyDescent="0.3">
      <c r="B802" s="60">
        <v>799</v>
      </c>
      <c r="C802" s="58">
        <v>47439</v>
      </c>
      <c r="D802" s="57">
        <v>4414</v>
      </c>
      <c r="E802" s="58">
        <v>8852</v>
      </c>
      <c r="F802" s="59">
        <v>406</v>
      </c>
      <c r="G802" s="18">
        <v>2.971635509</v>
      </c>
    </row>
    <row r="803" spans="2:7" x14ac:dyDescent="0.3">
      <c r="B803" s="60">
        <v>800</v>
      </c>
      <c r="C803" s="58">
        <v>55343</v>
      </c>
      <c r="D803" s="57">
        <v>5272</v>
      </c>
      <c r="E803" s="58">
        <v>7137</v>
      </c>
      <c r="F803" s="59">
        <v>427</v>
      </c>
      <c r="G803" s="18">
        <v>4.7542178589999997</v>
      </c>
    </row>
    <row r="804" spans="2:7" x14ac:dyDescent="0.3">
      <c r="B804" s="60">
        <v>801</v>
      </c>
      <c r="C804" s="58">
        <v>47851</v>
      </c>
      <c r="D804" s="57">
        <v>5338</v>
      </c>
      <c r="E804" s="58">
        <v>7005</v>
      </c>
      <c r="F804" s="59">
        <v>408</v>
      </c>
      <c r="G804" s="18">
        <v>5.087874878</v>
      </c>
    </row>
    <row r="805" spans="2:7" x14ac:dyDescent="0.3">
      <c r="B805" s="60">
        <v>802</v>
      </c>
      <c r="C805" s="58">
        <v>48138</v>
      </c>
      <c r="D805" s="57">
        <v>4521</v>
      </c>
      <c r="E805" s="58">
        <v>8639</v>
      </c>
      <c r="F805" s="59">
        <v>404</v>
      </c>
      <c r="G805" s="18">
        <v>5.5568928809999996</v>
      </c>
    </row>
    <row r="806" spans="2:7" x14ac:dyDescent="0.3">
      <c r="B806" s="60">
        <v>803</v>
      </c>
      <c r="C806" s="58">
        <v>51153</v>
      </c>
      <c r="D806" s="57">
        <v>5153</v>
      </c>
      <c r="E806" s="58">
        <v>7374</v>
      </c>
      <c r="F806" s="59">
        <v>411</v>
      </c>
      <c r="G806" s="18">
        <v>7.0436034679999997</v>
      </c>
    </row>
    <row r="807" spans="2:7" x14ac:dyDescent="0.3">
      <c r="B807" s="60">
        <v>804</v>
      </c>
      <c r="C807" s="58">
        <v>44262</v>
      </c>
      <c r="D807" s="57">
        <v>4195</v>
      </c>
      <c r="E807" s="58">
        <v>9290</v>
      </c>
      <c r="F807" s="59">
        <v>401</v>
      </c>
      <c r="G807" s="18">
        <v>4.4091439460000004</v>
      </c>
    </row>
    <row r="808" spans="2:7" x14ac:dyDescent="0.3">
      <c r="B808" s="60">
        <v>805</v>
      </c>
      <c r="C808" s="58">
        <v>59951</v>
      </c>
      <c r="D808" s="57">
        <v>6174</v>
      </c>
      <c r="E808" s="58">
        <v>5333</v>
      </c>
      <c r="F808" s="59">
        <v>443</v>
      </c>
      <c r="G808" s="18">
        <v>4.9943646690000003</v>
      </c>
    </row>
    <row r="809" spans="2:7" x14ac:dyDescent="0.3">
      <c r="B809" s="60">
        <v>806</v>
      </c>
      <c r="C809" s="58">
        <v>52904</v>
      </c>
      <c r="D809" s="57">
        <v>5167</v>
      </c>
      <c r="E809" s="58">
        <v>7346</v>
      </c>
      <c r="F809" s="59">
        <v>417</v>
      </c>
      <c r="G809" s="18">
        <v>5.3793341100000003</v>
      </c>
    </row>
    <row r="810" spans="2:7" x14ac:dyDescent="0.3">
      <c r="B810" s="60">
        <v>807</v>
      </c>
      <c r="C810" s="58">
        <v>50743</v>
      </c>
      <c r="D810" s="57">
        <v>5637</v>
      </c>
      <c r="E810" s="58">
        <v>6407</v>
      </c>
      <c r="F810" s="59">
        <v>410</v>
      </c>
      <c r="G810" s="18">
        <v>6.3955527840000004</v>
      </c>
    </row>
    <row r="811" spans="2:7" x14ac:dyDescent="0.3">
      <c r="B811" s="60">
        <v>808</v>
      </c>
      <c r="C811" s="58">
        <v>59831</v>
      </c>
      <c r="D811" s="57">
        <v>6105</v>
      </c>
      <c r="E811" s="58">
        <v>5470</v>
      </c>
      <c r="F811" s="59">
        <v>418</v>
      </c>
      <c r="G811" s="18">
        <v>5.4892158689999997</v>
      </c>
    </row>
    <row r="812" spans="2:7" x14ac:dyDescent="0.3">
      <c r="B812" s="60">
        <v>809</v>
      </c>
      <c r="C812" s="58">
        <v>30647</v>
      </c>
      <c r="D812" s="57">
        <v>2898</v>
      </c>
      <c r="E812" s="58">
        <v>11884</v>
      </c>
      <c r="F812" s="59">
        <v>360</v>
      </c>
      <c r="G812" s="18">
        <v>5.6534243289999999</v>
      </c>
    </row>
    <row r="813" spans="2:7" x14ac:dyDescent="0.3">
      <c r="B813" s="60">
        <v>810</v>
      </c>
      <c r="C813" s="58">
        <v>36678</v>
      </c>
      <c r="D813" s="57">
        <v>3535</v>
      </c>
      <c r="E813" s="58">
        <v>10612</v>
      </c>
      <c r="F813" s="59">
        <v>390</v>
      </c>
      <c r="G813" s="18">
        <v>4.1803758780000004</v>
      </c>
    </row>
    <row r="814" spans="2:7" x14ac:dyDescent="0.3">
      <c r="B814" s="60">
        <v>811</v>
      </c>
      <c r="C814" s="58">
        <v>48164</v>
      </c>
      <c r="D814" s="57">
        <v>4638</v>
      </c>
      <c r="E814" s="58">
        <v>8406</v>
      </c>
      <c r="F814" s="59">
        <v>416</v>
      </c>
      <c r="G814" s="18">
        <v>7.4806946569999999</v>
      </c>
    </row>
    <row r="815" spans="2:7" x14ac:dyDescent="0.3">
      <c r="B815" s="60">
        <v>812</v>
      </c>
      <c r="C815" s="58">
        <v>51385</v>
      </c>
      <c r="D815" s="57">
        <v>4705</v>
      </c>
      <c r="E815" s="58">
        <v>8272</v>
      </c>
      <c r="F815" s="59">
        <v>411</v>
      </c>
      <c r="G815" s="18">
        <v>6.0717954870000002</v>
      </c>
    </row>
    <row r="816" spans="2:7" x14ac:dyDescent="0.3">
      <c r="B816" s="60">
        <v>813</v>
      </c>
      <c r="C816" s="58">
        <v>49633</v>
      </c>
      <c r="D816" s="57">
        <v>5231</v>
      </c>
      <c r="E816" s="58">
        <v>7220</v>
      </c>
      <c r="F816" s="59">
        <v>411</v>
      </c>
      <c r="G816" s="18">
        <v>5.0341749299999998</v>
      </c>
    </row>
    <row r="817" spans="2:7" x14ac:dyDescent="0.3">
      <c r="B817" s="60">
        <v>814</v>
      </c>
      <c r="C817" s="58">
        <v>67297</v>
      </c>
      <c r="D817" s="57">
        <v>7050</v>
      </c>
      <c r="E817" s="58">
        <v>3582</v>
      </c>
      <c r="F817" s="59">
        <v>444</v>
      </c>
      <c r="G817" s="18">
        <v>7.5407802930000001</v>
      </c>
    </row>
    <row r="818" spans="2:7" x14ac:dyDescent="0.3">
      <c r="B818" s="60">
        <v>815</v>
      </c>
      <c r="C818" s="58">
        <v>52843</v>
      </c>
      <c r="D818" s="57">
        <v>4940</v>
      </c>
      <c r="E818" s="58">
        <v>7800</v>
      </c>
      <c r="F818" s="59">
        <v>414</v>
      </c>
      <c r="G818" s="18">
        <v>5.8597833369999996</v>
      </c>
    </row>
    <row r="819" spans="2:7" x14ac:dyDescent="0.3">
      <c r="B819" s="60">
        <v>816</v>
      </c>
      <c r="C819" s="58">
        <v>45363</v>
      </c>
      <c r="D819" s="57">
        <v>4718</v>
      </c>
      <c r="E819" s="58">
        <v>8244</v>
      </c>
      <c r="F819" s="59">
        <v>413</v>
      </c>
      <c r="G819" s="18">
        <v>6.4858750550000002</v>
      </c>
    </row>
    <row r="820" spans="2:7" x14ac:dyDescent="0.3">
      <c r="B820" s="60">
        <v>817</v>
      </c>
      <c r="C820" s="58">
        <v>57550</v>
      </c>
      <c r="D820" s="57">
        <v>5446</v>
      </c>
      <c r="E820" s="58">
        <v>6788</v>
      </c>
      <c r="F820" s="59">
        <v>430</v>
      </c>
      <c r="G820" s="18">
        <v>4.4200030080000001</v>
      </c>
    </row>
    <row r="821" spans="2:7" x14ac:dyDescent="0.3">
      <c r="B821" s="60">
        <v>818</v>
      </c>
      <c r="C821" s="58">
        <v>47718</v>
      </c>
      <c r="D821" s="57">
        <v>5080</v>
      </c>
      <c r="E821" s="58">
        <v>7521</v>
      </c>
      <c r="F821" s="59">
        <v>403</v>
      </c>
      <c r="G821" s="18">
        <v>3.7186576310000001</v>
      </c>
    </row>
    <row r="822" spans="2:7" x14ac:dyDescent="0.3">
      <c r="B822" s="60">
        <v>819</v>
      </c>
      <c r="C822" s="58">
        <v>61781</v>
      </c>
      <c r="D822" s="57">
        <v>5550</v>
      </c>
      <c r="E822" s="58">
        <v>6582</v>
      </c>
      <c r="F822" s="59">
        <v>424</v>
      </c>
      <c r="G822" s="18">
        <v>6.4257149150000004</v>
      </c>
    </row>
    <row r="823" spans="2:7" x14ac:dyDescent="0.3">
      <c r="B823" s="60">
        <v>820</v>
      </c>
      <c r="C823" s="58">
        <v>38543</v>
      </c>
      <c r="D823" s="57">
        <v>4727</v>
      </c>
      <c r="E823" s="58">
        <v>8228</v>
      </c>
      <c r="F823" s="59">
        <v>386</v>
      </c>
      <c r="G823" s="18">
        <v>6.3368146579999998</v>
      </c>
    </row>
    <row r="824" spans="2:7" x14ac:dyDescent="0.3">
      <c r="B824" s="60">
        <v>821</v>
      </c>
      <c r="C824" s="58">
        <v>32873</v>
      </c>
      <c r="D824" s="57">
        <v>2951</v>
      </c>
      <c r="E824" s="58">
        <v>11780</v>
      </c>
      <c r="F824" s="59">
        <v>371</v>
      </c>
      <c r="G824" s="18">
        <v>5.758885824</v>
      </c>
    </row>
    <row r="825" spans="2:7" x14ac:dyDescent="0.3">
      <c r="B825" s="60">
        <v>822</v>
      </c>
      <c r="C825" s="58">
        <v>66187</v>
      </c>
      <c r="D825" s="57">
        <v>5220</v>
      </c>
      <c r="E825" s="58">
        <v>7242</v>
      </c>
      <c r="F825" s="59">
        <v>449</v>
      </c>
      <c r="G825" s="18">
        <v>5.5048604470000004</v>
      </c>
    </row>
    <row r="826" spans="2:7" x14ac:dyDescent="0.3">
      <c r="B826" s="60">
        <v>823</v>
      </c>
      <c r="C826" s="58">
        <v>65774</v>
      </c>
      <c r="D826" s="57">
        <v>6656</v>
      </c>
      <c r="E826" s="58">
        <v>4368</v>
      </c>
      <c r="F826" s="59">
        <v>443</v>
      </c>
      <c r="G826" s="18">
        <v>3.87848499</v>
      </c>
    </row>
    <row r="827" spans="2:7" x14ac:dyDescent="0.3">
      <c r="B827" s="60">
        <v>824</v>
      </c>
      <c r="C827" s="58">
        <v>54776</v>
      </c>
      <c r="D827" s="57">
        <v>5590</v>
      </c>
      <c r="E827" s="58">
        <v>6501</v>
      </c>
      <c r="F827" s="59">
        <v>431</v>
      </c>
      <c r="G827" s="18">
        <v>6.5487100399999996</v>
      </c>
    </row>
    <row r="828" spans="2:7" x14ac:dyDescent="0.3">
      <c r="B828" s="60">
        <v>825</v>
      </c>
      <c r="C828" s="58">
        <v>64692</v>
      </c>
      <c r="D828" s="57">
        <v>5863</v>
      </c>
      <c r="E828" s="58">
        <v>5956</v>
      </c>
      <c r="F828" s="59">
        <v>442</v>
      </c>
      <c r="G828" s="18">
        <v>4.6341538919999996</v>
      </c>
    </row>
    <row r="829" spans="2:7" x14ac:dyDescent="0.3">
      <c r="B829" s="60">
        <v>826</v>
      </c>
      <c r="C829" s="58">
        <v>42142</v>
      </c>
      <c r="D829" s="57">
        <v>4823</v>
      </c>
      <c r="E829" s="58">
        <v>8034</v>
      </c>
      <c r="F829" s="59">
        <v>392</v>
      </c>
      <c r="G829" s="18">
        <v>5.8719477500000004</v>
      </c>
    </row>
    <row r="830" spans="2:7" x14ac:dyDescent="0.3">
      <c r="B830" s="60">
        <v>827</v>
      </c>
      <c r="C830" s="58">
        <v>28444</v>
      </c>
      <c r="D830" s="57">
        <v>2389</v>
      </c>
      <c r="E830" s="58">
        <v>12902</v>
      </c>
      <c r="F830" s="59">
        <v>357</v>
      </c>
      <c r="G830" s="18">
        <v>4.486036232</v>
      </c>
    </row>
    <row r="831" spans="2:7" x14ac:dyDescent="0.3">
      <c r="B831" s="60">
        <v>828</v>
      </c>
      <c r="C831" s="58">
        <v>60273</v>
      </c>
      <c r="D831" s="57">
        <v>5971</v>
      </c>
      <c r="E831" s="58">
        <v>5739</v>
      </c>
      <c r="F831" s="59">
        <v>429</v>
      </c>
      <c r="G831" s="18">
        <v>7.3544414710000003</v>
      </c>
    </row>
    <row r="832" spans="2:7" x14ac:dyDescent="0.3">
      <c r="B832" s="60">
        <v>829</v>
      </c>
      <c r="C832" s="58">
        <v>46518</v>
      </c>
      <c r="D832" s="57">
        <v>4654</v>
      </c>
      <c r="E832" s="58">
        <v>8372</v>
      </c>
      <c r="F832" s="59">
        <v>400</v>
      </c>
      <c r="G832" s="18">
        <v>5.8321666380000003</v>
      </c>
    </row>
    <row r="833" spans="2:7" x14ac:dyDescent="0.3">
      <c r="B833" s="60">
        <v>830</v>
      </c>
      <c r="C833" s="58">
        <v>39122</v>
      </c>
      <c r="D833" s="57">
        <v>3719</v>
      </c>
      <c r="E833" s="58">
        <v>10242</v>
      </c>
      <c r="F833" s="59">
        <v>389</v>
      </c>
      <c r="G833" s="18">
        <v>4.0535230049999997</v>
      </c>
    </row>
    <row r="834" spans="2:7" x14ac:dyDescent="0.3">
      <c r="B834" s="60">
        <v>831</v>
      </c>
      <c r="C834" s="58">
        <v>47122</v>
      </c>
      <c r="D834" s="57">
        <v>5061</v>
      </c>
      <c r="E834" s="58">
        <v>7558</v>
      </c>
      <c r="F834" s="59">
        <v>405</v>
      </c>
      <c r="G834" s="18">
        <v>4.4607892590000002</v>
      </c>
    </row>
    <row r="835" spans="2:7" x14ac:dyDescent="0.3">
      <c r="B835" s="60">
        <v>832</v>
      </c>
      <c r="C835" s="58">
        <v>48357</v>
      </c>
      <c r="D835" s="57">
        <v>4539</v>
      </c>
      <c r="E835" s="58">
        <v>8603</v>
      </c>
      <c r="F835" s="59">
        <v>411</v>
      </c>
      <c r="G835" s="18">
        <v>5.5708120829999999</v>
      </c>
    </row>
    <row r="836" spans="2:7" x14ac:dyDescent="0.3">
      <c r="B836" s="60">
        <v>833</v>
      </c>
      <c r="C836" s="58">
        <v>51697</v>
      </c>
      <c r="D836" s="57">
        <v>6349</v>
      </c>
      <c r="E836" s="58">
        <v>4982</v>
      </c>
      <c r="F836" s="59">
        <v>419</v>
      </c>
      <c r="G836" s="18">
        <v>6.4104274449999998</v>
      </c>
    </row>
    <row r="837" spans="2:7" x14ac:dyDescent="0.3">
      <c r="B837" s="60">
        <v>834</v>
      </c>
      <c r="C837" s="58">
        <v>42104</v>
      </c>
      <c r="D837" s="57">
        <v>3304</v>
      </c>
      <c r="E837" s="58">
        <v>11073</v>
      </c>
      <c r="F837" s="59">
        <v>405</v>
      </c>
      <c r="G837" s="18">
        <v>5.5021542080000003</v>
      </c>
    </row>
    <row r="838" spans="2:7" x14ac:dyDescent="0.3">
      <c r="B838" s="60">
        <v>835</v>
      </c>
      <c r="C838" s="58">
        <v>56549</v>
      </c>
      <c r="D838" s="57">
        <v>5896</v>
      </c>
      <c r="E838" s="58">
        <v>5889</v>
      </c>
      <c r="F838" s="59">
        <v>419</v>
      </c>
      <c r="G838" s="18">
        <v>5.4229245749999997</v>
      </c>
    </row>
    <row r="839" spans="2:7" x14ac:dyDescent="0.3">
      <c r="B839" s="60">
        <v>836</v>
      </c>
      <c r="C839" s="58">
        <v>32695</v>
      </c>
      <c r="D839" s="57">
        <v>1991</v>
      </c>
      <c r="E839" s="58">
        <v>13700</v>
      </c>
      <c r="F839" s="59">
        <v>370</v>
      </c>
      <c r="G839" s="18">
        <v>4.6691033129999999</v>
      </c>
    </row>
    <row r="840" spans="2:7" x14ac:dyDescent="0.3">
      <c r="B840" s="60">
        <v>837</v>
      </c>
      <c r="C840" s="58">
        <v>61533</v>
      </c>
      <c r="D840" s="57">
        <v>5799</v>
      </c>
      <c r="E840" s="58">
        <v>6083</v>
      </c>
      <c r="F840" s="59">
        <v>435</v>
      </c>
      <c r="G840" s="18">
        <v>3.4463627020000001</v>
      </c>
    </row>
    <row r="841" spans="2:7" x14ac:dyDescent="0.3">
      <c r="B841" s="60">
        <v>838</v>
      </c>
      <c r="C841" s="58">
        <v>54693</v>
      </c>
      <c r="D841" s="57">
        <v>6125</v>
      </c>
      <c r="E841" s="58">
        <v>5431</v>
      </c>
      <c r="F841" s="59">
        <v>420</v>
      </c>
      <c r="G841" s="18">
        <v>5.4541865630000004</v>
      </c>
    </row>
    <row r="842" spans="2:7" x14ac:dyDescent="0.3">
      <c r="B842" s="60">
        <v>839</v>
      </c>
      <c r="C842" s="58">
        <v>50975</v>
      </c>
      <c r="D842" s="57">
        <v>4528</v>
      </c>
      <c r="E842" s="58">
        <v>8625</v>
      </c>
      <c r="F842" s="59">
        <v>416</v>
      </c>
      <c r="G842" s="18">
        <v>4.7226463509999999</v>
      </c>
    </row>
    <row r="843" spans="2:7" x14ac:dyDescent="0.3">
      <c r="B843" s="60">
        <v>840</v>
      </c>
      <c r="C843" s="58">
        <v>57707</v>
      </c>
      <c r="D843" s="57">
        <v>6182</v>
      </c>
      <c r="E843" s="58">
        <v>5317</v>
      </c>
      <c r="F843" s="59">
        <v>429</v>
      </c>
      <c r="G843" s="18">
        <v>5.2076540729999996</v>
      </c>
    </row>
    <row r="844" spans="2:7" x14ac:dyDescent="0.3">
      <c r="B844" s="60">
        <v>841</v>
      </c>
      <c r="C844" s="58">
        <v>33923</v>
      </c>
      <c r="D844" s="57">
        <v>3982</v>
      </c>
      <c r="E844" s="58">
        <v>9717</v>
      </c>
      <c r="F844" s="59">
        <v>371</v>
      </c>
      <c r="G844" s="18">
        <v>2.971029798</v>
      </c>
    </row>
    <row r="845" spans="2:7" x14ac:dyDescent="0.3">
      <c r="B845" s="60">
        <v>842</v>
      </c>
      <c r="C845" s="58">
        <v>53736</v>
      </c>
      <c r="D845" s="57">
        <v>4898</v>
      </c>
      <c r="E845" s="58">
        <v>7886</v>
      </c>
      <c r="F845" s="59">
        <v>414</v>
      </c>
      <c r="G845" s="18">
        <v>4.9503944100000004</v>
      </c>
    </row>
    <row r="846" spans="2:7" x14ac:dyDescent="0.3">
      <c r="B846" s="60">
        <v>843</v>
      </c>
      <c r="C846" s="58">
        <v>46771</v>
      </c>
      <c r="D846" s="57">
        <v>4819</v>
      </c>
      <c r="E846" s="58">
        <v>8043</v>
      </c>
      <c r="F846" s="59">
        <v>407</v>
      </c>
      <c r="G846" s="18">
        <v>5.716736815</v>
      </c>
    </row>
    <row r="847" spans="2:7" x14ac:dyDescent="0.3">
      <c r="B847" s="60">
        <v>844</v>
      </c>
      <c r="C847" s="58">
        <v>24053</v>
      </c>
      <c r="D847" s="57">
        <v>2253</v>
      </c>
      <c r="E847" s="58">
        <v>13175</v>
      </c>
      <c r="F847" s="59">
        <v>341</v>
      </c>
      <c r="G847" s="18">
        <v>4.5074541029999997</v>
      </c>
    </row>
    <row r="848" spans="2:7" x14ac:dyDescent="0.3">
      <c r="B848" s="60">
        <v>845</v>
      </c>
      <c r="C848" s="58">
        <v>49863</v>
      </c>
      <c r="D848" s="57">
        <v>4734</v>
      </c>
      <c r="E848" s="58">
        <v>8213</v>
      </c>
      <c r="F848" s="59">
        <v>410</v>
      </c>
      <c r="G848" s="18">
        <v>4.0723638959999997</v>
      </c>
    </row>
    <row r="849" spans="2:7" x14ac:dyDescent="0.3">
      <c r="B849" s="60">
        <v>846</v>
      </c>
      <c r="C849" s="58">
        <v>49213</v>
      </c>
      <c r="D849" s="57">
        <v>5325</v>
      </c>
      <c r="E849" s="58">
        <v>7030</v>
      </c>
      <c r="F849" s="59">
        <v>402</v>
      </c>
      <c r="G849" s="18">
        <v>4.9433797410000002</v>
      </c>
    </row>
    <row r="850" spans="2:7" x14ac:dyDescent="0.3">
      <c r="B850" s="60">
        <v>847</v>
      </c>
      <c r="C850" s="58">
        <v>57273</v>
      </c>
      <c r="D850" s="57">
        <v>5779</v>
      </c>
      <c r="E850" s="58">
        <v>6122</v>
      </c>
      <c r="F850" s="59">
        <v>424</v>
      </c>
      <c r="G850" s="18">
        <v>5.0678912079999998</v>
      </c>
    </row>
    <row r="851" spans="2:7" x14ac:dyDescent="0.3">
      <c r="B851" s="60">
        <v>848</v>
      </c>
      <c r="C851" s="58">
        <v>59758</v>
      </c>
      <c r="D851" s="57">
        <v>5969</v>
      </c>
      <c r="E851" s="58">
        <v>5743</v>
      </c>
      <c r="F851" s="59">
        <v>433</v>
      </c>
      <c r="G851" s="18">
        <v>4.1673104350000001</v>
      </c>
    </row>
    <row r="852" spans="2:7" x14ac:dyDescent="0.3">
      <c r="B852" s="60">
        <v>849</v>
      </c>
      <c r="C852" s="58">
        <v>46740</v>
      </c>
      <c r="D852" s="57">
        <v>5138</v>
      </c>
      <c r="E852" s="58">
        <v>7406</v>
      </c>
      <c r="F852" s="59">
        <v>406</v>
      </c>
      <c r="G852" s="18">
        <v>4.0534237490000002</v>
      </c>
    </row>
    <row r="853" spans="2:7" x14ac:dyDescent="0.3">
      <c r="B853" s="60">
        <v>850</v>
      </c>
      <c r="C853" s="58">
        <v>47063</v>
      </c>
      <c r="D853" s="57">
        <v>4360</v>
      </c>
      <c r="E853" s="58">
        <v>8961</v>
      </c>
      <c r="F853" s="59">
        <v>400</v>
      </c>
      <c r="G853" s="18">
        <v>4.62028427</v>
      </c>
    </row>
    <row r="854" spans="2:7" x14ac:dyDescent="0.3">
      <c r="B854" s="60">
        <v>851</v>
      </c>
      <c r="C854" s="58">
        <v>45327</v>
      </c>
      <c r="D854" s="57">
        <v>4255</v>
      </c>
      <c r="E854" s="58">
        <v>9170</v>
      </c>
      <c r="F854" s="59">
        <v>401</v>
      </c>
      <c r="G854" s="18">
        <v>4.9895758020000001</v>
      </c>
    </row>
    <row r="855" spans="2:7" x14ac:dyDescent="0.3">
      <c r="B855" s="60">
        <v>852</v>
      </c>
      <c r="C855" s="58">
        <v>53747</v>
      </c>
      <c r="D855" s="57">
        <v>6200</v>
      </c>
      <c r="E855" s="58">
        <v>5281</v>
      </c>
      <c r="F855" s="59">
        <v>419</v>
      </c>
      <c r="G855" s="18">
        <v>4.3526873119999996</v>
      </c>
    </row>
    <row r="856" spans="2:7" x14ac:dyDescent="0.3">
      <c r="B856" s="60">
        <v>853</v>
      </c>
      <c r="C856" s="58">
        <v>55525</v>
      </c>
      <c r="D856" s="57">
        <v>5917</v>
      </c>
      <c r="E856" s="58">
        <v>5846</v>
      </c>
      <c r="F856" s="59">
        <v>421</v>
      </c>
      <c r="G856" s="18">
        <v>6.1577743949999997</v>
      </c>
    </row>
    <row r="857" spans="2:7" x14ac:dyDescent="0.3">
      <c r="B857" s="60">
        <v>854</v>
      </c>
      <c r="C857" s="58">
        <v>54791</v>
      </c>
      <c r="D857" s="57">
        <v>7103</v>
      </c>
      <c r="E857" s="58">
        <v>3475</v>
      </c>
      <c r="F857" s="59">
        <v>420</v>
      </c>
      <c r="G857" s="18">
        <v>5.3637025490000001</v>
      </c>
    </row>
    <row r="858" spans="2:7" x14ac:dyDescent="0.3">
      <c r="B858" s="60">
        <v>855</v>
      </c>
      <c r="C858" s="58">
        <v>65638</v>
      </c>
      <c r="D858" s="57">
        <v>6408</v>
      </c>
      <c r="E858" s="58">
        <v>4865</v>
      </c>
      <c r="F858" s="59">
        <v>435</v>
      </c>
      <c r="G858" s="18">
        <v>5.6993470449999997</v>
      </c>
    </row>
    <row r="859" spans="2:7" x14ac:dyDescent="0.3">
      <c r="B859" s="60">
        <v>856</v>
      </c>
      <c r="C859" s="58">
        <v>41285</v>
      </c>
      <c r="D859" s="57">
        <v>3978</v>
      </c>
      <c r="E859" s="58">
        <v>9725</v>
      </c>
      <c r="F859" s="59">
        <v>388</v>
      </c>
      <c r="G859" s="18">
        <v>5.0787509460000004</v>
      </c>
    </row>
    <row r="860" spans="2:7" x14ac:dyDescent="0.3">
      <c r="B860" s="60">
        <v>857</v>
      </c>
      <c r="C860" s="58">
        <v>60044</v>
      </c>
      <c r="D860" s="57">
        <v>6383</v>
      </c>
      <c r="E860" s="58">
        <v>4915</v>
      </c>
      <c r="F860" s="59">
        <v>430</v>
      </c>
      <c r="G860" s="18">
        <v>6.027012461</v>
      </c>
    </row>
    <row r="861" spans="2:7" x14ac:dyDescent="0.3">
      <c r="B861" s="60">
        <v>858</v>
      </c>
      <c r="C861" s="58">
        <v>44328</v>
      </c>
      <c r="D861" s="57">
        <v>4137</v>
      </c>
      <c r="E861" s="58">
        <v>9406</v>
      </c>
      <c r="F861" s="59">
        <v>401</v>
      </c>
      <c r="G861" s="18">
        <v>6.5665157230000002</v>
      </c>
    </row>
    <row r="862" spans="2:7" x14ac:dyDescent="0.3">
      <c r="B862" s="60">
        <v>859</v>
      </c>
      <c r="C862" s="58">
        <v>53053</v>
      </c>
      <c r="D862" s="57">
        <v>4502</v>
      </c>
      <c r="E862" s="58">
        <v>8677</v>
      </c>
      <c r="F862" s="59">
        <v>415</v>
      </c>
      <c r="G862" s="18">
        <v>5.4439993260000001</v>
      </c>
    </row>
    <row r="863" spans="2:7" x14ac:dyDescent="0.3">
      <c r="B863" s="60">
        <v>860</v>
      </c>
      <c r="C863" s="58">
        <v>39964</v>
      </c>
      <c r="D863" s="57">
        <v>4181</v>
      </c>
      <c r="E863" s="58">
        <v>9320</v>
      </c>
      <c r="F863" s="59">
        <v>393</v>
      </c>
      <c r="G863" s="18">
        <v>5.50872589</v>
      </c>
    </row>
    <row r="864" spans="2:7" x14ac:dyDescent="0.3">
      <c r="B864" s="60">
        <v>861</v>
      </c>
      <c r="C864" s="58">
        <v>41004</v>
      </c>
      <c r="D864" s="57">
        <v>4256</v>
      </c>
      <c r="E864" s="58">
        <v>9170</v>
      </c>
      <c r="F864" s="59">
        <v>384</v>
      </c>
      <c r="G864" s="18">
        <v>5.7471624380000002</v>
      </c>
    </row>
    <row r="865" spans="2:7" x14ac:dyDescent="0.3">
      <c r="B865" s="60">
        <v>862</v>
      </c>
      <c r="C865" s="58">
        <v>66491</v>
      </c>
      <c r="D865" s="57">
        <v>6581</v>
      </c>
      <c r="E865" s="58">
        <v>4518</v>
      </c>
      <c r="F865" s="59">
        <v>439</v>
      </c>
      <c r="G865" s="18">
        <v>6.0501675810000002</v>
      </c>
    </row>
    <row r="866" spans="2:7" x14ac:dyDescent="0.3">
      <c r="B866" s="60">
        <v>863</v>
      </c>
      <c r="C866" s="58">
        <v>38642</v>
      </c>
      <c r="D866" s="57">
        <v>3642</v>
      </c>
      <c r="E866" s="58">
        <v>10397</v>
      </c>
      <c r="F866" s="59">
        <v>384</v>
      </c>
      <c r="G866" s="18">
        <v>4.9531527979999996</v>
      </c>
    </row>
    <row r="867" spans="2:7" x14ac:dyDescent="0.3">
      <c r="B867" s="60">
        <v>864</v>
      </c>
      <c r="C867" s="58">
        <v>46977</v>
      </c>
      <c r="D867" s="57">
        <v>4765</v>
      </c>
      <c r="E867" s="58">
        <v>8152</v>
      </c>
      <c r="F867" s="59">
        <v>403</v>
      </c>
      <c r="G867" s="18">
        <v>4.0431780550000003</v>
      </c>
    </row>
    <row r="868" spans="2:7" x14ac:dyDescent="0.3">
      <c r="B868" s="60">
        <v>865</v>
      </c>
      <c r="C868" s="58">
        <v>27637</v>
      </c>
      <c r="D868" s="57">
        <v>3154</v>
      </c>
      <c r="E868" s="58">
        <v>11373</v>
      </c>
      <c r="F868" s="59">
        <v>355</v>
      </c>
      <c r="G868" s="18">
        <v>5.3551450870000004</v>
      </c>
    </row>
    <row r="869" spans="2:7" x14ac:dyDescent="0.3">
      <c r="B869" s="60">
        <v>866</v>
      </c>
      <c r="C869" s="58">
        <v>37866</v>
      </c>
      <c r="D869" s="57">
        <v>3109</v>
      </c>
      <c r="E869" s="58">
        <v>11464</v>
      </c>
      <c r="F869" s="59">
        <v>380</v>
      </c>
      <c r="G869" s="18">
        <v>6.61186015</v>
      </c>
    </row>
    <row r="870" spans="2:7" x14ac:dyDescent="0.3">
      <c r="B870" s="60">
        <v>867</v>
      </c>
      <c r="C870" s="58">
        <v>29586</v>
      </c>
      <c r="D870" s="57">
        <v>2762</v>
      </c>
      <c r="E870" s="58">
        <v>12156</v>
      </c>
      <c r="F870" s="59">
        <v>356</v>
      </c>
      <c r="G870" s="18">
        <v>3.7637123539999999</v>
      </c>
    </row>
    <row r="871" spans="2:7" x14ac:dyDescent="0.3">
      <c r="B871" s="60">
        <v>868</v>
      </c>
      <c r="C871" s="58">
        <v>47058</v>
      </c>
      <c r="D871" s="57">
        <v>4737</v>
      </c>
      <c r="E871" s="58">
        <v>8208</v>
      </c>
      <c r="F871" s="59">
        <v>403</v>
      </c>
      <c r="G871" s="18">
        <v>4.7415915450000004</v>
      </c>
    </row>
    <row r="872" spans="2:7" x14ac:dyDescent="0.3">
      <c r="B872" s="60">
        <v>869</v>
      </c>
      <c r="C872" s="58">
        <v>39075</v>
      </c>
      <c r="D872" s="57">
        <v>2936</v>
      </c>
      <c r="E872" s="58">
        <v>11808</v>
      </c>
      <c r="F872" s="59">
        <v>379</v>
      </c>
      <c r="G872" s="18">
        <v>7.1900861640000002</v>
      </c>
    </row>
    <row r="873" spans="2:7" x14ac:dyDescent="0.3">
      <c r="B873" s="60">
        <v>870</v>
      </c>
      <c r="C873" s="58">
        <v>46377</v>
      </c>
      <c r="D873" s="57">
        <v>4434</v>
      </c>
      <c r="E873" s="58">
        <v>8813</v>
      </c>
      <c r="F873" s="59">
        <v>406</v>
      </c>
      <c r="G873" s="18">
        <v>5.3288065160000002</v>
      </c>
    </row>
    <row r="874" spans="2:7" x14ac:dyDescent="0.3">
      <c r="B874" s="60">
        <v>871</v>
      </c>
      <c r="C874" s="58">
        <v>56068</v>
      </c>
      <c r="D874" s="57">
        <v>5064</v>
      </c>
      <c r="E874" s="58">
        <v>7553</v>
      </c>
      <c r="F874" s="59">
        <v>429</v>
      </c>
      <c r="G874" s="18">
        <v>6.6827215530000004</v>
      </c>
    </row>
    <row r="875" spans="2:7" x14ac:dyDescent="0.3">
      <c r="B875" s="60">
        <v>872</v>
      </c>
      <c r="C875" s="58">
        <v>42820</v>
      </c>
      <c r="D875" s="57">
        <v>4864</v>
      </c>
      <c r="E875" s="58">
        <v>7953</v>
      </c>
      <c r="F875" s="59">
        <v>397</v>
      </c>
      <c r="G875" s="18">
        <v>4.7556886829999998</v>
      </c>
    </row>
    <row r="876" spans="2:7" x14ac:dyDescent="0.3">
      <c r="B876" s="60">
        <v>873</v>
      </c>
      <c r="C876" s="58">
        <v>49158</v>
      </c>
      <c r="D876" s="57">
        <v>4946</v>
      </c>
      <c r="E876" s="58">
        <v>7790</v>
      </c>
      <c r="F876" s="59">
        <v>404</v>
      </c>
      <c r="G876" s="18">
        <v>5.4778131239999999</v>
      </c>
    </row>
    <row r="877" spans="2:7" x14ac:dyDescent="0.3">
      <c r="B877" s="60">
        <v>874</v>
      </c>
      <c r="C877" s="58">
        <v>50346</v>
      </c>
      <c r="D877" s="57">
        <v>5370</v>
      </c>
      <c r="E877" s="58">
        <v>6940</v>
      </c>
      <c r="F877" s="59">
        <v>412</v>
      </c>
      <c r="G877" s="18">
        <v>5.2602446460000003</v>
      </c>
    </row>
    <row r="878" spans="2:7" x14ac:dyDescent="0.3">
      <c r="B878" s="60">
        <v>875</v>
      </c>
      <c r="C878" s="58">
        <v>31511</v>
      </c>
      <c r="D878" s="57">
        <v>3939</v>
      </c>
      <c r="E878" s="58">
        <v>9804</v>
      </c>
      <c r="F878" s="59">
        <v>362</v>
      </c>
      <c r="G878" s="18">
        <v>4.300699399</v>
      </c>
    </row>
    <row r="879" spans="2:7" x14ac:dyDescent="0.3">
      <c r="B879" s="60">
        <v>876</v>
      </c>
      <c r="C879" s="58">
        <v>44316</v>
      </c>
      <c r="D879" s="57">
        <v>4639</v>
      </c>
      <c r="E879" s="58">
        <v>8404</v>
      </c>
      <c r="F879" s="59">
        <v>398</v>
      </c>
      <c r="G879" s="18">
        <v>4.3189604419999998</v>
      </c>
    </row>
    <row r="880" spans="2:7" x14ac:dyDescent="0.3">
      <c r="B880" s="60">
        <v>877</v>
      </c>
      <c r="C880" s="58">
        <v>47433</v>
      </c>
      <c r="D880" s="57">
        <v>5116</v>
      </c>
      <c r="E880" s="58">
        <v>7449</v>
      </c>
      <c r="F880" s="59">
        <v>413</v>
      </c>
      <c r="G880" s="18">
        <v>6.0198996999999999</v>
      </c>
    </row>
    <row r="881" spans="2:7" x14ac:dyDescent="0.3">
      <c r="B881" s="60">
        <v>878</v>
      </c>
      <c r="C881" s="58">
        <v>52760</v>
      </c>
      <c r="D881" s="57">
        <v>5125</v>
      </c>
      <c r="E881" s="58">
        <v>7432</v>
      </c>
      <c r="F881" s="59">
        <v>417</v>
      </c>
      <c r="G881" s="18">
        <v>8.5296674069999998</v>
      </c>
    </row>
    <row r="882" spans="2:7" x14ac:dyDescent="0.3">
      <c r="B882" s="60">
        <v>879</v>
      </c>
      <c r="C882" s="58">
        <v>64095</v>
      </c>
      <c r="D882" s="57">
        <v>6712</v>
      </c>
      <c r="E882" s="58">
        <v>4256</v>
      </c>
      <c r="F882" s="59">
        <v>436</v>
      </c>
      <c r="G882" s="18">
        <v>5.289098085</v>
      </c>
    </row>
    <row r="883" spans="2:7" x14ac:dyDescent="0.3">
      <c r="B883" s="60">
        <v>880</v>
      </c>
      <c r="C883" s="58">
        <v>44976</v>
      </c>
      <c r="D883" s="57">
        <v>4463</v>
      </c>
      <c r="E883" s="58">
        <v>8754</v>
      </c>
      <c r="F883" s="59">
        <v>404</v>
      </c>
      <c r="G883" s="18">
        <v>5.3399528629999997</v>
      </c>
    </row>
    <row r="884" spans="2:7" x14ac:dyDescent="0.3">
      <c r="B884" s="60">
        <v>881</v>
      </c>
      <c r="C884" s="58">
        <v>54263</v>
      </c>
      <c r="D884" s="57">
        <v>4167</v>
      </c>
      <c r="E884" s="58">
        <v>9348</v>
      </c>
      <c r="F884" s="59">
        <v>426</v>
      </c>
      <c r="G884" s="18">
        <v>3.7989587569999999</v>
      </c>
    </row>
    <row r="885" spans="2:7" x14ac:dyDescent="0.3">
      <c r="B885" s="60">
        <v>882</v>
      </c>
      <c r="C885" s="58">
        <v>59027</v>
      </c>
      <c r="D885" s="57">
        <v>5697</v>
      </c>
      <c r="E885" s="58">
        <v>6287</v>
      </c>
      <c r="F885" s="59">
        <v>432</v>
      </c>
      <c r="G885" s="18">
        <v>6.2720925640000003</v>
      </c>
    </row>
    <row r="886" spans="2:7" x14ac:dyDescent="0.3">
      <c r="B886" s="60">
        <v>883</v>
      </c>
      <c r="C886" s="58">
        <v>54357</v>
      </c>
      <c r="D886" s="57">
        <v>5434</v>
      </c>
      <c r="E886" s="58">
        <v>6813</v>
      </c>
      <c r="F886" s="59">
        <v>419</v>
      </c>
      <c r="G886" s="18">
        <v>6.480745078</v>
      </c>
    </row>
    <row r="887" spans="2:7" x14ac:dyDescent="0.3">
      <c r="B887" s="60">
        <v>884</v>
      </c>
      <c r="C887" s="58">
        <v>37218</v>
      </c>
      <c r="D887" s="57">
        <v>3980</v>
      </c>
      <c r="E887" s="58">
        <v>9722</v>
      </c>
      <c r="F887" s="59">
        <v>377</v>
      </c>
      <c r="G887" s="18">
        <v>5.1652361769999997</v>
      </c>
    </row>
    <row r="888" spans="2:7" x14ac:dyDescent="0.3">
      <c r="B888" s="60">
        <v>885</v>
      </c>
      <c r="C888" s="58">
        <v>46839</v>
      </c>
      <c r="D888" s="57">
        <v>4718</v>
      </c>
      <c r="E888" s="58">
        <v>8245</v>
      </c>
      <c r="F888" s="59">
        <v>397</v>
      </c>
      <c r="G888" s="18">
        <v>3.9362314180000002</v>
      </c>
    </row>
    <row r="889" spans="2:7" x14ac:dyDescent="0.3">
      <c r="B889" s="60">
        <v>886</v>
      </c>
      <c r="C889" s="58">
        <v>58263</v>
      </c>
      <c r="D889" s="57">
        <v>5475</v>
      </c>
      <c r="E889" s="58">
        <v>6731</v>
      </c>
      <c r="F889" s="59">
        <v>425</v>
      </c>
      <c r="G889" s="18">
        <v>3.6043990780000001</v>
      </c>
    </row>
    <row r="890" spans="2:7" x14ac:dyDescent="0.3">
      <c r="B890" s="60">
        <v>887</v>
      </c>
      <c r="C890" s="58">
        <v>38028</v>
      </c>
      <c r="D890" s="57">
        <v>3867</v>
      </c>
      <c r="E890" s="58">
        <v>9947</v>
      </c>
      <c r="F890" s="59">
        <v>382</v>
      </c>
      <c r="G890" s="18">
        <v>6.6725867909999996</v>
      </c>
    </row>
    <row r="891" spans="2:7" x14ac:dyDescent="0.3">
      <c r="B891" s="60">
        <v>888</v>
      </c>
      <c r="C891" s="58">
        <v>54916</v>
      </c>
      <c r="D891" s="57">
        <v>4777</v>
      </c>
      <c r="E891" s="58">
        <v>8127</v>
      </c>
      <c r="F891" s="59">
        <v>423</v>
      </c>
      <c r="G891" s="18">
        <v>5.4582870909999999</v>
      </c>
    </row>
    <row r="892" spans="2:7" x14ac:dyDescent="0.3">
      <c r="B892" s="60">
        <v>889</v>
      </c>
      <c r="C892" s="58">
        <v>39579</v>
      </c>
      <c r="D892" s="57">
        <v>3684</v>
      </c>
      <c r="E892" s="58">
        <v>10313</v>
      </c>
      <c r="F892" s="59">
        <v>385</v>
      </c>
      <c r="G892" s="18">
        <v>4.8501530539999997</v>
      </c>
    </row>
    <row r="893" spans="2:7" x14ac:dyDescent="0.3">
      <c r="B893" s="60">
        <v>890</v>
      </c>
      <c r="C893" s="58">
        <v>53332</v>
      </c>
      <c r="D893" s="57">
        <v>5319</v>
      </c>
      <c r="E893" s="58">
        <v>7043</v>
      </c>
      <c r="F893" s="59">
        <v>419</v>
      </c>
      <c r="G893" s="18">
        <v>4.088454885</v>
      </c>
    </row>
    <row r="894" spans="2:7" x14ac:dyDescent="0.3">
      <c r="B894" s="60">
        <v>891</v>
      </c>
      <c r="C894" s="58">
        <v>49619</v>
      </c>
      <c r="D894" s="57">
        <v>4625</v>
      </c>
      <c r="E894" s="58">
        <v>8432</v>
      </c>
      <c r="F894" s="59">
        <v>414</v>
      </c>
      <c r="G894" s="18">
        <v>5.4390229989999996</v>
      </c>
    </row>
    <row r="895" spans="2:7" x14ac:dyDescent="0.3">
      <c r="B895" s="60">
        <v>892</v>
      </c>
      <c r="C895" s="58">
        <v>58806</v>
      </c>
      <c r="D895" s="57">
        <v>6375</v>
      </c>
      <c r="E895" s="58">
        <v>4931</v>
      </c>
      <c r="F895" s="59">
        <v>424</v>
      </c>
      <c r="G895" s="18">
        <v>6.6888780790000002</v>
      </c>
    </row>
    <row r="896" spans="2:7" x14ac:dyDescent="0.3">
      <c r="B896" s="60">
        <v>893</v>
      </c>
      <c r="C896" s="58">
        <v>44989</v>
      </c>
      <c r="D896" s="57">
        <v>4198</v>
      </c>
      <c r="E896" s="58">
        <v>9285</v>
      </c>
      <c r="F896" s="59">
        <v>402</v>
      </c>
      <c r="G896" s="18">
        <v>7.0491207520000003</v>
      </c>
    </row>
    <row r="897" spans="2:7" x14ac:dyDescent="0.3">
      <c r="B897" s="60">
        <v>894</v>
      </c>
      <c r="C897" s="58">
        <v>51111</v>
      </c>
      <c r="D897" s="57">
        <v>5656</v>
      </c>
      <c r="E897" s="58">
        <v>6369</v>
      </c>
      <c r="F897" s="59">
        <v>417</v>
      </c>
      <c r="G897" s="18">
        <v>4.7714056180000002</v>
      </c>
    </row>
    <row r="898" spans="2:7" x14ac:dyDescent="0.3">
      <c r="B898" s="60">
        <v>895</v>
      </c>
      <c r="C898" s="58">
        <v>20123</v>
      </c>
      <c r="D898" s="57">
        <v>2325</v>
      </c>
      <c r="E898" s="58">
        <v>13031</v>
      </c>
      <c r="F898" s="59">
        <v>313</v>
      </c>
      <c r="G898" s="18">
        <v>3.6140482600000001</v>
      </c>
    </row>
    <row r="899" spans="2:7" x14ac:dyDescent="0.3">
      <c r="B899" s="60">
        <v>896</v>
      </c>
      <c r="C899" s="58">
        <v>66934</v>
      </c>
      <c r="D899" s="57">
        <v>6140</v>
      </c>
      <c r="E899" s="58">
        <v>5401</v>
      </c>
      <c r="F899" s="59">
        <v>451</v>
      </c>
      <c r="G899" s="18">
        <v>4.5655945019999997</v>
      </c>
    </row>
    <row r="900" spans="2:7" x14ac:dyDescent="0.3">
      <c r="B900" s="60">
        <v>897</v>
      </c>
      <c r="C900" s="58">
        <v>50435</v>
      </c>
      <c r="D900" s="57">
        <v>5780</v>
      </c>
      <c r="E900" s="58">
        <v>6121</v>
      </c>
      <c r="F900" s="59">
        <v>416</v>
      </c>
      <c r="G900" s="18">
        <v>5.1139424680000003</v>
      </c>
    </row>
    <row r="901" spans="2:7" x14ac:dyDescent="0.3">
      <c r="B901" s="60">
        <v>898</v>
      </c>
      <c r="C901" s="58">
        <v>60581</v>
      </c>
      <c r="D901" s="57">
        <v>5953</v>
      </c>
      <c r="E901" s="58">
        <v>5775</v>
      </c>
      <c r="F901" s="59">
        <v>429</v>
      </c>
      <c r="G901" s="18">
        <v>2.5641275210000001</v>
      </c>
    </row>
    <row r="902" spans="2:7" x14ac:dyDescent="0.3">
      <c r="B902" s="60">
        <v>899</v>
      </c>
      <c r="C902" s="58">
        <v>29514</v>
      </c>
      <c r="D902" s="57">
        <v>2641</v>
      </c>
      <c r="E902" s="58">
        <v>12399</v>
      </c>
      <c r="F902" s="59">
        <v>349</v>
      </c>
      <c r="G902" s="18">
        <v>4.9584344219999998</v>
      </c>
    </row>
    <row r="903" spans="2:7" x14ac:dyDescent="0.3">
      <c r="B903" s="60">
        <v>900</v>
      </c>
      <c r="C903" s="58">
        <v>65068</v>
      </c>
      <c r="D903" s="57">
        <v>7009</v>
      </c>
      <c r="E903" s="58">
        <v>3662</v>
      </c>
      <c r="F903" s="59">
        <v>436</v>
      </c>
      <c r="G903" s="18">
        <v>5.3937121250000004</v>
      </c>
    </row>
    <row r="904" spans="2:7" x14ac:dyDescent="0.3">
      <c r="B904" s="60">
        <v>901</v>
      </c>
      <c r="C904" s="58">
        <v>57909</v>
      </c>
      <c r="D904" s="57">
        <v>5480</v>
      </c>
      <c r="E904" s="58">
        <v>6721</v>
      </c>
      <c r="F904" s="59">
        <v>425</v>
      </c>
      <c r="G904" s="18">
        <v>5.9171285659999997</v>
      </c>
    </row>
    <row r="905" spans="2:7" x14ac:dyDescent="0.3">
      <c r="B905" s="60">
        <v>902</v>
      </c>
      <c r="C905" s="58">
        <v>68852</v>
      </c>
      <c r="D905" s="57">
        <v>6899</v>
      </c>
      <c r="E905" s="58">
        <v>3884</v>
      </c>
      <c r="F905" s="59">
        <v>444</v>
      </c>
      <c r="G905" s="18">
        <v>6.09214682</v>
      </c>
    </row>
    <row r="906" spans="2:7" x14ac:dyDescent="0.3">
      <c r="B906" s="60">
        <v>903</v>
      </c>
      <c r="C906" s="58">
        <v>46835</v>
      </c>
      <c r="D906" s="57">
        <v>4638</v>
      </c>
      <c r="E906" s="58">
        <v>8405</v>
      </c>
      <c r="F906" s="59">
        <v>401</v>
      </c>
      <c r="G906" s="18">
        <v>5.0496143069999997</v>
      </c>
    </row>
    <row r="907" spans="2:7" x14ac:dyDescent="0.3">
      <c r="B907" s="60">
        <v>904</v>
      </c>
      <c r="C907" s="58">
        <v>43589</v>
      </c>
      <c r="D907" s="57">
        <v>4218</v>
      </c>
      <c r="E907" s="58">
        <v>9245</v>
      </c>
      <c r="F907" s="59">
        <v>405</v>
      </c>
      <c r="G907" s="18">
        <v>5.3900392000000004</v>
      </c>
    </row>
    <row r="908" spans="2:7" x14ac:dyDescent="0.3">
      <c r="B908" s="60">
        <v>905</v>
      </c>
      <c r="C908" s="58">
        <v>63485</v>
      </c>
      <c r="D908" s="57">
        <v>6356</v>
      </c>
      <c r="E908" s="58">
        <v>4969</v>
      </c>
      <c r="F908" s="59">
        <v>435</v>
      </c>
      <c r="G908" s="18">
        <v>4.5036638260000004</v>
      </c>
    </row>
    <row r="909" spans="2:7" x14ac:dyDescent="0.3">
      <c r="B909" s="60">
        <v>906</v>
      </c>
      <c r="C909" s="58">
        <v>40753</v>
      </c>
      <c r="D909" s="57">
        <v>3950</v>
      </c>
      <c r="E909" s="58">
        <v>9782</v>
      </c>
      <c r="F909" s="59">
        <v>401</v>
      </c>
      <c r="G909" s="18">
        <v>4.3433302679999999</v>
      </c>
    </row>
    <row r="910" spans="2:7" x14ac:dyDescent="0.3">
      <c r="B910" s="60">
        <v>907</v>
      </c>
      <c r="C910" s="58">
        <v>47875</v>
      </c>
      <c r="D910" s="57">
        <v>5439</v>
      </c>
      <c r="E910" s="58">
        <v>6803</v>
      </c>
      <c r="F910" s="59">
        <v>412</v>
      </c>
      <c r="G910" s="18">
        <v>5.9398161610000004</v>
      </c>
    </row>
    <row r="911" spans="2:7" x14ac:dyDescent="0.3">
      <c r="B911" s="60">
        <v>908</v>
      </c>
      <c r="C911" s="58">
        <v>37008</v>
      </c>
      <c r="D911" s="57">
        <v>4406</v>
      </c>
      <c r="E911" s="58">
        <v>8868</v>
      </c>
      <c r="F911" s="59">
        <v>386</v>
      </c>
      <c r="G911" s="18">
        <v>6.3844535420000001</v>
      </c>
    </row>
    <row r="912" spans="2:7" x14ac:dyDescent="0.3">
      <c r="B912" s="60">
        <v>909</v>
      </c>
      <c r="C912" s="58">
        <v>34072</v>
      </c>
      <c r="D912" s="57">
        <v>3365</v>
      </c>
      <c r="E912" s="58">
        <v>10951</v>
      </c>
      <c r="F912" s="59">
        <v>371</v>
      </c>
      <c r="G912" s="18">
        <v>6.198842065</v>
      </c>
    </row>
    <row r="913" spans="2:7" x14ac:dyDescent="0.3">
      <c r="B913" s="60">
        <v>910</v>
      </c>
      <c r="C913" s="58">
        <v>55975</v>
      </c>
      <c r="D913" s="57">
        <v>6050</v>
      </c>
      <c r="E913" s="58">
        <v>5582</v>
      </c>
      <c r="F913" s="59">
        <v>418</v>
      </c>
      <c r="G913" s="18">
        <v>4.0546159060000004</v>
      </c>
    </row>
    <row r="914" spans="2:7" x14ac:dyDescent="0.3">
      <c r="B914" s="60">
        <v>911</v>
      </c>
      <c r="C914" s="58">
        <v>55263</v>
      </c>
      <c r="D914" s="57">
        <v>4877</v>
      </c>
      <c r="E914" s="58">
        <v>7926</v>
      </c>
      <c r="F914" s="59">
        <v>420</v>
      </c>
      <c r="G914" s="18">
        <v>4.0790915480000001</v>
      </c>
    </row>
    <row r="915" spans="2:7" x14ac:dyDescent="0.3">
      <c r="B915" s="60">
        <v>912</v>
      </c>
      <c r="C915" s="58">
        <v>42926</v>
      </c>
      <c r="D915" s="57">
        <v>3818</v>
      </c>
      <c r="E915" s="58">
        <v>10044</v>
      </c>
      <c r="F915" s="59">
        <v>401</v>
      </c>
      <c r="G915" s="18">
        <v>4.4474475330000001</v>
      </c>
    </row>
    <row r="916" spans="2:7" x14ac:dyDescent="0.3">
      <c r="B916" s="60">
        <v>913</v>
      </c>
      <c r="C916" s="58">
        <v>54008</v>
      </c>
      <c r="D916" s="57">
        <v>4308</v>
      </c>
      <c r="E916" s="58">
        <v>9065</v>
      </c>
      <c r="F916" s="59">
        <v>418</v>
      </c>
      <c r="G916" s="18">
        <v>4.3809693479999998</v>
      </c>
    </row>
    <row r="917" spans="2:7" x14ac:dyDescent="0.3">
      <c r="B917" s="60">
        <v>914</v>
      </c>
      <c r="C917" s="58">
        <v>41369</v>
      </c>
      <c r="D917" s="57">
        <v>4034</v>
      </c>
      <c r="E917" s="58">
        <v>9614</v>
      </c>
      <c r="F917" s="59">
        <v>393</v>
      </c>
      <c r="G917" s="18">
        <v>5.2783593350000002</v>
      </c>
    </row>
    <row r="918" spans="2:7" x14ac:dyDescent="0.3">
      <c r="B918" s="60">
        <v>915</v>
      </c>
      <c r="C918" s="58">
        <v>43545</v>
      </c>
      <c r="D918" s="57">
        <v>4555</v>
      </c>
      <c r="E918" s="58">
        <v>8570</v>
      </c>
      <c r="F918" s="59">
        <v>402</v>
      </c>
      <c r="G918" s="18">
        <v>2.8803080620000001</v>
      </c>
    </row>
    <row r="919" spans="2:7" x14ac:dyDescent="0.3">
      <c r="B919" s="60">
        <v>916</v>
      </c>
      <c r="C919" s="58">
        <v>43293</v>
      </c>
      <c r="D919" s="57">
        <v>4322</v>
      </c>
      <c r="E919" s="58">
        <v>9037</v>
      </c>
      <c r="F919" s="59">
        <v>395</v>
      </c>
      <c r="G919" s="18">
        <v>5.7568908179999996</v>
      </c>
    </row>
    <row r="920" spans="2:7" x14ac:dyDescent="0.3">
      <c r="B920" s="60">
        <v>917</v>
      </c>
      <c r="C920" s="58">
        <v>40270</v>
      </c>
      <c r="D920" s="57">
        <v>5136</v>
      </c>
      <c r="E920" s="58">
        <v>7409</v>
      </c>
      <c r="F920" s="59">
        <v>390</v>
      </c>
      <c r="G920" s="18">
        <v>3.6087812750000001</v>
      </c>
    </row>
    <row r="921" spans="2:7" x14ac:dyDescent="0.3">
      <c r="B921" s="60">
        <v>918</v>
      </c>
      <c r="C921" s="58">
        <v>26442</v>
      </c>
      <c r="D921" s="57">
        <v>2527</v>
      </c>
      <c r="E921" s="58">
        <v>12626</v>
      </c>
      <c r="F921" s="59">
        <v>343</v>
      </c>
      <c r="G921" s="18">
        <v>5.2216570559999997</v>
      </c>
    </row>
    <row r="922" spans="2:7" x14ac:dyDescent="0.3">
      <c r="B922" s="60">
        <v>919</v>
      </c>
      <c r="C922" s="58">
        <v>40279</v>
      </c>
      <c r="D922" s="57">
        <v>3507</v>
      </c>
      <c r="E922" s="58">
        <v>10667</v>
      </c>
      <c r="F922" s="59">
        <v>393</v>
      </c>
      <c r="G922" s="18">
        <v>5.01248469</v>
      </c>
    </row>
    <row r="923" spans="2:7" x14ac:dyDescent="0.3">
      <c r="B923" s="60">
        <v>920</v>
      </c>
      <c r="C923" s="58">
        <v>53846</v>
      </c>
      <c r="D923" s="57">
        <v>4544</v>
      </c>
      <c r="E923" s="58">
        <v>8592</v>
      </c>
      <c r="F923" s="59">
        <v>417</v>
      </c>
      <c r="G923" s="18">
        <v>5.1677862110000001</v>
      </c>
    </row>
    <row r="924" spans="2:7" x14ac:dyDescent="0.3">
      <c r="B924" s="60">
        <v>921</v>
      </c>
      <c r="C924" s="58">
        <v>51740</v>
      </c>
      <c r="D924" s="57">
        <v>6919</v>
      </c>
      <c r="E924" s="58">
        <v>3842</v>
      </c>
      <c r="F924" s="59">
        <v>418</v>
      </c>
      <c r="G924" s="18">
        <v>3.5295873000000002</v>
      </c>
    </row>
    <row r="925" spans="2:7" x14ac:dyDescent="0.3">
      <c r="B925" s="60">
        <v>922</v>
      </c>
      <c r="C925" s="58">
        <v>65062</v>
      </c>
      <c r="D925" s="57">
        <v>7067</v>
      </c>
      <c r="E925" s="58">
        <v>3547</v>
      </c>
      <c r="F925" s="59">
        <v>436</v>
      </c>
      <c r="G925" s="18">
        <v>5.7265076769999999</v>
      </c>
    </row>
    <row r="926" spans="2:7" x14ac:dyDescent="0.3">
      <c r="B926" s="60">
        <v>923</v>
      </c>
      <c r="C926" s="58">
        <v>34820</v>
      </c>
      <c r="D926" s="57">
        <v>3316</v>
      </c>
      <c r="E926" s="58">
        <v>11049</v>
      </c>
      <c r="F926" s="59">
        <v>375</v>
      </c>
      <c r="G926" s="18">
        <v>5.5133638539999996</v>
      </c>
    </row>
    <row r="927" spans="2:7" x14ac:dyDescent="0.3">
      <c r="B927" s="60">
        <v>924</v>
      </c>
      <c r="C927" s="58">
        <v>47354</v>
      </c>
      <c r="D927" s="57">
        <v>3924</v>
      </c>
      <c r="E927" s="58">
        <v>9834</v>
      </c>
      <c r="F927" s="59">
        <v>408</v>
      </c>
      <c r="G927" s="18">
        <v>2.2832312250000002</v>
      </c>
    </row>
    <row r="928" spans="2:7" x14ac:dyDescent="0.3">
      <c r="B928" s="60">
        <v>925</v>
      </c>
      <c r="C928" s="58">
        <v>58179</v>
      </c>
      <c r="D928" s="57">
        <v>5420</v>
      </c>
      <c r="E928" s="58">
        <v>6842</v>
      </c>
      <c r="F928" s="59">
        <v>429</v>
      </c>
      <c r="G928" s="18">
        <v>5.509780364</v>
      </c>
    </row>
    <row r="929" spans="2:7" x14ac:dyDescent="0.3">
      <c r="B929" s="60">
        <v>926</v>
      </c>
      <c r="C929" s="58">
        <v>57087</v>
      </c>
      <c r="D929" s="57">
        <v>6065</v>
      </c>
      <c r="E929" s="58">
        <v>5551</v>
      </c>
      <c r="F929" s="59">
        <v>432</v>
      </c>
      <c r="G929" s="18">
        <v>3.3350878100000001</v>
      </c>
    </row>
    <row r="930" spans="2:7" x14ac:dyDescent="0.3">
      <c r="B930" s="60">
        <v>927</v>
      </c>
      <c r="C930" s="58">
        <v>48581</v>
      </c>
      <c r="D930" s="57">
        <v>5971</v>
      </c>
      <c r="E930" s="58">
        <v>5738</v>
      </c>
      <c r="F930" s="59">
        <v>418</v>
      </c>
      <c r="G930" s="18">
        <v>4.6905044990000002</v>
      </c>
    </row>
    <row r="931" spans="2:7" x14ac:dyDescent="0.3">
      <c r="B931" s="60">
        <v>928</v>
      </c>
      <c r="C931" s="58">
        <v>55443</v>
      </c>
      <c r="D931" s="57">
        <v>5012</v>
      </c>
      <c r="E931" s="58">
        <v>7657</v>
      </c>
      <c r="F931" s="59">
        <v>430</v>
      </c>
      <c r="G931" s="18">
        <v>7.4066466149999997</v>
      </c>
    </row>
    <row r="932" spans="2:7" x14ac:dyDescent="0.3">
      <c r="B932" s="60">
        <v>929</v>
      </c>
      <c r="C932" s="58">
        <v>32525</v>
      </c>
      <c r="D932" s="57">
        <v>3256</v>
      </c>
      <c r="E932" s="58">
        <v>11170</v>
      </c>
      <c r="F932" s="59">
        <v>371</v>
      </c>
      <c r="G932" s="18">
        <v>5.128206391</v>
      </c>
    </row>
    <row r="933" spans="2:7" x14ac:dyDescent="0.3">
      <c r="B933" s="60">
        <v>930</v>
      </c>
      <c r="C933" s="58">
        <v>49525</v>
      </c>
      <c r="D933" s="57">
        <v>5017</v>
      </c>
      <c r="E933" s="58">
        <v>7648</v>
      </c>
      <c r="F933" s="59">
        <v>418</v>
      </c>
      <c r="G933" s="18">
        <v>4.7472897290000002</v>
      </c>
    </row>
    <row r="934" spans="2:7" x14ac:dyDescent="0.3">
      <c r="B934" s="60">
        <v>931</v>
      </c>
      <c r="C934" s="58">
        <v>42206</v>
      </c>
      <c r="D934" s="57">
        <v>3946</v>
      </c>
      <c r="E934" s="58">
        <v>9789</v>
      </c>
      <c r="F934" s="59">
        <v>393</v>
      </c>
      <c r="G934" s="18">
        <v>4.7336992850000001</v>
      </c>
    </row>
    <row r="935" spans="2:7" x14ac:dyDescent="0.3">
      <c r="B935" s="60">
        <v>932</v>
      </c>
      <c r="C935" s="58">
        <v>44226</v>
      </c>
      <c r="D935" s="57">
        <v>4011</v>
      </c>
      <c r="E935" s="58">
        <v>9660</v>
      </c>
      <c r="F935" s="59">
        <v>400</v>
      </c>
      <c r="G935" s="18">
        <v>5.5319443269999997</v>
      </c>
    </row>
    <row r="936" spans="2:7" x14ac:dyDescent="0.3">
      <c r="B936" s="60">
        <v>933</v>
      </c>
      <c r="C936" s="58">
        <v>55871</v>
      </c>
      <c r="D936" s="57">
        <v>6238</v>
      </c>
      <c r="E936" s="58">
        <v>5205</v>
      </c>
      <c r="F936" s="59">
        <v>428</v>
      </c>
      <c r="G936" s="18">
        <v>5.9685917899999996</v>
      </c>
    </row>
    <row r="937" spans="2:7" x14ac:dyDescent="0.3">
      <c r="B937" s="60">
        <v>934</v>
      </c>
      <c r="C937" s="58">
        <v>48789</v>
      </c>
      <c r="D937" s="57">
        <v>4255</v>
      </c>
      <c r="E937" s="58">
        <v>9171</v>
      </c>
      <c r="F937" s="59">
        <v>407</v>
      </c>
      <c r="G937" s="18">
        <v>6.2040585689999999</v>
      </c>
    </row>
    <row r="938" spans="2:7" x14ac:dyDescent="0.3">
      <c r="B938" s="60">
        <v>935</v>
      </c>
      <c r="C938" s="58">
        <v>63338</v>
      </c>
      <c r="D938" s="57">
        <v>5941</v>
      </c>
      <c r="E938" s="58">
        <v>5799</v>
      </c>
      <c r="F938" s="59">
        <v>439</v>
      </c>
      <c r="G938" s="18">
        <v>5.1373488890000001</v>
      </c>
    </row>
    <row r="939" spans="2:7" x14ac:dyDescent="0.3">
      <c r="B939" s="60">
        <v>936</v>
      </c>
      <c r="C939" s="58">
        <v>56462</v>
      </c>
      <c r="D939" s="57">
        <v>5100</v>
      </c>
      <c r="E939" s="58">
        <v>7482</v>
      </c>
      <c r="F939" s="59">
        <v>424</v>
      </c>
      <c r="G939" s="18">
        <v>3.9249770150000001</v>
      </c>
    </row>
    <row r="940" spans="2:7" x14ac:dyDescent="0.3">
      <c r="B940" s="60">
        <v>937</v>
      </c>
      <c r="C940" s="58">
        <v>50800</v>
      </c>
      <c r="D940" s="57">
        <v>5704</v>
      </c>
      <c r="E940" s="58">
        <v>6272</v>
      </c>
      <c r="F940" s="59">
        <v>402</v>
      </c>
      <c r="G940" s="18">
        <v>5.1367718529999999</v>
      </c>
    </row>
    <row r="941" spans="2:7" x14ac:dyDescent="0.3">
      <c r="B941" s="60">
        <v>938</v>
      </c>
      <c r="C941" s="58">
        <v>34326</v>
      </c>
      <c r="D941" s="57">
        <v>3259</v>
      </c>
      <c r="E941" s="58">
        <v>11164</v>
      </c>
      <c r="F941" s="59">
        <v>374</v>
      </c>
      <c r="G941" s="18">
        <v>6.4591078780000002</v>
      </c>
    </row>
    <row r="942" spans="2:7" x14ac:dyDescent="0.3">
      <c r="B942" s="60">
        <v>939</v>
      </c>
      <c r="C942" s="58">
        <v>47813</v>
      </c>
      <c r="D942" s="57">
        <v>4711</v>
      </c>
      <c r="E942" s="58">
        <v>8259</v>
      </c>
      <c r="F942" s="59">
        <v>408</v>
      </c>
      <c r="G942" s="18">
        <v>5.241938212</v>
      </c>
    </row>
    <row r="943" spans="2:7" x14ac:dyDescent="0.3">
      <c r="B943" s="60">
        <v>940</v>
      </c>
      <c r="C943" s="58">
        <v>54406</v>
      </c>
      <c r="D943" s="57">
        <v>4607</v>
      </c>
      <c r="E943" s="58">
        <v>8468</v>
      </c>
      <c r="F943" s="59">
        <v>421</v>
      </c>
      <c r="G943" s="18">
        <v>5.0225404769999997</v>
      </c>
    </row>
    <row r="944" spans="2:7" x14ac:dyDescent="0.3">
      <c r="B944" s="60">
        <v>941</v>
      </c>
      <c r="C944" s="58">
        <v>60525</v>
      </c>
      <c r="D944" s="57">
        <v>6219</v>
      </c>
      <c r="E944" s="58">
        <v>5243</v>
      </c>
      <c r="F944" s="59">
        <v>434</v>
      </c>
      <c r="G944" s="18">
        <v>4.9747081670000002</v>
      </c>
    </row>
    <row r="945" spans="2:7" x14ac:dyDescent="0.3">
      <c r="B945" s="60">
        <v>942</v>
      </c>
      <c r="C945" s="58">
        <v>54700</v>
      </c>
      <c r="D945" s="57">
        <v>4973</v>
      </c>
      <c r="E945" s="58">
        <v>7734</v>
      </c>
      <c r="F945" s="59">
        <v>426</v>
      </c>
      <c r="G945" s="18">
        <v>6.7405273780000003</v>
      </c>
    </row>
    <row r="946" spans="2:7" x14ac:dyDescent="0.3">
      <c r="B946" s="60">
        <v>943</v>
      </c>
      <c r="C946" s="58">
        <v>44945</v>
      </c>
      <c r="D946" s="57">
        <v>4599</v>
      </c>
      <c r="E946" s="58">
        <v>8483</v>
      </c>
      <c r="F946" s="59">
        <v>406</v>
      </c>
      <c r="G946" s="18">
        <v>5.1732348100000003</v>
      </c>
    </row>
    <row r="947" spans="2:7" x14ac:dyDescent="0.3">
      <c r="B947" s="60">
        <v>944</v>
      </c>
      <c r="C947" s="58">
        <v>73450</v>
      </c>
      <c r="D947" s="57">
        <v>7909</v>
      </c>
      <c r="E947" s="58">
        <v>1863</v>
      </c>
      <c r="F947" s="59">
        <v>447</v>
      </c>
      <c r="G947" s="18">
        <v>5.0258243419999999</v>
      </c>
    </row>
    <row r="948" spans="2:7" x14ac:dyDescent="0.3">
      <c r="B948" s="60">
        <v>945</v>
      </c>
      <c r="C948" s="58">
        <v>49491</v>
      </c>
      <c r="D948" s="57">
        <v>5359</v>
      </c>
      <c r="E948" s="58">
        <v>6962</v>
      </c>
      <c r="F948" s="59">
        <v>416</v>
      </c>
      <c r="G948" s="18">
        <v>4.9162528300000004</v>
      </c>
    </row>
    <row r="949" spans="2:7" x14ac:dyDescent="0.3">
      <c r="B949" s="60">
        <v>946</v>
      </c>
      <c r="C949" s="58">
        <v>32755</v>
      </c>
      <c r="D949" s="57">
        <v>3821</v>
      </c>
      <c r="E949" s="58">
        <v>10038</v>
      </c>
      <c r="F949" s="59">
        <v>361</v>
      </c>
      <c r="G949" s="18">
        <v>5.6603908460000003</v>
      </c>
    </row>
    <row r="950" spans="2:7" x14ac:dyDescent="0.3">
      <c r="B950" s="60">
        <v>947</v>
      </c>
      <c r="C950" s="58">
        <v>57091</v>
      </c>
      <c r="D950" s="57">
        <v>5107</v>
      </c>
      <c r="E950" s="58">
        <v>7467</v>
      </c>
      <c r="F950" s="59">
        <v>426</v>
      </c>
      <c r="G950" s="18">
        <v>4.335504974</v>
      </c>
    </row>
    <row r="951" spans="2:7" x14ac:dyDescent="0.3">
      <c r="B951" s="60">
        <v>948</v>
      </c>
      <c r="C951" s="58">
        <v>40938</v>
      </c>
      <c r="D951" s="57">
        <v>4073</v>
      </c>
      <c r="E951" s="58">
        <v>9534</v>
      </c>
      <c r="F951" s="59">
        <v>395</v>
      </c>
      <c r="G951" s="18">
        <v>6.2508061079999999</v>
      </c>
    </row>
    <row r="952" spans="2:7" x14ac:dyDescent="0.3">
      <c r="B952" s="60">
        <v>949</v>
      </c>
      <c r="C952" s="58">
        <v>33172</v>
      </c>
      <c r="D952" s="57">
        <v>3642</v>
      </c>
      <c r="E952" s="58">
        <v>10397</v>
      </c>
      <c r="F952" s="59">
        <v>358</v>
      </c>
      <c r="G952" s="18">
        <v>5.2904276990000003</v>
      </c>
    </row>
    <row r="953" spans="2:7" x14ac:dyDescent="0.3">
      <c r="B953" s="60">
        <v>950</v>
      </c>
      <c r="C953" s="58">
        <v>52856</v>
      </c>
      <c r="D953" s="57">
        <v>5355</v>
      </c>
      <c r="E953" s="58">
        <v>6971</v>
      </c>
      <c r="F953" s="59">
        <v>421</v>
      </c>
      <c r="G953" s="18">
        <v>4.7984910190000001</v>
      </c>
    </row>
    <row r="954" spans="2:7" x14ac:dyDescent="0.3">
      <c r="B954" s="60">
        <v>951</v>
      </c>
      <c r="C954" s="58">
        <v>68873</v>
      </c>
      <c r="D954" s="57">
        <v>6833</v>
      </c>
      <c r="E954" s="58">
        <v>4015</v>
      </c>
      <c r="F954" s="59">
        <v>442</v>
      </c>
      <c r="G954" s="18">
        <v>4.6376829429999997</v>
      </c>
    </row>
    <row r="955" spans="2:7" x14ac:dyDescent="0.3">
      <c r="B955" s="60">
        <v>952</v>
      </c>
      <c r="C955" s="58">
        <v>64195</v>
      </c>
      <c r="D955" s="57">
        <v>6265</v>
      </c>
      <c r="E955" s="58">
        <v>5151</v>
      </c>
      <c r="F955" s="59">
        <v>432</v>
      </c>
      <c r="G955" s="18">
        <v>6.7252085880000001</v>
      </c>
    </row>
    <row r="956" spans="2:7" x14ac:dyDescent="0.3">
      <c r="B956" s="60">
        <v>953</v>
      </c>
      <c r="C956" s="58">
        <v>67568</v>
      </c>
      <c r="D956" s="57">
        <v>7196</v>
      </c>
      <c r="E956" s="58">
        <v>3288</v>
      </c>
      <c r="F956" s="59">
        <v>441</v>
      </c>
      <c r="G956" s="18">
        <v>4.6766551950000004</v>
      </c>
    </row>
    <row r="957" spans="2:7" x14ac:dyDescent="0.3">
      <c r="B957" s="60">
        <v>954</v>
      </c>
      <c r="C957" s="58">
        <v>30560</v>
      </c>
      <c r="D957" s="57">
        <v>3584</v>
      </c>
      <c r="E957" s="58">
        <v>10513</v>
      </c>
      <c r="F957" s="59">
        <v>366</v>
      </c>
      <c r="G957" s="18">
        <v>5.75795982</v>
      </c>
    </row>
    <row r="958" spans="2:7" x14ac:dyDescent="0.3">
      <c r="B958" s="60">
        <v>955</v>
      </c>
      <c r="C958" s="58">
        <v>46424</v>
      </c>
      <c r="D958" s="57">
        <v>5492</v>
      </c>
      <c r="E958" s="58">
        <v>6696</v>
      </c>
      <c r="F958" s="59">
        <v>404</v>
      </c>
      <c r="G958" s="18">
        <v>4.7897703119999999</v>
      </c>
    </row>
    <row r="959" spans="2:7" x14ac:dyDescent="0.3">
      <c r="B959" s="60">
        <v>956</v>
      </c>
      <c r="C959" s="58">
        <v>44321</v>
      </c>
      <c r="D959" s="57">
        <v>4659</v>
      </c>
      <c r="E959" s="58">
        <v>8363</v>
      </c>
      <c r="F959" s="59">
        <v>383</v>
      </c>
      <c r="G959" s="18">
        <v>5.2003561930000002</v>
      </c>
    </row>
    <row r="960" spans="2:7" x14ac:dyDescent="0.3">
      <c r="B960" s="60">
        <v>957</v>
      </c>
      <c r="C960" s="58">
        <v>46498</v>
      </c>
      <c r="D960" s="57">
        <v>4707</v>
      </c>
      <c r="E960" s="58">
        <v>8267</v>
      </c>
      <c r="F960" s="59">
        <v>404</v>
      </c>
      <c r="G960" s="18">
        <v>4.4090196810000002</v>
      </c>
    </row>
    <row r="961" spans="2:7" x14ac:dyDescent="0.3">
      <c r="B961" s="60">
        <v>958</v>
      </c>
      <c r="C961" s="58">
        <v>60210</v>
      </c>
      <c r="D961" s="57">
        <v>7370</v>
      </c>
      <c r="E961" s="58">
        <v>2940</v>
      </c>
      <c r="F961" s="59">
        <v>440</v>
      </c>
      <c r="G961" s="18">
        <v>6.0401884079999997</v>
      </c>
    </row>
    <row r="962" spans="2:7" x14ac:dyDescent="0.3">
      <c r="B962" s="60">
        <v>959</v>
      </c>
      <c r="C962" s="58">
        <v>56157</v>
      </c>
      <c r="D962" s="57">
        <v>5308</v>
      </c>
      <c r="E962" s="58">
        <v>7064</v>
      </c>
      <c r="F962" s="59">
        <v>429</v>
      </c>
      <c r="G962" s="18">
        <v>5.9427184799999999</v>
      </c>
    </row>
    <row r="963" spans="2:7" x14ac:dyDescent="0.3">
      <c r="B963" s="60">
        <v>960</v>
      </c>
      <c r="C963" s="58">
        <v>48521</v>
      </c>
      <c r="D963" s="57">
        <v>5422</v>
      </c>
      <c r="E963" s="58">
        <v>6837</v>
      </c>
      <c r="F963" s="59">
        <v>411</v>
      </c>
      <c r="G963" s="18">
        <v>4.3229211169999999</v>
      </c>
    </row>
    <row r="964" spans="2:7" x14ac:dyDescent="0.3">
      <c r="B964" s="60">
        <v>961</v>
      </c>
      <c r="C964" s="58">
        <v>67639</v>
      </c>
      <c r="D964" s="57">
        <v>6337</v>
      </c>
      <c r="E964" s="58">
        <v>5007</v>
      </c>
      <c r="F964" s="59">
        <v>443</v>
      </c>
      <c r="G964" s="18">
        <v>6.3895586739999999</v>
      </c>
    </row>
    <row r="965" spans="2:7" x14ac:dyDescent="0.3">
      <c r="B965" s="60">
        <v>962</v>
      </c>
      <c r="C965" s="58">
        <v>57887</v>
      </c>
      <c r="D965" s="57">
        <v>5798</v>
      </c>
      <c r="E965" s="58">
        <v>6085</v>
      </c>
      <c r="F965" s="59">
        <v>435</v>
      </c>
      <c r="G965" s="18">
        <v>3.3515830819999999</v>
      </c>
    </row>
    <row r="966" spans="2:7" x14ac:dyDescent="0.3">
      <c r="B966" s="60">
        <v>963</v>
      </c>
      <c r="C966" s="58">
        <v>38545</v>
      </c>
      <c r="D966" s="57">
        <v>3663</v>
      </c>
      <c r="E966" s="58">
        <v>10354</v>
      </c>
      <c r="F966" s="59">
        <v>383</v>
      </c>
      <c r="G966" s="18">
        <v>5.0414494989999996</v>
      </c>
    </row>
    <row r="967" spans="2:7" x14ac:dyDescent="0.3">
      <c r="B967" s="60">
        <v>964</v>
      </c>
      <c r="C967" s="58">
        <v>46497</v>
      </c>
      <c r="D967" s="57">
        <v>4894</v>
      </c>
      <c r="E967" s="58">
        <v>7894</v>
      </c>
      <c r="F967" s="59">
        <v>404</v>
      </c>
      <c r="G967" s="18">
        <v>8.4263782369999998</v>
      </c>
    </row>
    <row r="968" spans="2:7" x14ac:dyDescent="0.3">
      <c r="B968" s="60">
        <v>965</v>
      </c>
      <c r="C968" s="58">
        <v>49488</v>
      </c>
      <c r="D968" s="57">
        <v>5426</v>
      </c>
      <c r="E968" s="58">
        <v>6829</v>
      </c>
      <c r="F968" s="59">
        <v>408</v>
      </c>
      <c r="G968" s="18">
        <v>6.2257601520000003</v>
      </c>
    </row>
    <row r="969" spans="2:7" x14ac:dyDescent="0.3">
      <c r="B969" s="60">
        <v>966</v>
      </c>
      <c r="C969" s="58">
        <v>59365</v>
      </c>
      <c r="D969" s="57">
        <v>6022</v>
      </c>
      <c r="E969" s="58">
        <v>5636</v>
      </c>
      <c r="F969" s="59">
        <v>431</v>
      </c>
      <c r="G969" s="18">
        <v>4.93750613</v>
      </c>
    </row>
    <row r="970" spans="2:7" x14ac:dyDescent="0.3">
      <c r="B970" s="60">
        <v>967</v>
      </c>
      <c r="C970" s="58">
        <v>49530</v>
      </c>
      <c r="D970" s="57">
        <v>4527</v>
      </c>
      <c r="E970" s="58">
        <v>8628</v>
      </c>
      <c r="F970" s="59">
        <v>417</v>
      </c>
      <c r="G970" s="18">
        <v>5.4027153600000002</v>
      </c>
    </row>
    <row r="971" spans="2:7" x14ac:dyDescent="0.3">
      <c r="B971" s="60">
        <v>968</v>
      </c>
      <c r="C971" s="58">
        <v>39049</v>
      </c>
      <c r="D971" s="57">
        <v>3611</v>
      </c>
      <c r="E971" s="58">
        <v>10459</v>
      </c>
      <c r="F971" s="59">
        <v>386</v>
      </c>
      <c r="G971" s="18">
        <v>5.7650896700000001</v>
      </c>
    </row>
    <row r="972" spans="2:7" x14ac:dyDescent="0.3">
      <c r="B972" s="60">
        <v>969</v>
      </c>
      <c r="C972" s="58">
        <v>44510</v>
      </c>
      <c r="D972" s="57">
        <v>3482</v>
      </c>
      <c r="E972" s="58">
        <v>10717</v>
      </c>
      <c r="F972" s="59">
        <v>402</v>
      </c>
      <c r="G972" s="18">
        <v>5.5638226919999996</v>
      </c>
    </row>
    <row r="973" spans="2:7" x14ac:dyDescent="0.3">
      <c r="B973" s="60">
        <v>970</v>
      </c>
      <c r="C973" s="58">
        <v>52942</v>
      </c>
      <c r="D973" s="57">
        <v>5275</v>
      </c>
      <c r="E973" s="58">
        <v>7132</v>
      </c>
      <c r="F973" s="59">
        <v>424</v>
      </c>
      <c r="G973" s="18">
        <v>5.9422289660000001</v>
      </c>
    </row>
    <row r="974" spans="2:7" x14ac:dyDescent="0.3">
      <c r="B974" s="60">
        <v>971</v>
      </c>
      <c r="C974" s="58">
        <v>54174</v>
      </c>
      <c r="D974" s="57">
        <v>5156</v>
      </c>
      <c r="E974" s="58">
        <v>7369</v>
      </c>
      <c r="F974" s="59">
        <v>412</v>
      </c>
      <c r="G974" s="18">
        <v>7.346498543</v>
      </c>
    </row>
    <row r="975" spans="2:7" x14ac:dyDescent="0.3">
      <c r="B975" s="60">
        <v>972</v>
      </c>
      <c r="C975" s="58">
        <v>47884</v>
      </c>
      <c r="D975" s="57">
        <v>5359</v>
      </c>
      <c r="E975" s="58">
        <v>6963</v>
      </c>
      <c r="F975" s="59">
        <v>412</v>
      </c>
      <c r="G975" s="18">
        <v>4.5873661229999998</v>
      </c>
    </row>
    <row r="976" spans="2:7" x14ac:dyDescent="0.3">
      <c r="B976" s="60">
        <v>973</v>
      </c>
      <c r="C976" s="58">
        <v>63021</v>
      </c>
      <c r="D976" s="57">
        <v>5600</v>
      </c>
      <c r="E976" s="58">
        <v>6480</v>
      </c>
      <c r="F976" s="59">
        <v>442</v>
      </c>
      <c r="G976" s="18">
        <v>6.1380625010000003</v>
      </c>
    </row>
    <row r="977" spans="2:7" x14ac:dyDescent="0.3">
      <c r="B977" s="60">
        <v>974</v>
      </c>
      <c r="C977" s="58">
        <v>71853</v>
      </c>
      <c r="D977" s="57">
        <v>7078</v>
      </c>
      <c r="E977" s="58">
        <v>3524</v>
      </c>
      <c r="F977" s="59">
        <v>456</v>
      </c>
      <c r="G977" s="18">
        <v>4.710412217</v>
      </c>
    </row>
    <row r="978" spans="2:7" x14ac:dyDescent="0.3">
      <c r="B978" s="60">
        <v>975</v>
      </c>
      <c r="C978" s="58">
        <v>46009</v>
      </c>
      <c r="D978" s="57">
        <v>5696</v>
      </c>
      <c r="E978" s="58">
        <v>6289</v>
      </c>
      <c r="F978" s="59">
        <v>405</v>
      </c>
      <c r="G978" s="18">
        <v>5.0039803469999997</v>
      </c>
    </row>
    <row r="979" spans="2:7" x14ac:dyDescent="0.3">
      <c r="B979" s="60">
        <v>976</v>
      </c>
      <c r="C979" s="58">
        <v>33362</v>
      </c>
      <c r="D979" s="57">
        <v>3462</v>
      </c>
      <c r="E979" s="58">
        <v>10756</v>
      </c>
      <c r="F979" s="59">
        <v>373</v>
      </c>
      <c r="G979" s="18">
        <v>6.461964644</v>
      </c>
    </row>
    <row r="980" spans="2:7" x14ac:dyDescent="0.3">
      <c r="B980" s="60">
        <v>977</v>
      </c>
      <c r="C980" s="58">
        <v>59187</v>
      </c>
      <c r="D980" s="57">
        <v>5075</v>
      </c>
      <c r="E980" s="58">
        <v>7530</v>
      </c>
      <c r="F980" s="59">
        <v>424</v>
      </c>
      <c r="G980" s="18">
        <v>4.562058918</v>
      </c>
    </row>
    <row r="981" spans="2:7" x14ac:dyDescent="0.3">
      <c r="B981" s="60">
        <v>978</v>
      </c>
      <c r="C981" s="58">
        <v>62244</v>
      </c>
      <c r="D981" s="57">
        <v>6488</v>
      </c>
      <c r="E981" s="58">
        <v>4705</v>
      </c>
      <c r="F981" s="59">
        <v>446</v>
      </c>
      <c r="G981" s="18">
        <v>4.842946779</v>
      </c>
    </row>
    <row r="982" spans="2:7" x14ac:dyDescent="0.3">
      <c r="B982" s="60">
        <v>979</v>
      </c>
      <c r="C982" s="58">
        <v>52491</v>
      </c>
      <c r="D982" s="57">
        <v>4935</v>
      </c>
      <c r="E982" s="58">
        <v>7810</v>
      </c>
      <c r="F982" s="59">
        <v>424</v>
      </c>
      <c r="G982" s="18">
        <v>2.6268248870000002</v>
      </c>
    </row>
    <row r="983" spans="2:7" x14ac:dyDescent="0.3">
      <c r="B983" s="60">
        <v>980</v>
      </c>
      <c r="C983" s="58">
        <v>54358</v>
      </c>
      <c r="D983" s="57">
        <v>4442</v>
      </c>
      <c r="E983" s="58">
        <v>8797</v>
      </c>
      <c r="F983" s="59">
        <v>418</v>
      </c>
      <c r="G983" s="18">
        <v>6.4878552889999996</v>
      </c>
    </row>
    <row r="984" spans="2:7" x14ac:dyDescent="0.3">
      <c r="B984" s="60">
        <v>981</v>
      </c>
      <c r="C984" s="58">
        <v>43112</v>
      </c>
      <c r="D984" s="57">
        <v>4263</v>
      </c>
      <c r="E984" s="58">
        <v>9155</v>
      </c>
      <c r="F984" s="59">
        <v>397</v>
      </c>
      <c r="G984" s="18">
        <v>4.8953177630000004</v>
      </c>
    </row>
    <row r="985" spans="2:7" x14ac:dyDescent="0.3">
      <c r="B985" s="60">
        <v>982</v>
      </c>
      <c r="C985" s="58">
        <v>62403</v>
      </c>
      <c r="D985" s="57">
        <v>4789</v>
      </c>
      <c r="E985" s="58">
        <v>8104</v>
      </c>
      <c r="F985" s="59">
        <v>433</v>
      </c>
      <c r="G985" s="18">
        <v>4.5425512579999996</v>
      </c>
    </row>
    <row r="986" spans="2:7" x14ac:dyDescent="0.3">
      <c r="B986" s="60">
        <v>983</v>
      </c>
      <c r="C986" s="58">
        <v>35247</v>
      </c>
      <c r="D986" s="57">
        <v>3614</v>
      </c>
      <c r="E986" s="58">
        <v>10453</v>
      </c>
      <c r="F986" s="59">
        <v>379</v>
      </c>
      <c r="G986" s="18">
        <v>6.1756428980000004</v>
      </c>
    </row>
    <row r="987" spans="2:7" x14ac:dyDescent="0.3">
      <c r="B987" s="60">
        <v>984</v>
      </c>
      <c r="C987" s="58">
        <v>34820</v>
      </c>
      <c r="D987" s="57">
        <v>3186</v>
      </c>
      <c r="E987" s="58">
        <v>11309</v>
      </c>
      <c r="F987" s="59">
        <v>371</v>
      </c>
      <c r="G987" s="18">
        <v>5.1782552649999998</v>
      </c>
    </row>
    <row r="988" spans="2:7" x14ac:dyDescent="0.3">
      <c r="B988" s="60">
        <v>985</v>
      </c>
      <c r="C988" s="58">
        <v>24933</v>
      </c>
      <c r="D988" s="57">
        <v>2183</v>
      </c>
      <c r="E988" s="58">
        <v>13314</v>
      </c>
      <c r="F988" s="59">
        <v>338</v>
      </c>
      <c r="G988" s="18">
        <v>4.6171935309999999</v>
      </c>
    </row>
    <row r="989" spans="2:7" x14ac:dyDescent="0.3">
      <c r="B989" s="60">
        <v>986</v>
      </c>
      <c r="C989" s="58">
        <v>39755</v>
      </c>
      <c r="D989" s="57">
        <v>3582</v>
      </c>
      <c r="E989" s="58">
        <v>10516</v>
      </c>
      <c r="F989" s="59">
        <v>380</v>
      </c>
      <c r="G989" s="18">
        <v>6.9592987270000002</v>
      </c>
    </row>
    <row r="990" spans="2:7" x14ac:dyDescent="0.3">
      <c r="B990" s="60">
        <v>987</v>
      </c>
      <c r="C990" s="58">
        <v>48342</v>
      </c>
      <c r="D990" s="57">
        <v>4960</v>
      </c>
      <c r="E990" s="58">
        <v>7761</v>
      </c>
      <c r="F990" s="59">
        <v>414</v>
      </c>
      <c r="G990" s="18">
        <v>4.9975543099999999</v>
      </c>
    </row>
    <row r="991" spans="2:7" x14ac:dyDescent="0.3">
      <c r="B991" s="60">
        <v>988</v>
      </c>
      <c r="C991" s="58">
        <v>42356</v>
      </c>
      <c r="D991" s="57">
        <v>4503</v>
      </c>
      <c r="E991" s="58">
        <v>8675</v>
      </c>
      <c r="F991" s="59">
        <v>397</v>
      </c>
      <c r="G991" s="18">
        <v>5.3331012199999996</v>
      </c>
    </row>
    <row r="992" spans="2:7" x14ac:dyDescent="0.3">
      <c r="B992" s="60">
        <v>989</v>
      </c>
      <c r="C992" s="58">
        <v>56202</v>
      </c>
      <c r="D992" s="57">
        <v>6011</v>
      </c>
      <c r="E992" s="58">
        <v>5659</v>
      </c>
      <c r="F992" s="59">
        <v>419</v>
      </c>
      <c r="G992" s="18">
        <v>4.5426426160000002</v>
      </c>
    </row>
    <row r="993" spans="2:7" x14ac:dyDescent="0.3">
      <c r="B993" s="60">
        <v>990</v>
      </c>
      <c r="C993" s="58">
        <v>57255</v>
      </c>
      <c r="D993" s="57">
        <v>5563</v>
      </c>
      <c r="E993" s="58">
        <v>6555</v>
      </c>
      <c r="F993" s="59">
        <v>426</v>
      </c>
      <c r="G993" s="18">
        <v>6.2467249369999998</v>
      </c>
    </row>
    <row r="994" spans="2:7" x14ac:dyDescent="0.3">
      <c r="B994" s="60">
        <v>991</v>
      </c>
      <c r="C994" s="58">
        <v>30954</v>
      </c>
      <c r="D994" s="57">
        <v>3009</v>
      </c>
      <c r="E994" s="58">
        <v>11663</v>
      </c>
      <c r="F994" s="59">
        <v>356</v>
      </c>
      <c r="G994" s="18">
        <v>6.0382035729999997</v>
      </c>
    </row>
    <row r="995" spans="2:7" x14ac:dyDescent="0.3">
      <c r="B995" s="60">
        <v>992</v>
      </c>
      <c r="C995" s="58">
        <v>56383</v>
      </c>
      <c r="D995" s="57">
        <v>6023</v>
      </c>
      <c r="E995" s="58">
        <v>5635</v>
      </c>
      <c r="F995" s="59">
        <v>419</v>
      </c>
      <c r="G995" s="18">
        <v>5.5026932210000004</v>
      </c>
    </row>
    <row r="996" spans="2:7" x14ac:dyDescent="0.3">
      <c r="B996" s="60">
        <v>993</v>
      </c>
      <c r="C996" s="58">
        <v>34938</v>
      </c>
      <c r="D996" s="57">
        <v>3280</v>
      </c>
      <c r="E996" s="58">
        <v>11121</v>
      </c>
      <c r="F996" s="59">
        <v>385</v>
      </c>
      <c r="G996" s="18">
        <v>4.681310914</v>
      </c>
    </row>
    <row r="997" spans="2:7" x14ac:dyDescent="0.3">
      <c r="B997" s="60">
        <v>994</v>
      </c>
      <c r="C997" s="58">
        <v>54713</v>
      </c>
      <c r="D997" s="57">
        <v>5983</v>
      </c>
      <c r="E997" s="58">
        <v>5714</v>
      </c>
      <c r="F997" s="59">
        <v>420</v>
      </c>
      <c r="G997" s="18">
        <v>4.8530568609999998</v>
      </c>
    </row>
    <row r="998" spans="2:7" x14ac:dyDescent="0.3">
      <c r="B998" s="60">
        <v>995</v>
      </c>
      <c r="C998" s="58">
        <v>61919</v>
      </c>
      <c r="D998" s="57">
        <v>7081</v>
      </c>
      <c r="E998" s="58">
        <v>3519</v>
      </c>
      <c r="F998" s="59">
        <v>433</v>
      </c>
      <c r="G998" s="18">
        <v>3.8907475300000001</v>
      </c>
    </row>
    <row r="999" spans="2:7" x14ac:dyDescent="0.3">
      <c r="B999" s="60">
        <v>996</v>
      </c>
      <c r="C999" s="58">
        <v>42844</v>
      </c>
      <c r="D999" s="57">
        <v>4250</v>
      </c>
      <c r="E999" s="58">
        <v>9182</v>
      </c>
      <c r="F999" s="59">
        <v>405</v>
      </c>
      <c r="G999" s="18">
        <v>3.1745847739999999</v>
      </c>
    </row>
    <row r="1000" spans="2:7" x14ac:dyDescent="0.3">
      <c r="B1000" s="60">
        <v>997</v>
      </c>
      <c r="C1000" s="58">
        <v>39437</v>
      </c>
      <c r="D1000" s="57">
        <v>4119</v>
      </c>
      <c r="E1000" s="58">
        <v>9443</v>
      </c>
      <c r="F1000" s="59">
        <v>381</v>
      </c>
      <c r="G1000" s="18">
        <v>3.873703602</v>
      </c>
    </row>
    <row r="1001" spans="2:7" x14ac:dyDescent="0.3">
      <c r="B1001" s="60">
        <v>998</v>
      </c>
      <c r="C1001" s="58">
        <v>48049</v>
      </c>
      <c r="D1001" s="57">
        <v>5417</v>
      </c>
      <c r="E1001" s="58">
        <v>6848</v>
      </c>
      <c r="F1001" s="59">
        <v>406</v>
      </c>
      <c r="G1001" s="18">
        <v>5.5439839959999997</v>
      </c>
    </row>
    <row r="1002" spans="2:7" x14ac:dyDescent="0.3">
      <c r="B1002" s="60">
        <v>999</v>
      </c>
      <c r="C1002" s="58">
        <v>46044</v>
      </c>
      <c r="D1002" s="57">
        <v>4351</v>
      </c>
      <c r="E1002" s="58">
        <v>8979</v>
      </c>
      <c r="F1002" s="59">
        <v>397</v>
      </c>
      <c r="G1002" s="18">
        <v>6.1681806239999997</v>
      </c>
    </row>
    <row r="1003" spans="2:7" x14ac:dyDescent="0.3">
      <c r="B1003" s="60">
        <v>1000</v>
      </c>
      <c r="C1003" s="58">
        <v>27195</v>
      </c>
      <c r="D1003" s="57">
        <v>2878</v>
      </c>
      <c r="E1003" s="58">
        <v>11925</v>
      </c>
      <c r="F1003" s="59">
        <v>355</v>
      </c>
      <c r="G1003" s="18">
        <v>4.4970609499999998</v>
      </c>
    </row>
  </sheetData>
  <mergeCells count="5">
    <mergeCell ref="B2:D2"/>
    <mergeCell ref="O4:Q5"/>
    <mergeCell ref="J4:L5"/>
    <mergeCell ref="I4:I5"/>
    <mergeCell ref="N4:N5"/>
  </mergeCells>
  <dataValidations count="1">
    <dataValidation type="list" allowBlank="1" showInputMessage="1" showErrorMessage="1" sqref="O4 J4" xr:uid="{F17CBB81-2A14-4F2B-9AF5-7236E4B852C9}">
      <formula1>$C$3:$G$3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Preliminary QA</vt:lpstr>
      <vt:lpstr>Histograms</vt:lpstr>
      <vt:lpstr>Normal Distribution</vt:lpstr>
      <vt:lpstr>Sample Data</vt:lpstr>
      <vt:lpstr>Frequency Table</vt:lpstr>
      <vt:lpstr>Correlation</vt:lpstr>
      <vt:lpstr>Athlete_Heights</vt:lpstr>
      <vt:lpstr>Digital_Media_Spend</vt:lpstr>
      <vt:lpstr>Offline_Media_Spend</vt:lpstr>
      <vt:lpstr>Sales</vt:lpstr>
      <vt:lpstr>Site_Load_Time</vt:lpstr>
      <vt:lpstr>Site_Traffic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2020-01-23T19:31:19Z</dcterms:created>
  <dcterms:modified xsi:type="dcterms:W3CDTF">2020-12-10T20:52:59Z</dcterms:modified>
</cp:coreProperties>
</file>